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d_umasankar_dxc_com/Documents/Data Analyst files/Data Analyst Entri/Projects files/POWER BI Project/"/>
    </mc:Choice>
  </mc:AlternateContent>
  <xr:revisionPtr revIDLastSave="644" documentId="11_F25DC773A252ABDACC104818F1986A205ADE58F4" xr6:coauthVersionLast="47" xr6:coauthVersionMax="47" xr10:uidLastSave="{B05B1561-A9C1-476A-9879-AAFD22F22662}"/>
  <bookViews>
    <workbookView xWindow="-108" yWindow="-108" windowWidth="23256" windowHeight="12456" activeTab="2" xr2:uid="{00000000-000D-0000-FFFF-FFFF00000000}"/>
  </bookViews>
  <sheets>
    <sheet name="global_freelancers_raw" sheetId="2" r:id="rId1"/>
    <sheet name="Sheet1" sheetId="1" r:id="rId2"/>
    <sheet name="Cleaned Data" sheetId="3" r:id="rId3"/>
  </sheets>
  <definedNames>
    <definedName name="_xlnm._FilterDatabase" localSheetId="2" hidden="1">'Cleaned Data'!$A$1:$L$1001</definedName>
    <definedName name="_xlnm._FilterDatabase" localSheetId="1" hidden="1">Sheet1!$A$1:$AD$1001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K3" i="1"/>
  <c r="AD3" i="1"/>
  <c r="AD4" i="1"/>
  <c r="AD5" i="1"/>
  <c r="AD6" i="1"/>
  <c r="AD7" i="1"/>
  <c r="AD8" i="1"/>
  <c r="AD9" i="1"/>
  <c r="L446" i="3" s="1"/>
  <c r="AD10" i="1"/>
  <c r="AD11" i="1"/>
  <c r="AD12" i="1"/>
  <c r="AD13" i="1"/>
  <c r="AD14" i="1"/>
  <c r="AD15" i="1"/>
  <c r="AD16" i="1"/>
  <c r="AD17" i="1"/>
  <c r="AD18" i="1"/>
  <c r="L557" i="3" s="1"/>
  <c r="AD19" i="1"/>
  <c r="AD20" i="1"/>
  <c r="AD21" i="1"/>
  <c r="AD22" i="1"/>
  <c r="AD23" i="1"/>
  <c r="AD24" i="1"/>
  <c r="AD25" i="1"/>
  <c r="AD26" i="1"/>
  <c r="L161" i="3" s="1"/>
  <c r="AD27" i="1"/>
  <c r="AD28" i="1"/>
  <c r="AD29" i="1"/>
  <c r="AD30" i="1"/>
  <c r="AD31" i="1"/>
  <c r="AD32" i="1"/>
  <c r="AD33" i="1"/>
  <c r="AD34" i="1"/>
  <c r="L381" i="3" s="1"/>
  <c r="AD35" i="1"/>
  <c r="AD36" i="1"/>
  <c r="AD37" i="1"/>
  <c r="AD38" i="1"/>
  <c r="AD39" i="1"/>
  <c r="AD40" i="1"/>
  <c r="AD41" i="1"/>
  <c r="AD42" i="1"/>
  <c r="L23" i="3" s="1"/>
  <c r="AD43" i="1"/>
  <c r="AD44" i="1"/>
  <c r="AD45" i="1"/>
  <c r="AD46" i="1"/>
  <c r="AD47" i="1"/>
  <c r="AD48" i="1"/>
  <c r="AD49" i="1"/>
  <c r="AD50" i="1"/>
  <c r="L864" i="3" s="1"/>
  <c r="AD51" i="1"/>
  <c r="AD52" i="1"/>
  <c r="AD53" i="1"/>
  <c r="AD54" i="1"/>
  <c r="AD55" i="1"/>
  <c r="AD56" i="1"/>
  <c r="AD57" i="1"/>
  <c r="AD58" i="1"/>
  <c r="L851" i="3" s="1"/>
  <c r="AD59" i="1"/>
  <c r="AD60" i="1"/>
  <c r="AD61" i="1"/>
  <c r="AD62" i="1"/>
  <c r="AD63" i="1"/>
  <c r="AD64" i="1"/>
  <c r="AD65" i="1"/>
  <c r="AD66" i="1"/>
  <c r="L276" i="3" s="1"/>
  <c r="AD67" i="1"/>
  <c r="AD68" i="1"/>
  <c r="AD69" i="1"/>
  <c r="AD70" i="1"/>
  <c r="AD71" i="1"/>
  <c r="AD72" i="1"/>
  <c r="AD73" i="1"/>
  <c r="AD74" i="1"/>
  <c r="L539" i="3" s="1"/>
  <c r="AD75" i="1"/>
  <c r="AD76" i="1"/>
  <c r="AD77" i="1"/>
  <c r="AD78" i="1"/>
  <c r="AD79" i="1"/>
  <c r="AD80" i="1"/>
  <c r="AD81" i="1"/>
  <c r="AD82" i="1"/>
  <c r="L695" i="3" s="1"/>
  <c r="AD83" i="1"/>
  <c r="AD84" i="1"/>
  <c r="AD85" i="1"/>
  <c r="AD86" i="1"/>
  <c r="AD87" i="1"/>
  <c r="AD88" i="1"/>
  <c r="AD89" i="1"/>
  <c r="AD90" i="1"/>
  <c r="L95" i="3" s="1"/>
  <c r="AD91" i="1"/>
  <c r="AD92" i="1"/>
  <c r="AD93" i="1"/>
  <c r="AD94" i="1"/>
  <c r="AD95" i="1"/>
  <c r="AD96" i="1"/>
  <c r="AD97" i="1"/>
  <c r="AD98" i="1"/>
  <c r="L288" i="3" s="1"/>
  <c r="AD99" i="1"/>
  <c r="AD100" i="1"/>
  <c r="AD101" i="1"/>
  <c r="AD102" i="1"/>
  <c r="AD103" i="1"/>
  <c r="AD104" i="1"/>
  <c r="AD105" i="1"/>
  <c r="AD106" i="1"/>
  <c r="L876" i="3" s="1"/>
  <c r="AD107" i="1"/>
  <c r="AD108" i="1"/>
  <c r="AD109" i="1"/>
  <c r="AD110" i="1"/>
  <c r="AD111" i="1"/>
  <c r="AD112" i="1"/>
  <c r="AD113" i="1"/>
  <c r="AD114" i="1"/>
  <c r="L323" i="3" s="1"/>
  <c r="AD115" i="1"/>
  <c r="AD116" i="1"/>
  <c r="AD117" i="1"/>
  <c r="AD118" i="1"/>
  <c r="AD119" i="1"/>
  <c r="AD120" i="1"/>
  <c r="AD121" i="1"/>
  <c r="AD122" i="1"/>
  <c r="L614" i="3" s="1"/>
  <c r="AD123" i="1"/>
  <c r="AD124" i="1"/>
  <c r="AD125" i="1"/>
  <c r="AD126" i="1"/>
  <c r="AD127" i="1"/>
  <c r="AD128" i="1"/>
  <c r="AD129" i="1"/>
  <c r="AD130" i="1"/>
  <c r="L63" i="3" s="1"/>
  <c r="AD131" i="1"/>
  <c r="AD132" i="1"/>
  <c r="AD133" i="1"/>
  <c r="AD134" i="1"/>
  <c r="AD135" i="1"/>
  <c r="AD136" i="1"/>
  <c r="AD137" i="1"/>
  <c r="AD138" i="1"/>
  <c r="L437" i="3" s="1"/>
  <c r="AD139" i="1"/>
  <c r="AD140" i="1"/>
  <c r="AD141" i="1"/>
  <c r="AD142" i="1"/>
  <c r="AD143" i="1"/>
  <c r="AD144" i="1"/>
  <c r="AD145" i="1"/>
  <c r="AD146" i="1"/>
  <c r="L126" i="3" s="1"/>
  <c r="AD147" i="1"/>
  <c r="AD148" i="1"/>
  <c r="AD149" i="1"/>
  <c r="AD150" i="1"/>
  <c r="AD151" i="1"/>
  <c r="AD152" i="1"/>
  <c r="AD153" i="1"/>
  <c r="AD154" i="1"/>
  <c r="L134" i="3" s="1"/>
  <c r="AD155" i="1"/>
  <c r="AD156" i="1"/>
  <c r="AD157" i="1"/>
  <c r="AD158" i="1"/>
  <c r="AD159" i="1"/>
  <c r="AD160" i="1"/>
  <c r="AD161" i="1"/>
  <c r="AD162" i="1"/>
  <c r="L355" i="3" s="1"/>
  <c r="AD163" i="1"/>
  <c r="AD164" i="1"/>
  <c r="AD165" i="1"/>
  <c r="AD166" i="1"/>
  <c r="AD167" i="1"/>
  <c r="AD168" i="1"/>
  <c r="AD169" i="1"/>
  <c r="AD170" i="1"/>
  <c r="L4" i="3" s="1"/>
  <c r="AD171" i="1"/>
  <c r="AD172" i="1"/>
  <c r="AD173" i="1"/>
  <c r="AD174" i="1"/>
  <c r="AD175" i="1"/>
  <c r="AD176" i="1"/>
  <c r="AD177" i="1"/>
  <c r="AD178" i="1"/>
  <c r="L338" i="3" s="1"/>
  <c r="AD179" i="1"/>
  <c r="AD180" i="1"/>
  <c r="AD181" i="1"/>
  <c r="AD182" i="1"/>
  <c r="AD183" i="1"/>
  <c r="AD184" i="1"/>
  <c r="AD185" i="1"/>
  <c r="AD186" i="1"/>
  <c r="L753" i="3" s="1"/>
  <c r="AD187" i="1"/>
  <c r="AD188" i="1"/>
  <c r="AD189" i="1"/>
  <c r="AD190" i="1"/>
  <c r="AD191" i="1"/>
  <c r="AD192" i="1"/>
  <c r="AD193" i="1"/>
  <c r="AD194" i="1"/>
  <c r="L507" i="3" s="1"/>
  <c r="AD195" i="1"/>
  <c r="AD196" i="1"/>
  <c r="AD197" i="1"/>
  <c r="AD198" i="1"/>
  <c r="AD199" i="1"/>
  <c r="AD200" i="1"/>
  <c r="AD201" i="1"/>
  <c r="AD202" i="1"/>
  <c r="L869" i="3" s="1"/>
  <c r="AD203" i="1"/>
  <c r="AD204" i="1"/>
  <c r="AD205" i="1"/>
  <c r="AD206" i="1"/>
  <c r="AD207" i="1"/>
  <c r="AD208" i="1"/>
  <c r="AD209" i="1"/>
  <c r="AD210" i="1"/>
  <c r="L642" i="3" s="1"/>
  <c r="AD211" i="1"/>
  <c r="AD212" i="1"/>
  <c r="AD213" i="1"/>
  <c r="AD214" i="1"/>
  <c r="AD215" i="1"/>
  <c r="AD216" i="1"/>
  <c r="AD217" i="1"/>
  <c r="AD218" i="1"/>
  <c r="L64" i="3" s="1"/>
  <c r="AD219" i="1"/>
  <c r="AD220" i="1"/>
  <c r="AD221" i="1"/>
  <c r="AD222" i="1"/>
  <c r="AD223" i="1"/>
  <c r="AD224" i="1"/>
  <c r="AD225" i="1"/>
  <c r="AD226" i="1"/>
  <c r="L7" i="3" s="1"/>
  <c r="AD227" i="1"/>
  <c r="AD228" i="1"/>
  <c r="AD229" i="1"/>
  <c r="AD230" i="1"/>
  <c r="AD231" i="1"/>
  <c r="AD232" i="1"/>
  <c r="AD233" i="1"/>
  <c r="AD234" i="1"/>
  <c r="L994" i="3" s="1"/>
  <c r="AD235" i="1"/>
  <c r="AD236" i="1"/>
  <c r="AD237" i="1"/>
  <c r="AD238" i="1"/>
  <c r="AD239" i="1"/>
  <c r="AD240" i="1"/>
  <c r="AD241" i="1"/>
  <c r="AD242" i="1"/>
  <c r="L672" i="3" s="1"/>
  <c r="AD243" i="1"/>
  <c r="AD244" i="1"/>
  <c r="AD245" i="1"/>
  <c r="AD246" i="1"/>
  <c r="AD247" i="1"/>
  <c r="AD248" i="1"/>
  <c r="AD249" i="1"/>
  <c r="AD250" i="1"/>
  <c r="L693" i="3" s="1"/>
  <c r="AD251" i="1"/>
  <c r="AD252" i="1"/>
  <c r="AD253" i="1"/>
  <c r="AD254" i="1"/>
  <c r="AD255" i="1"/>
  <c r="AD256" i="1"/>
  <c r="AD257" i="1"/>
  <c r="AD258" i="1"/>
  <c r="L78" i="3" s="1"/>
  <c r="AD259" i="1"/>
  <c r="AD260" i="1"/>
  <c r="AD261" i="1"/>
  <c r="AD262" i="1"/>
  <c r="AD263" i="1"/>
  <c r="AD264" i="1"/>
  <c r="AD265" i="1"/>
  <c r="AD266" i="1"/>
  <c r="L596" i="3" s="1"/>
  <c r="AD267" i="1"/>
  <c r="AD268" i="1"/>
  <c r="AD269" i="1"/>
  <c r="AD270" i="1"/>
  <c r="AD271" i="1"/>
  <c r="AD272" i="1"/>
  <c r="AD273" i="1"/>
  <c r="AD274" i="1"/>
  <c r="L537" i="3" s="1"/>
  <c r="AD275" i="1"/>
  <c r="AD276" i="1"/>
  <c r="AD277" i="1"/>
  <c r="AD278" i="1"/>
  <c r="AD279" i="1"/>
  <c r="AD280" i="1"/>
  <c r="AD281" i="1"/>
  <c r="AD282" i="1"/>
  <c r="L453" i="3" s="1"/>
  <c r="AD283" i="1"/>
  <c r="AD284" i="1"/>
  <c r="AD285" i="1"/>
  <c r="AD286" i="1"/>
  <c r="AD287" i="1"/>
  <c r="AD288" i="1"/>
  <c r="AD289" i="1"/>
  <c r="AD290" i="1"/>
  <c r="L114" i="3" s="1"/>
  <c r="AD291" i="1"/>
  <c r="AD292" i="1"/>
  <c r="AD293" i="1"/>
  <c r="AD294" i="1"/>
  <c r="AD295" i="1"/>
  <c r="AD296" i="1"/>
  <c r="AD297" i="1"/>
  <c r="AD298" i="1"/>
  <c r="L577" i="3" s="1"/>
  <c r="AD299" i="1"/>
  <c r="AD300" i="1"/>
  <c r="AD301" i="1"/>
  <c r="AD302" i="1"/>
  <c r="AD303" i="1"/>
  <c r="AD304" i="1"/>
  <c r="AD305" i="1"/>
  <c r="AD306" i="1"/>
  <c r="L980" i="3" s="1"/>
  <c r="AD307" i="1"/>
  <c r="AD308" i="1"/>
  <c r="AD309" i="1"/>
  <c r="AD310" i="1"/>
  <c r="AD311" i="1"/>
  <c r="AD312" i="1"/>
  <c r="AD313" i="1"/>
  <c r="AD314" i="1"/>
  <c r="L334" i="3" s="1"/>
  <c r="AD315" i="1"/>
  <c r="AD316" i="1"/>
  <c r="AD317" i="1"/>
  <c r="AD318" i="1"/>
  <c r="AD319" i="1"/>
  <c r="AD320" i="1"/>
  <c r="AD321" i="1"/>
  <c r="AD322" i="1"/>
  <c r="L770" i="3" s="1"/>
  <c r="AD323" i="1"/>
  <c r="AD324" i="1"/>
  <c r="AD325" i="1"/>
  <c r="AD326" i="1"/>
  <c r="AD327" i="1"/>
  <c r="AD328" i="1"/>
  <c r="AD329" i="1"/>
  <c r="AD330" i="1"/>
  <c r="L424" i="3" s="1"/>
  <c r="AD331" i="1"/>
  <c r="AD332" i="1"/>
  <c r="AD333" i="1"/>
  <c r="AD334" i="1"/>
  <c r="AD335" i="1"/>
  <c r="AD336" i="1"/>
  <c r="AD337" i="1"/>
  <c r="AD338" i="1"/>
  <c r="L696" i="3" s="1"/>
  <c r="AD339" i="1"/>
  <c r="AD340" i="1"/>
  <c r="AD341" i="1"/>
  <c r="AD342" i="1"/>
  <c r="AD343" i="1"/>
  <c r="AD344" i="1"/>
  <c r="AD345" i="1"/>
  <c r="AD346" i="1"/>
  <c r="L922" i="3" s="1"/>
  <c r="AD347" i="1"/>
  <c r="AD348" i="1"/>
  <c r="AD349" i="1"/>
  <c r="AD350" i="1"/>
  <c r="AD351" i="1"/>
  <c r="AD352" i="1"/>
  <c r="AD353" i="1"/>
  <c r="AD354" i="1"/>
  <c r="L285" i="3" s="1"/>
  <c r="AD355" i="1"/>
  <c r="AD356" i="1"/>
  <c r="AD357" i="1"/>
  <c r="AD358" i="1"/>
  <c r="AD359" i="1"/>
  <c r="AD360" i="1"/>
  <c r="AD361" i="1"/>
  <c r="AD362" i="1"/>
  <c r="L108" i="3" s="1"/>
  <c r="AD363" i="1"/>
  <c r="AD364" i="1"/>
  <c r="AD365" i="1"/>
  <c r="AD366" i="1"/>
  <c r="AD367" i="1"/>
  <c r="AD368" i="1"/>
  <c r="AD369" i="1"/>
  <c r="AD370" i="1"/>
  <c r="L714" i="3" s="1"/>
  <c r="AD371" i="1"/>
  <c r="AD372" i="1"/>
  <c r="AD373" i="1"/>
  <c r="AD374" i="1"/>
  <c r="AD375" i="1"/>
  <c r="AD376" i="1"/>
  <c r="AD377" i="1"/>
  <c r="AD378" i="1"/>
  <c r="L273" i="3" s="1"/>
  <c r="AD379" i="1"/>
  <c r="AD380" i="1"/>
  <c r="AD381" i="1"/>
  <c r="AD382" i="1"/>
  <c r="AD383" i="1"/>
  <c r="AD384" i="1"/>
  <c r="AD385" i="1"/>
  <c r="AD386" i="1"/>
  <c r="L562" i="3" s="1"/>
  <c r="AD387" i="1"/>
  <c r="AD388" i="1"/>
  <c r="AD389" i="1"/>
  <c r="AD390" i="1"/>
  <c r="AD391" i="1"/>
  <c r="AD392" i="1"/>
  <c r="AD393" i="1"/>
  <c r="AD394" i="1"/>
  <c r="L597" i="3" s="1"/>
  <c r="AD395" i="1"/>
  <c r="AD396" i="1"/>
  <c r="AD397" i="1"/>
  <c r="AD398" i="1"/>
  <c r="AD399" i="1"/>
  <c r="AD400" i="1"/>
  <c r="AD401" i="1"/>
  <c r="AD402" i="1"/>
  <c r="L924" i="3" s="1"/>
  <c r="AD403" i="1"/>
  <c r="AD404" i="1"/>
  <c r="AD405" i="1"/>
  <c r="AD406" i="1"/>
  <c r="AD407" i="1"/>
  <c r="AD408" i="1"/>
  <c r="AD409" i="1"/>
  <c r="AD410" i="1"/>
  <c r="L604" i="3" s="1"/>
  <c r="AD411" i="1"/>
  <c r="AD412" i="1"/>
  <c r="AD413" i="1"/>
  <c r="AD414" i="1"/>
  <c r="AD415" i="1"/>
  <c r="AD416" i="1"/>
  <c r="AD417" i="1"/>
  <c r="AD418" i="1"/>
  <c r="L570" i="3" s="1"/>
  <c r="AD419" i="1"/>
  <c r="AD420" i="1"/>
  <c r="AD421" i="1"/>
  <c r="AD422" i="1"/>
  <c r="AD423" i="1"/>
  <c r="AD424" i="1"/>
  <c r="AD425" i="1"/>
  <c r="AD426" i="1"/>
  <c r="L896" i="3" s="1"/>
  <c r="AD427" i="1"/>
  <c r="AD428" i="1"/>
  <c r="AD429" i="1"/>
  <c r="AD430" i="1"/>
  <c r="AD431" i="1"/>
  <c r="AD432" i="1"/>
  <c r="AD433" i="1"/>
  <c r="AD434" i="1"/>
  <c r="L178" i="3" s="1"/>
  <c r="AD435" i="1"/>
  <c r="AD436" i="1"/>
  <c r="AD437" i="1"/>
  <c r="AD438" i="1"/>
  <c r="AD439" i="1"/>
  <c r="AD440" i="1"/>
  <c r="AD441" i="1"/>
  <c r="AD442" i="1"/>
  <c r="L688" i="3" s="1"/>
  <c r="AD443" i="1"/>
  <c r="AD444" i="1"/>
  <c r="AD445" i="1"/>
  <c r="AD446" i="1"/>
  <c r="AD447" i="1"/>
  <c r="AD448" i="1"/>
  <c r="AD449" i="1"/>
  <c r="AD450" i="1"/>
  <c r="L130" i="3" s="1"/>
  <c r="AD451" i="1"/>
  <c r="AD452" i="1"/>
  <c r="AD453" i="1"/>
  <c r="AD454" i="1"/>
  <c r="AD455" i="1"/>
  <c r="AD456" i="1"/>
  <c r="AD457" i="1"/>
  <c r="AD458" i="1"/>
  <c r="L792" i="3" s="1"/>
  <c r="AD459" i="1"/>
  <c r="AD460" i="1"/>
  <c r="AD461" i="1"/>
  <c r="AD462" i="1"/>
  <c r="AD463" i="1"/>
  <c r="AD464" i="1"/>
  <c r="AD465" i="1"/>
  <c r="AD466" i="1"/>
  <c r="L297" i="3" s="1"/>
  <c r="AD467" i="1"/>
  <c r="AD468" i="1"/>
  <c r="AD469" i="1"/>
  <c r="AD470" i="1"/>
  <c r="AD471" i="1"/>
  <c r="AD472" i="1"/>
  <c r="AD473" i="1"/>
  <c r="AD474" i="1"/>
  <c r="L625" i="3" s="1"/>
  <c r="AD475" i="1"/>
  <c r="AD476" i="1"/>
  <c r="AD477" i="1"/>
  <c r="AD478" i="1"/>
  <c r="AD479" i="1"/>
  <c r="AD480" i="1"/>
  <c r="AD481" i="1"/>
  <c r="AD482" i="1"/>
  <c r="L29" i="3" s="1"/>
  <c r="AD483" i="1"/>
  <c r="AD484" i="1"/>
  <c r="AD485" i="1"/>
  <c r="AD486" i="1"/>
  <c r="AD487" i="1"/>
  <c r="AD488" i="1"/>
  <c r="AD489" i="1"/>
  <c r="AD490" i="1"/>
  <c r="L703" i="3" s="1"/>
  <c r="AD491" i="1"/>
  <c r="AD492" i="1"/>
  <c r="AD493" i="1"/>
  <c r="AD494" i="1"/>
  <c r="AD495" i="1"/>
  <c r="AD496" i="1"/>
  <c r="AD497" i="1"/>
  <c r="AD498" i="1"/>
  <c r="L65" i="3" s="1"/>
  <c r="AD499" i="1"/>
  <c r="AD500" i="1"/>
  <c r="AD501" i="1"/>
  <c r="AD502" i="1"/>
  <c r="AD503" i="1"/>
  <c r="AD504" i="1"/>
  <c r="AD505" i="1"/>
  <c r="AD506" i="1"/>
  <c r="L969" i="3" s="1"/>
  <c r="AD507" i="1"/>
  <c r="AD508" i="1"/>
  <c r="AD509" i="1"/>
  <c r="AD510" i="1"/>
  <c r="AD511" i="1"/>
  <c r="AD512" i="1"/>
  <c r="AD513" i="1"/>
  <c r="AD514" i="1"/>
  <c r="L711" i="3" s="1"/>
  <c r="AD515" i="1"/>
  <c r="AD516" i="1"/>
  <c r="AD517" i="1"/>
  <c r="AD518" i="1"/>
  <c r="AD519" i="1"/>
  <c r="AD520" i="1"/>
  <c r="AD521" i="1"/>
  <c r="AD522" i="1"/>
  <c r="L336" i="3" s="1"/>
  <c r="AD523" i="1"/>
  <c r="AD524" i="1"/>
  <c r="AD525" i="1"/>
  <c r="AD526" i="1"/>
  <c r="AD527" i="1"/>
  <c r="AD528" i="1"/>
  <c r="AD529" i="1"/>
  <c r="AD530" i="1"/>
  <c r="L536" i="3" s="1"/>
  <c r="AD531" i="1"/>
  <c r="AD532" i="1"/>
  <c r="AD533" i="1"/>
  <c r="AD534" i="1"/>
  <c r="AD535" i="1"/>
  <c r="AD536" i="1"/>
  <c r="AD537" i="1"/>
  <c r="AD538" i="1"/>
  <c r="L780" i="3" s="1"/>
  <c r="AD539" i="1"/>
  <c r="AD540" i="1"/>
  <c r="AD541" i="1"/>
  <c r="AD542" i="1"/>
  <c r="AD543" i="1"/>
  <c r="AD544" i="1"/>
  <c r="AD545" i="1"/>
  <c r="AD546" i="1"/>
  <c r="L929" i="3" s="1"/>
  <c r="AD547" i="1"/>
  <c r="AD548" i="1"/>
  <c r="AD549" i="1"/>
  <c r="AD550" i="1"/>
  <c r="AD551" i="1"/>
  <c r="AD552" i="1"/>
  <c r="AD553" i="1"/>
  <c r="AD554" i="1"/>
  <c r="L534" i="3" s="1"/>
  <c r="AD555" i="1"/>
  <c r="AD556" i="1"/>
  <c r="AD557" i="1"/>
  <c r="AD558" i="1"/>
  <c r="AD559" i="1"/>
  <c r="AD560" i="1"/>
  <c r="AD561" i="1"/>
  <c r="AD562" i="1"/>
  <c r="L322" i="3" s="1"/>
  <c r="AD563" i="1"/>
  <c r="AD564" i="1"/>
  <c r="AD565" i="1"/>
  <c r="AD566" i="1"/>
  <c r="AD567" i="1"/>
  <c r="AD568" i="1"/>
  <c r="AD569" i="1"/>
  <c r="AD570" i="1"/>
  <c r="L863" i="3" s="1"/>
  <c r="AD571" i="1"/>
  <c r="AD572" i="1"/>
  <c r="AD573" i="1"/>
  <c r="AD574" i="1"/>
  <c r="AD575" i="1"/>
  <c r="AD576" i="1"/>
  <c r="AD577" i="1"/>
  <c r="AD578" i="1"/>
  <c r="L808" i="3" s="1"/>
  <c r="AD579" i="1"/>
  <c r="AD580" i="1"/>
  <c r="AD581" i="1"/>
  <c r="AD582" i="1"/>
  <c r="AD583" i="1"/>
  <c r="AD584" i="1"/>
  <c r="AD585" i="1"/>
  <c r="AD586" i="1"/>
  <c r="L339" i="3" s="1"/>
  <c r="AD587" i="1"/>
  <c r="AD588" i="1"/>
  <c r="AD589" i="1"/>
  <c r="AD590" i="1"/>
  <c r="AD591" i="1"/>
  <c r="AD592" i="1"/>
  <c r="AD593" i="1"/>
  <c r="AD594" i="1"/>
  <c r="L880" i="3" s="1"/>
  <c r="AD595" i="1"/>
  <c r="AD596" i="1"/>
  <c r="AD597" i="1"/>
  <c r="AD598" i="1"/>
  <c r="AD599" i="1"/>
  <c r="AD600" i="1"/>
  <c r="AD601" i="1"/>
  <c r="AD602" i="1"/>
  <c r="L804" i="3" s="1"/>
  <c r="AD603" i="1"/>
  <c r="AD604" i="1"/>
  <c r="AD605" i="1"/>
  <c r="AD606" i="1"/>
  <c r="AD607" i="1"/>
  <c r="AD608" i="1"/>
  <c r="AD609" i="1"/>
  <c r="AD610" i="1"/>
  <c r="L471" i="3" s="1"/>
  <c r="AD611" i="1"/>
  <c r="AD612" i="1"/>
  <c r="AD613" i="1"/>
  <c r="AD614" i="1"/>
  <c r="AD615" i="1"/>
  <c r="AD616" i="1"/>
  <c r="AD617" i="1"/>
  <c r="AD618" i="1"/>
  <c r="L580" i="3" s="1"/>
  <c r="AD619" i="1"/>
  <c r="AD620" i="1"/>
  <c r="AD621" i="1"/>
  <c r="AD622" i="1"/>
  <c r="AD623" i="1"/>
  <c r="AD624" i="1"/>
  <c r="AD625" i="1"/>
  <c r="AD626" i="1"/>
  <c r="L487" i="3" s="1"/>
  <c r="AD627" i="1"/>
  <c r="AD628" i="1"/>
  <c r="AD629" i="1"/>
  <c r="AD630" i="1"/>
  <c r="AD631" i="1"/>
  <c r="AD632" i="1"/>
  <c r="AD633" i="1"/>
  <c r="AD634" i="1"/>
  <c r="L882" i="3" s="1"/>
  <c r="AD635" i="1"/>
  <c r="AD636" i="1"/>
  <c r="AD637" i="1"/>
  <c r="AD638" i="1"/>
  <c r="AD639" i="1"/>
  <c r="AD640" i="1"/>
  <c r="AD641" i="1"/>
  <c r="AD642" i="1"/>
  <c r="L489" i="3" s="1"/>
  <c r="AD643" i="1"/>
  <c r="AD644" i="1"/>
  <c r="AD645" i="1"/>
  <c r="AD646" i="1"/>
  <c r="AD647" i="1"/>
  <c r="AD648" i="1"/>
  <c r="AD649" i="1"/>
  <c r="AD650" i="1"/>
  <c r="L369" i="3" s="1"/>
  <c r="AD651" i="1"/>
  <c r="AD652" i="1"/>
  <c r="AD653" i="1"/>
  <c r="AD654" i="1"/>
  <c r="AD655" i="1"/>
  <c r="AD656" i="1"/>
  <c r="AD657" i="1"/>
  <c r="AD658" i="1"/>
  <c r="L47" i="3" s="1"/>
  <c r="AD659" i="1"/>
  <c r="AD660" i="1"/>
  <c r="AD661" i="1"/>
  <c r="AD662" i="1"/>
  <c r="AD663" i="1"/>
  <c r="AD664" i="1"/>
  <c r="AD665" i="1"/>
  <c r="AD666" i="1"/>
  <c r="L712" i="3" s="1"/>
  <c r="AD667" i="1"/>
  <c r="AD668" i="1"/>
  <c r="AD669" i="1"/>
  <c r="AD670" i="1"/>
  <c r="AD671" i="1"/>
  <c r="AD672" i="1"/>
  <c r="AD673" i="1"/>
  <c r="AD674" i="1"/>
  <c r="L771" i="3" s="1"/>
  <c r="AD675" i="1"/>
  <c r="AD676" i="1"/>
  <c r="AD677" i="1"/>
  <c r="AD678" i="1"/>
  <c r="AD679" i="1"/>
  <c r="AD680" i="1"/>
  <c r="AD681" i="1"/>
  <c r="AD682" i="1"/>
  <c r="L291" i="3" s="1"/>
  <c r="AD683" i="1"/>
  <c r="AD684" i="1"/>
  <c r="AD685" i="1"/>
  <c r="AD686" i="1"/>
  <c r="AD687" i="1"/>
  <c r="AD688" i="1"/>
  <c r="AD689" i="1"/>
  <c r="AD690" i="1"/>
  <c r="L709" i="3" s="1"/>
  <c r="AD691" i="1"/>
  <c r="AD692" i="1"/>
  <c r="AD693" i="1"/>
  <c r="AD694" i="1"/>
  <c r="AD695" i="1"/>
  <c r="AD696" i="1"/>
  <c r="AD697" i="1"/>
  <c r="AD698" i="1"/>
  <c r="L793" i="3" s="1"/>
  <c r="AD699" i="1"/>
  <c r="AD700" i="1"/>
  <c r="AD701" i="1"/>
  <c r="AD702" i="1"/>
  <c r="AD703" i="1"/>
  <c r="AD704" i="1"/>
  <c r="AD705" i="1"/>
  <c r="AD706" i="1"/>
  <c r="L241" i="3" s="1"/>
  <c r="AD707" i="1"/>
  <c r="AD708" i="1"/>
  <c r="AD709" i="1"/>
  <c r="AD710" i="1"/>
  <c r="AD711" i="1"/>
  <c r="AD712" i="1"/>
  <c r="AD713" i="1"/>
  <c r="AD714" i="1"/>
  <c r="L50" i="3" s="1"/>
  <c r="AD715" i="1"/>
  <c r="AD716" i="1"/>
  <c r="AD717" i="1"/>
  <c r="AD718" i="1"/>
  <c r="AD719" i="1"/>
  <c r="AD720" i="1"/>
  <c r="AD721" i="1"/>
  <c r="AD722" i="1"/>
  <c r="L222" i="3" s="1"/>
  <c r="AD723" i="1"/>
  <c r="AD724" i="1"/>
  <c r="AD725" i="1"/>
  <c r="AD726" i="1"/>
  <c r="AD727" i="1"/>
  <c r="AD728" i="1"/>
  <c r="AD729" i="1"/>
  <c r="AD730" i="1"/>
  <c r="L179" i="3" s="1"/>
  <c r="AD731" i="1"/>
  <c r="AD732" i="1"/>
  <c r="AD733" i="1"/>
  <c r="AD734" i="1"/>
  <c r="AD735" i="1"/>
  <c r="AD736" i="1"/>
  <c r="AD737" i="1"/>
  <c r="AD738" i="1"/>
  <c r="L902" i="3" s="1"/>
  <c r="AD739" i="1"/>
  <c r="AD740" i="1"/>
  <c r="AD741" i="1"/>
  <c r="AD742" i="1"/>
  <c r="AD743" i="1"/>
  <c r="AD744" i="1"/>
  <c r="AD745" i="1"/>
  <c r="AD746" i="1"/>
  <c r="L191" i="3" s="1"/>
  <c r="AD747" i="1"/>
  <c r="AD748" i="1"/>
  <c r="AD749" i="1"/>
  <c r="AD750" i="1"/>
  <c r="AD751" i="1"/>
  <c r="AD752" i="1"/>
  <c r="AD753" i="1"/>
  <c r="AD754" i="1"/>
  <c r="L900" i="3" s="1"/>
  <c r="AD755" i="1"/>
  <c r="AD756" i="1"/>
  <c r="AD757" i="1"/>
  <c r="AD758" i="1"/>
  <c r="AD759" i="1"/>
  <c r="AD760" i="1"/>
  <c r="AD761" i="1"/>
  <c r="AD762" i="1"/>
  <c r="L14" i="3" s="1"/>
  <c r="AD763" i="1"/>
  <c r="AD764" i="1"/>
  <c r="AD765" i="1"/>
  <c r="AD766" i="1"/>
  <c r="AD767" i="1"/>
  <c r="AD768" i="1"/>
  <c r="AD769" i="1"/>
  <c r="AD770" i="1"/>
  <c r="L162" i="3" s="1"/>
  <c r="AD771" i="1"/>
  <c r="AD772" i="1"/>
  <c r="AD773" i="1"/>
  <c r="AD774" i="1"/>
  <c r="AD775" i="1"/>
  <c r="AD776" i="1"/>
  <c r="AD777" i="1"/>
  <c r="AD778" i="1"/>
  <c r="L116" i="3" s="1"/>
  <c r="AD779" i="1"/>
  <c r="AD780" i="1"/>
  <c r="AD781" i="1"/>
  <c r="AD782" i="1"/>
  <c r="AD783" i="1"/>
  <c r="AD784" i="1"/>
  <c r="AD785" i="1"/>
  <c r="AD786" i="1"/>
  <c r="L185" i="3" s="1"/>
  <c r="AD787" i="1"/>
  <c r="AD788" i="1"/>
  <c r="AD789" i="1"/>
  <c r="AD790" i="1"/>
  <c r="AD791" i="1"/>
  <c r="AD792" i="1"/>
  <c r="AD793" i="1"/>
  <c r="AD794" i="1"/>
  <c r="L990" i="3" s="1"/>
  <c r="AD795" i="1"/>
  <c r="AD796" i="1"/>
  <c r="AD797" i="1"/>
  <c r="AD798" i="1"/>
  <c r="AD799" i="1"/>
  <c r="AD800" i="1"/>
  <c r="AD801" i="1"/>
  <c r="AD802" i="1"/>
  <c r="L550" i="3" s="1"/>
  <c r="AD803" i="1"/>
  <c r="AD804" i="1"/>
  <c r="AD805" i="1"/>
  <c r="AD806" i="1"/>
  <c r="AD807" i="1"/>
  <c r="AD808" i="1"/>
  <c r="AD809" i="1"/>
  <c r="AD810" i="1"/>
  <c r="L314" i="3" s="1"/>
  <c r="AD811" i="1"/>
  <c r="AD812" i="1"/>
  <c r="AD813" i="1"/>
  <c r="AD814" i="1"/>
  <c r="AD815" i="1"/>
  <c r="AD816" i="1"/>
  <c r="AD817" i="1"/>
  <c r="AD818" i="1"/>
  <c r="L413" i="3" s="1"/>
  <c r="AD819" i="1"/>
  <c r="AD820" i="1"/>
  <c r="AD821" i="1"/>
  <c r="AD822" i="1"/>
  <c r="AD823" i="1"/>
  <c r="AD824" i="1"/>
  <c r="AD825" i="1"/>
  <c r="AD826" i="1"/>
  <c r="L1001" i="3" s="1"/>
  <c r="AD827" i="1"/>
  <c r="AD828" i="1"/>
  <c r="AD829" i="1"/>
  <c r="AD830" i="1"/>
  <c r="AD831" i="1"/>
  <c r="AD832" i="1"/>
  <c r="AD833" i="1"/>
  <c r="AD834" i="1"/>
  <c r="L679" i="3" s="1"/>
  <c r="AD835" i="1"/>
  <c r="AD836" i="1"/>
  <c r="AD837" i="1"/>
  <c r="AD838" i="1"/>
  <c r="AD839" i="1"/>
  <c r="AD840" i="1"/>
  <c r="AD841" i="1"/>
  <c r="AD842" i="1"/>
  <c r="L569" i="3" s="1"/>
  <c r="AD843" i="1"/>
  <c r="AD844" i="1"/>
  <c r="AD845" i="1"/>
  <c r="AD846" i="1"/>
  <c r="AD847" i="1"/>
  <c r="AD848" i="1"/>
  <c r="AD849" i="1"/>
  <c r="AD850" i="1"/>
  <c r="L898" i="3" s="1"/>
  <c r="AD851" i="1"/>
  <c r="AD852" i="1"/>
  <c r="AD853" i="1"/>
  <c r="AD854" i="1"/>
  <c r="AD855" i="1"/>
  <c r="AD856" i="1"/>
  <c r="AD857" i="1"/>
  <c r="AD858" i="1"/>
  <c r="L538" i="3" s="1"/>
  <c r="AD859" i="1"/>
  <c r="AD860" i="1"/>
  <c r="AD861" i="1"/>
  <c r="AD862" i="1"/>
  <c r="AD863" i="1"/>
  <c r="AD864" i="1"/>
  <c r="AD865" i="1"/>
  <c r="AD866" i="1"/>
  <c r="L560" i="3" s="1"/>
  <c r="AD867" i="1"/>
  <c r="AD868" i="1"/>
  <c r="AD869" i="1"/>
  <c r="AD870" i="1"/>
  <c r="AD871" i="1"/>
  <c r="AD872" i="1"/>
  <c r="AD873" i="1"/>
  <c r="AD874" i="1"/>
  <c r="L836" i="3" s="1"/>
  <c r="AD875" i="1"/>
  <c r="AD876" i="1"/>
  <c r="AD877" i="1"/>
  <c r="AD878" i="1"/>
  <c r="AD879" i="1"/>
  <c r="AD880" i="1"/>
  <c r="AD881" i="1"/>
  <c r="AD882" i="1"/>
  <c r="L192" i="3" s="1"/>
  <c r="AD883" i="1"/>
  <c r="AD884" i="1"/>
  <c r="AD885" i="1"/>
  <c r="AD886" i="1"/>
  <c r="AD887" i="1"/>
  <c r="AD888" i="1"/>
  <c r="AD889" i="1"/>
  <c r="AD890" i="1"/>
  <c r="L573" i="3" s="1"/>
  <c r="AD891" i="1"/>
  <c r="AD892" i="1"/>
  <c r="AD893" i="1"/>
  <c r="AD894" i="1"/>
  <c r="AD895" i="1"/>
  <c r="AD896" i="1"/>
  <c r="AD897" i="1"/>
  <c r="AD898" i="1"/>
  <c r="L623" i="3" s="1"/>
  <c r="AD899" i="1"/>
  <c r="AD900" i="1"/>
  <c r="AD901" i="1"/>
  <c r="AD902" i="1"/>
  <c r="AD903" i="1"/>
  <c r="AD904" i="1"/>
  <c r="AD905" i="1"/>
  <c r="AD906" i="1"/>
  <c r="L945" i="3" s="1"/>
  <c r="AD907" i="1"/>
  <c r="AD908" i="1"/>
  <c r="AD909" i="1"/>
  <c r="AD910" i="1"/>
  <c r="AD911" i="1"/>
  <c r="AD912" i="1"/>
  <c r="AD913" i="1"/>
  <c r="AD914" i="1"/>
  <c r="L303" i="3" s="1"/>
  <c r="AD915" i="1"/>
  <c r="AD916" i="1"/>
  <c r="AD917" i="1"/>
  <c r="AD918" i="1"/>
  <c r="AD919" i="1"/>
  <c r="AD920" i="1"/>
  <c r="AD921" i="1"/>
  <c r="AD922" i="1"/>
  <c r="L878" i="3" s="1"/>
  <c r="AD923" i="1"/>
  <c r="AD924" i="1"/>
  <c r="AD925" i="1"/>
  <c r="AD926" i="1"/>
  <c r="AD927" i="1"/>
  <c r="AD928" i="1"/>
  <c r="AD929" i="1"/>
  <c r="AD930" i="1"/>
  <c r="L208" i="3" s="1"/>
  <c r="AD931" i="1"/>
  <c r="AD932" i="1"/>
  <c r="AD933" i="1"/>
  <c r="AD934" i="1"/>
  <c r="AD935" i="1"/>
  <c r="AD936" i="1"/>
  <c r="AD937" i="1"/>
  <c r="AD938" i="1"/>
  <c r="L432" i="3" s="1"/>
  <c r="AD939" i="1"/>
  <c r="AD940" i="1"/>
  <c r="AD941" i="1"/>
  <c r="AD942" i="1"/>
  <c r="AD943" i="1"/>
  <c r="AD944" i="1"/>
  <c r="AD945" i="1"/>
  <c r="AD946" i="1"/>
  <c r="L122" i="3" s="1"/>
  <c r="AD947" i="1"/>
  <c r="AD948" i="1"/>
  <c r="AD949" i="1"/>
  <c r="AD950" i="1"/>
  <c r="AD951" i="1"/>
  <c r="AD952" i="1"/>
  <c r="AD953" i="1"/>
  <c r="AD954" i="1"/>
  <c r="L351" i="3" s="1"/>
  <c r="AD955" i="1"/>
  <c r="AD956" i="1"/>
  <c r="AD957" i="1"/>
  <c r="AD958" i="1"/>
  <c r="AD959" i="1"/>
  <c r="AD960" i="1"/>
  <c r="AD961" i="1"/>
  <c r="AD962" i="1"/>
  <c r="L181" i="3" s="1"/>
  <c r="AD963" i="1"/>
  <c r="AD964" i="1"/>
  <c r="AD965" i="1"/>
  <c r="AD966" i="1"/>
  <c r="AD967" i="1"/>
  <c r="AD968" i="1"/>
  <c r="AD969" i="1"/>
  <c r="AD970" i="1"/>
  <c r="L852" i="3" s="1"/>
  <c r="AD971" i="1"/>
  <c r="AD972" i="1"/>
  <c r="AD973" i="1"/>
  <c r="AD974" i="1"/>
  <c r="AD975" i="1"/>
  <c r="AD976" i="1"/>
  <c r="AD977" i="1"/>
  <c r="AD978" i="1"/>
  <c r="L575" i="3" s="1"/>
  <c r="AD979" i="1"/>
  <c r="AD980" i="1"/>
  <c r="AD981" i="1"/>
  <c r="AD982" i="1"/>
  <c r="AD983" i="1"/>
  <c r="AD984" i="1"/>
  <c r="AD985" i="1"/>
  <c r="AD986" i="1"/>
  <c r="L328" i="3" s="1"/>
  <c r="AD987" i="1"/>
  <c r="AD988" i="1"/>
  <c r="AD989" i="1"/>
  <c r="AD990" i="1"/>
  <c r="AD991" i="1"/>
  <c r="AD992" i="1"/>
  <c r="AD993" i="1"/>
  <c r="AD994" i="1"/>
  <c r="L226" i="3" s="1"/>
  <c r="AD995" i="1"/>
  <c r="AD996" i="1"/>
  <c r="AD997" i="1"/>
  <c r="AD998" i="1"/>
  <c r="AD999" i="1"/>
  <c r="AD1000" i="1"/>
  <c r="AD1001" i="1"/>
  <c r="AD2" i="1"/>
  <c r="B227" i="3"/>
  <c r="B187" i="3"/>
  <c r="B565" i="3"/>
  <c r="B190" i="3"/>
  <c r="B40" i="3"/>
  <c r="B211" i="3"/>
  <c r="B446" i="3"/>
  <c r="B855" i="3"/>
  <c r="B220" i="3"/>
  <c r="B530" i="3"/>
  <c r="B146" i="3"/>
  <c r="B75" i="3"/>
  <c r="B584" i="3"/>
  <c r="B263" i="3"/>
  <c r="B472" i="3"/>
  <c r="B557" i="3"/>
  <c r="B124" i="3"/>
  <c r="B129" i="3"/>
  <c r="B92" i="3"/>
  <c r="B494" i="3"/>
  <c r="B251" i="3"/>
  <c r="B234" i="3"/>
  <c r="B246" i="3"/>
  <c r="B161" i="3"/>
  <c r="B917" i="3"/>
  <c r="B683" i="3"/>
  <c r="B613" i="3"/>
  <c r="B352" i="3"/>
  <c r="B504" i="3"/>
  <c r="B923" i="3"/>
  <c r="B586" i="3"/>
  <c r="B381" i="3"/>
  <c r="B508" i="3"/>
  <c r="B163" i="3"/>
  <c r="B210" i="3"/>
  <c r="B459" i="3"/>
  <c r="B784" i="3"/>
  <c r="B467" i="3"/>
  <c r="B11" i="3"/>
  <c r="B23" i="3"/>
  <c r="B972" i="3"/>
  <c r="B654" i="3"/>
  <c r="B496" i="3"/>
  <c r="B248" i="3"/>
  <c r="B493" i="3"/>
  <c r="B357" i="3"/>
  <c r="B861" i="3"/>
  <c r="B864" i="3"/>
  <c r="B798" i="3"/>
  <c r="B904" i="3"/>
  <c r="B750" i="3"/>
  <c r="B243" i="3"/>
  <c r="B497" i="3"/>
  <c r="B795" i="3"/>
  <c r="B267" i="3"/>
  <c r="B851" i="3"/>
  <c r="B578" i="3"/>
  <c r="B912" i="3"/>
  <c r="B232" i="3"/>
  <c r="B235" i="3"/>
  <c r="B337" i="3"/>
  <c r="B671" i="3"/>
  <c r="B66" i="3"/>
  <c r="B276" i="3"/>
  <c r="B673" i="3"/>
  <c r="B388" i="3"/>
  <c r="B150" i="3"/>
  <c r="B485" i="3"/>
  <c r="B9" i="3"/>
  <c r="B718" i="3"/>
  <c r="B22" i="3"/>
  <c r="B539" i="3"/>
  <c r="B34" i="3"/>
  <c r="B632" i="3"/>
  <c r="B724" i="3"/>
  <c r="B46" i="3"/>
  <c r="B156" i="3"/>
  <c r="B601" i="3"/>
  <c r="B170" i="3"/>
  <c r="B695" i="3"/>
  <c r="B877" i="3"/>
  <c r="B475" i="3"/>
  <c r="B659" i="3"/>
  <c r="B25" i="3"/>
  <c r="B946" i="3"/>
  <c r="B875" i="3"/>
  <c r="B567" i="3"/>
  <c r="B95" i="3"/>
  <c r="B729" i="3"/>
  <c r="B959" i="3"/>
  <c r="B93" i="3"/>
  <c r="B195" i="3"/>
  <c r="B652" i="3"/>
  <c r="B155" i="3"/>
  <c r="B638" i="3"/>
  <c r="B288" i="3"/>
  <c r="B591" i="3"/>
  <c r="B476" i="3"/>
  <c r="B727" i="3"/>
  <c r="B666" i="3"/>
  <c r="B254" i="3"/>
  <c r="B280" i="3"/>
  <c r="B957" i="3"/>
  <c r="B876" i="3"/>
  <c r="B85" i="3"/>
  <c r="B67" i="3"/>
  <c r="B399" i="3"/>
  <c r="B899" i="3"/>
  <c r="B372" i="3"/>
  <c r="B834" i="3"/>
  <c r="B723" i="3"/>
  <c r="B323" i="3"/>
  <c r="B776" i="3"/>
  <c r="B43" i="3"/>
  <c r="B725" i="3"/>
  <c r="B97" i="3"/>
  <c r="B824" i="3"/>
  <c r="B702" i="3"/>
  <c r="B796" i="3"/>
  <c r="B614" i="3"/>
  <c r="B335" i="3"/>
  <c r="B311" i="3"/>
  <c r="B820" i="3"/>
  <c r="B668" i="3"/>
  <c r="B294" i="3"/>
  <c r="B769" i="3"/>
  <c r="B746" i="3"/>
  <c r="B63" i="3"/>
  <c r="B332" i="3"/>
  <c r="B408" i="3"/>
  <c r="B88" i="3"/>
  <c r="B259" i="3"/>
  <c r="B523" i="3"/>
  <c r="B406" i="3"/>
  <c r="B21" i="3"/>
  <c r="B437" i="3"/>
  <c r="B553" i="3"/>
  <c r="B847" i="3"/>
  <c r="B756" i="3"/>
  <c r="B206" i="3"/>
  <c r="B682" i="3"/>
  <c r="B395" i="3"/>
  <c r="B374" i="3"/>
  <c r="B126" i="3"/>
  <c r="B24" i="3"/>
  <c r="B159" i="3"/>
  <c r="B641" i="3"/>
  <c r="B866" i="3"/>
  <c r="B602" i="3"/>
  <c r="B506" i="3"/>
  <c r="B801" i="3"/>
  <c r="B134" i="3"/>
  <c r="B566" i="3"/>
  <c r="B356" i="3"/>
  <c r="B17" i="3"/>
  <c r="B445" i="3"/>
  <c r="B107" i="3"/>
  <c r="B469" i="3"/>
  <c r="B996" i="3"/>
  <c r="B355" i="3"/>
  <c r="B490" i="3"/>
  <c r="B125" i="3"/>
  <c r="B32" i="3"/>
  <c r="B127" i="3"/>
  <c r="B763" i="3"/>
  <c r="B13" i="3"/>
  <c r="B766" i="3"/>
  <c r="B4" i="3"/>
  <c r="B377" i="3"/>
  <c r="B528" i="3"/>
  <c r="B692" i="3"/>
  <c r="B451" i="3"/>
  <c r="B755" i="3"/>
  <c r="B787" i="3"/>
  <c r="B76" i="3"/>
  <c r="B338" i="3"/>
  <c r="B354" i="3"/>
  <c r="B405" i="3"/>
  <c r="B892" i="3"/>
  <c r="B767" i="3"/>
  <c r="B986" i="3"/>
  <c r="B581" i="3"/>
  <c r="B706" i="3"/>
  <c r="B753" i="3"/>
  <c r="B481" i="3"/>
  <c r="B166" i="3"/>
  <c r="B264" i="3"/>
  <c r="B318" i="3"/>
  <c r="B300" i="3"/>
  <c r="B965" i="3"/>
  <c r="B73" i="3"/>
  <c r="B507" i="3"/>
  <c r="B60" i="3"/>
  <c r="B257" i="3"/>
  <c r="B228" i="3"/>
  <c r="B690" i="3"/>
  <c r="B721" i="3"/>
  <c r="B279" i="3"/>
  <c r="B561" i="3"/>
  <c r="B869" i="3"/>
  <c r="B138" i="3"/>
  <c r="B461" i="3"/>
  <c r="B429" i="3"/>
  <c r="B174" i="3"/>
  <c r="B974" i="3"/>
  <c r="B380" i="3"/>
  <c r="B777" i="3"/>
  <c r="B642" i="3"/>
  <c r="B342" i="3"/>
  <c r="B441" i="3"/>
  <c r="B83" i="3"/>
  <c r="B225" i="3"/>
  <c r="B509" i="3"/>
  <c r="B933" i="3"/>
  <c r="B486" i="3"/>
  <c r="B64" i="3"/>
  <c r="B563" i="3"/>
  <c r="B736" i="3"/>
  <c r="B607" i="3"/>
  <c r="B955" i="3"/>
  <c r="B495" i="3"/>
  <c r="B961" i="3"/>
  <c r="B57" i="3"/>
  <c r="B7" i="3"/>
  <c r="B831" i="3"/>
  <c r="B786" i="3"/>
  <c r="B158" i="3"/>
  <c r="B213" i="3"/>
  <c r="B145" i="3"/>
  <c r="B609" i="3"/>
  <c r="B670" i="3"/>
  <c r="B994" i="3"/>
  <c r="B932" i="3"/>
  <c r="B903" i="3"/>
  <c r="B177" i="3"/>
  <c r="B105" i="3"/>
  <c r="B819" i="3"/>
  <c r="B674" i="3"/>
  <c r="B799" i="3"/>
  <c r="B672" i="3"/>
  <c r="B735" i="3"/>
  <c r="B976" i="3"/>
  <c r="B995" i="3"/>
  <c r="B661" i="3"/>
  <c r="B348" i="3"/>
  <c r="B511" i="3"/>
  <c r="B49" i="3"/>
  <c r="B693" i="3"/>
  <c r="B281" i="3"/>
  <c r="B449" i="3"/>
  <c r="B439" i="3"/>
  <c r="B677" i="3"/>
  <c r="B879" i="3"/>
  <c r="B330" i="3"/>
  <c r="B554" i="3"/>
  <c r="B78" i="3"/>
  <c r="B414" i="3"/>
  <c r="B610" i="3"/>
  <c r="B272" i="3"/>
  <c r="B258" i="3"/>
  <c r="B807" i="3"/>
  <c r="B316" i="3"/>
  <c r="B460" i="3"/>
  <c r="B596" i="3"/>
  <c r="B947" i="3"/>
  <c r="B260" i="3"/>
  <c r="B930" i="3"/>
  <c r="B549" i="3"/>
  <c r="B867" i="3"/>
  <c r="B353" i="3"/>
  <c r="B649" i="3"/>
  <c r="B537" i="3"/>
  <c r="B653" i="3"/>
  <c r="B48" i="3"/>
  <c r="B844" i="3"/>
  <c r="B425" i="3"/>
  <c r="B764" i="3"/>
  <c r="B3" i="3"/>
  <c r="B908" i="3"/>
  <c r="B453" i="3"/>
  <c r="B321" i="3"/>
  <c r="B455" i="3"/>
  <c r="B202" i="3"/>
  <c r="B131" i="3"/>
  <c r="B68" i="3"/>
  <c r="B373" i="3"/>
  <c r="B390" i="3"/>
  <c r="B114" i="3"/>
  <c r="B422" i="3"/>
  <c r="B371" i="3"/>
  <c r="B817" i="3"/>
  <c r="B290" i="3"/>
  <c r="B194" i="3"/>
  <c r="B112" i="3"/>
  <c r="B103" i="3"/>
  <c r="B577" i="3"/>
  <c r="B977" i="3"/>
  <c r="B583" i="3"/>
  <c r="B521" i="3"/>
  <c r="B376" i="3"/>
  <c r="B640" i="3"/>
  <c r="B705" i="3"/>
  <c r="B606" i="3"/>
  <c r="B980" i="3"/>
  <c r="B307" i="3"/>
  <c r="B829" i="3"/>
  <c r="B675" i="3"/>
  <c r="B133" i="3"/>
  <c r="B411" i="3"/>
  <c r="B758" i="3"/>
  <c r="B687" i="3"/>
  <c r="B334" i="3"/>
  <c r="B277" i="3"/>
  <c r="B552" i="3"/>
  <c r="B838" i="3"/>
  <c r="B474" i="3"/>
  <c r="B732" i="3"/>
  <c r="B136" i="3"/>
  <c r="B739" i="3"/>
  <c r="B770" i="3"/>
  <c r="B598" i="3"/>
  <c r="B224" i="3"/>
  <c r="B320" i="3"/>
  <c r="B811" i="3"/>
  <c r="B59" i="3"/>
  <c r="B781" i="3"/>
  <c r="B343" i="3"/>
  <c r="B424" i="3"/>
  <c r="B113" i="3"/>
  <c r="B198" i="3"/>
  <c r="B42" i="3"/>
  <c r="B8" i="3"/>
  <c r="B710" i="3"/>
  <c r="B967" i="3"/>
  <c r="B164" i="3"/>
  <c r="B696" i="3"/>
  <c r="B90" i="3"/>
  <c r="B627" i="3"/>
  <c r="B256" i="3"/>
  <c r="B611" i="3"/>
  <c r="B180" i="3"/>
  <c r="B920" i="3"/>
  <c r="B147" i="3"/>
  <c r="B922" i="3"/>
  <c r="B396" i="3"/>
  <c r="B634" i="3"/>
  <c r="B905" i="3"/>
  <c r="B140" i="3"/>
  <c r="B269" i="3"/>
  <c r="B325" i="3"/>
  <c r="B910" i="3"/>
  <c r="B285" i="3"/>
  <c r="B344" i="3"/>
  <c r="B102" i="3"/>
  <c r="B52" i="3"/>
  <c r="B720" i="3"/>
  <c r="B207" i="3"/>
  <c r="B931" i="3"/>
  <c r="B988" i="3"/>
  <c r="B108" i="3"/>
  <c r="B479" i="3"/>
  <c r="B859" i="3"/>
  <c r="B410" i="3"/>
  <c r="B386" i="3"/>
  <c r="B531" i="3"/>
  <c r="B483" i="3"/>
  <c r="B759" i="3"/>
  <c r="B714" i="3"/>
  <c r="B748" i="3"/>
  <c r="B296" i="3"/>
  <c r="B651" i="3"/>
  <c r="B397" i="3"/>
  <c r="B551" i="3"/>
  <c r="B491" i="3"/>
  <c r="B891" i="3"/>
  <c r="B273" i="3"/>
  <c r="B907" i="3"/>
  <c r="B830" i="3"/>
  <c r="B51" i="3"/>
  <c r="B592" i="3"/>
  <c r="B555" i="3"/>
  <c r="B378" i="3"/>
  <c r="B542" i="3"/>
  <c r="B562" i="3"/>
  <c r="B31" i="3"/>
  <c r="B966" i="3"/>
  <c r="B913" i="3"/>
  <c r="B827" i="3"/>
  <c r="B818" i="3"/>
  <c r="B319" i="3"/>
  <c r="B950" i="3"/>
  <c r="B597" i="3"/>
  <c r="B752" i="3"/>
  <c r="B503" i="3"/>
  <c r="B743" i="3"/>
  <c r="B70" i="3"/>
  <c r="B392" i="3"/>
  <c r="B236" i="3"/>
  <c r="B154" i="3"/>
  <c r="B924" i="3"/>
  <c r="B617" i="3"/>
  <c r="B275" i="3"/>
  <c r="B516" i="3"/>
  <c r="B492" i="3"/>
  <c r="B250" i="3"/>
  <c r="B949" i="3"/>
  <c r="B252" i="3"/>
  <c r="B604" i="3"/>
  <c r="B982" i="3"/>
  <c r="B262" i="3"/>
  <c r="B62" i="3"/>
  <c r="B546" i="3"/>
  <c r="B837" i="3"/>
  <c r="B426" i="3"/>
  <c r="B452" i="3"/>
  <c r="B570" i="3"/>
  <c r="B240" i="3"/>
  <c r="B628" i="3"/>
  <c r="B605" i="3"/>
  <c r="B761" i="3"/>
  <c r="B358" i="3"/>
  <c r="B18" i="3"/>
  <c r="B324" i="3"/>
  <c r="B896" i="3"/>
  <c r="B643" i="3"/>
  <c r="B644" i="3"/>
  <c r="B803" i="3"/>
  <c r="B622" i="3"/>
  <c r="B420" i="3"/>
  <c r="B415" i="3"/>
  <c r="B529" i="3"/>
  <c r="B178" i="3"/>
  <c r="B656" i="3"/>
  <c r="B821" i="3"/>
  <c r="B669" i="3"/>
  <c r="B887" i="3"/>
  <c r="B91" i="3"/>
  <c r="B813" i="3"/>
  <c r="B856" i="3"/>
  <c r="B688" i="3"/>
  <c r="B448" i="3"/>
  <c r="B757" i="3"/>
  <c r="B667" i="3"/>
  <c r="B719" i="3"/>
  <c r="B883" i="3"/>
  <c r="B664" i="3"/>
  <c r="B921" i="3"/>
  <c r="B130" i="3"/>
  <c r="B168" i="3"/>
  <c r="B630" i="3"/>
  <c r="B639" i="3"/>
  <c r="B865" i="3"/>
  <c r="B364" i="3"/>
  <c r="B473" i="3"/>
  <c r="B956" i="3"/>
  <c r="B792" i="3"/>
  <c r="B418" i="3"/>
  <c r="B526" i="3"/>
  <c r="B833" i="3"/>
  <c r="B186" i="3"/>
  <c r="B981" i="3"/>
  <c r="B540" i="3"/>
  <c r="B846" i="3"/>
  <c r="B297" i="3"/>
  <c r="B985" i="3"/>
  <c r="B559" i="3"/>
  <c r="B499" i="3"/>
  <c r="B36" i="3"/>
  <c r="B400" i="3"/>
  <c r="B925" i="3"/>
  <c r="B326" i="3"/>
  <c r="B625" i="3"/>
  <c r="B89" i="3"/>
  <c r="B462" i="3"/>
  <c r="B754" i="3"/>
  <c r="B218" i="3"/>
  <c r="B118" i="3"/>
  <c r="B881" i="3"/>
  <c r="B327" i="3"/>
  <c r="B29" i="3"/>
  <c r="B512" i="3"/>
  <c r="B522" i="3"/>
  <c r="B871" i="3"/>
  <c r="B747" i="3"/>
  <c r="B520" i="3"/>
  <c r="B306" i="3"/>
  <c r="B888" i="3"/>
  <c r="B703" i="3"/>
  <c r="B430" i="3"/>
  <c r="B444" i="3"/>
  <c r="B704" i="3"/>
  <c r="B295" i="3"/>
  <c r="B149" i="3"/>
  <c r="B700" i="3"/>
  <c r="B728" i="3"/>
  <c r="B65" i="3"/>
  <c r="B284" i="3"/>
  <c r="B937" i="3"/>
  <c r="B547" i="3"/>
  <c r="B139" i="3"/>
  <c r="B731" i="3"/>
  <c r="B951" i="3"/>
  <c r="B911" i="3"/>
  <c r="B969" i="3"/>
  <c r="B749" i="3"/>
  <c r="B952" i="3"/>
  <c r="B697" i="3"/>
  <c r="B87" i="3"/>
  <c r="B204" i="3"/>
  <c r="B958" i="3"/>
  <c r="B615" i="3"/>
  <c r="B711" i="3"/>
  <c r="B169" i="3"/>
  <c r="B717" i="3"/>
  <c r="B624" i="3"/>
  <c r="B621" i="3"/>
  <c r="B435" i="3"/>
  <c r="B215" i="3"/>
  <c r="B815" i="3"/>
  <c r="B336" i="3"/>
  <c r="B782" i="3"/>
  <c r="B637" i="3"/>
  <c r="B404" i="3"/>
  <c r="B253" i="3"/>
  <c r="B385" i="3"/>
  <c r="B572" i="3"/>
  <c r="B845" i="3"/>
  <c r="B536" i="3"/>
  <c r="B608" i="3"/>
  <c r="B816" i="3"/>
  <c r="B329" i="3"/>
  <c r="B940" i="3"/>
  <c r="B505" i="3"/>
  <c r="B588" i="3"/>
  <c r="B745" i="3"/>
  <c r="B780" i="3"/>
  <c r="B242" i="3"/>
  <c r="B953" i="3"/>
  <c r="B979" i="3"/>
  <c r="B775" i="3"/>
  <c r="B502" i="3"/>
  <c r="B941" i="3"/>
  <c r="B407" i="3"/>
  <c r="B929" i="3"/>
  <c r="B991" i="3"/>
  <c r="B983" i="3"/>
  <c r="B968" i="3"/>
  <c r="B926" i="3"/>
  <c r="B810" i="3"/>
  <c r="B28" i="3"/>
  <c r="B809" i="3"/>
  <c r="B534" i="3"/>
  <c r="B100" i="3"/>
  <c r="B341" i="3"/>
  <c r="B312" i="3"/>
  <c r="B814" i="3"/>
  <c r="B515" i="3"/>
  <c r="B84" i="3"/>
  <c r="B19" i="3"/>
  <c r="B322" i="3"/>
  <c r="B895" i="3"/>
  <c r="B699" i="3"/>
  <c r="B989" i="3"/>
  <c r="B33" i="3"/>
  <c r="B470" i="3"/>
  <c r="B938" i="3"/>
  <c r="B500" i="3"/>
  <c r="B863" i="3"/>
  <c r="B576" i="3"/>
  <c r="B431" i="3"/>
  <c r="B173" i="3"/>
  <c r="B751" i="3"/>
  <c r="B104" i="3"/>
  <c r="B363" i="3"/>
  <c r="B15" i="3"/>
  <c r="B808" i="3"/>
  <c r="B436" i="3"/>
  <c r="B498" i="3"/>
  <c r="B484" i="3"/>
  <c r="B545" i="3"/>
  <c r="B403" i="3"/>
  <c r="B347" i="3"/>
  <c r="B691" i="3"/>
  <c r="B339" i="3"/>
  <c r="B722" i="3"/>
  <c r="B806" i="3"/>
  <c r="B730" i="3"/>
  <c r="B301" i="3"/>
  <c r="B626" i="3"/>
  <c r="B38" i="3"/>
  <c r="B212" i="3"/>
  <c r="B880" i="3"/>
  <c r="B849" i="3"/>
  <c r="B135" i="3"/>
  <c r="B121" i="3"/>
  <c r="B633" i="3"/>
  <c r="B331" i="3"/>
  <c r="B141" i="3"/>
  <c r="B128" i="3"/>
  <c r="B804" i="3"/>
  <c r="B20" i="3"/>
  <c r="B684" i="3"/>
  <c r="B579" i="3"/>
  <c r="B239" i="3"/>
  <c r="B960" i="3"/>
  <c r="B665" i="3"/>
  <c r="B832" i="3"/>
  <c r="B471" i="3"/>
  <c r="B205" i="3"/>
  <c r="B182" i="3"/>
  <c r="B172" i="3"/>
  <c r="B247" i="3"/>
  <c r="B772" i="3"/>
  <c r="B393" i="3"/>
  <c r="B80" i="3"/>
  <c r="B580" i="3"/>
  <c r="B468" i="3"/>
  <c r="B768" i="3"/>
  <c r="B443" i="3"/>
  <c r="B918" i="3"/>
  <c r="B96" i="3"/>
  <c r="B416" i="3"/>
  <c r="B366" i="3"/>
  <c r="B487" i="3"/>
  <c r="B681" i="3"/>
  <c r="B365" i="3"/>
  <c r="B935" i="3"/>
  <c r="B915" i="3"/>
  <c r="B2" i="3"/>
  <c r="B998" i="3"/>
  <c r="B514" i="3"/>
  <c r="B882" i="3"/>
  <c r="B427" i="3"/>
  <c r="B209" i="3"/>
  <c r="B647" i="3"/>
  <c r="B885" i="3"/>
  <c r="B361" i="3"/>
  <c r="B77" i="3"/>
  <c r="B293" i="3"/>
  <c r="B489" i="3"/>
  <c r="B927" i="3"/>
  <c r="B265" i="3"/>
  <c r="B81" i="3"/>
  <c r="B333" i="3"/>
  <c r="B890" i="3"/>
  <c r="B482" i="3"/>
  <c r="B266" i="3"/>
  <c r="B369" i="3"/>
  <c r="B230" i="3"/>
  <c r="B255" i="3"/>
  <c r="B823" i="3"/>
  <c r="B466" i="3"/>
  <c r="B860" i="3"/>
  <c r="B737" i="3"/>
  <c r="B30" i="3"/>
  <c r="B47" i="3"/>
  <c r="B802" i="3"/>
  <c r="B72" i="3"/>
  <c r="B119" i="3"/>
  <c r="B629" i="3"/>
  <c r="B217" i="3"/>
  <c r="B450" i="3"/>
  <c r="B44" i="3"/>
  <c r="B712" i="3"/>
  <c r="B148" i="3"/>
  <c r="B345" i="3"/>
  <c r="B788" i="3"/>
  <c r="B778" i="3"/>
  <c r="B858" i="3"/>
  <c r="B812" i="3"/>
  <c r="B789" i="3"/>
  <c r="B771" i="3"/>
  <c r="B340" i="3"/>
  <c r="B694" i="3"/>
  <c r="B401" i="3"/>
  <c r="B109" i="3"/>
  <c r="B302" i="3"/>
  <c r="B315" i="3"/>
  <c r="B790" i="3"/>
  <c r="B291" i="3"/>
  <c r="B934" i="3"/>
  <c r="B214" i="3"/>
  <c r="B16" i="3"/>
  <c r="B698" i="3"/>
  <c r="B219" i="3"/>
  <c r="B862" i="3"/>
  <c r="B715" i="3"/>
  <c r="B709" i="3"/>
  <c r="B216" i="3"/>
  <c r="B999" i="3"/>
  <c r="B442" i="3"/>
  <c r="B740" i="3"/>
  <c r="B797" i="3"/>
  <c r="B193" i="3"/>
  <c r="B571" i="3"/>
  <c r="B793" i="3"/>
  <c r="B456" i="3"/>
  <c r="B151" i="3"/>
  <c r="B115" i="3"/>
  <c r="B350" i="3"/>
  <c r="B398" i="3"/>
  <c r="B389" i="3"/>
  <c r="B646" i="3"/>
  <c r="B241" i="3"/>
  <c r="B680" i="3"/>
  <c r="B237" i="3"/>
  <c r="B58" i="3"/>
  <c r="B631" i="3"/>
  <c r="B488" i="3"/>
  <c r="B120" i="3"/>
  <c r="B71" i="3"/>
  <c r="B50" i="3"/>
  <c r="B152" i="3"/>
  <c r="B200" i="3"/>
  <c r="B438" i="3"/>
  <c r="B409" i="3"/>
  <c r="B689" i="3"/>
  <c r="B826" i="3"/>
  <c r="B261" i="3"/>
  <c r="B222" i="3"/>
  <c r="B99" i="3"/>
  <c r="B196" i="3"/>
  <c r="B233" i="3"/>
  <c r="B589" i="3"/>
  <c r="B532" i="3"/>
  <c r="B12" i="3"/>
  <c r="B10" i="3"/>
  <c r="B179" i="3"/>
  <c r="B987" i="3"/>
  <c r="B463" i="3"/>
  <c r="B973" i="3"/>
  <c r="B556" i="3"/>
  <c r="B734" i="3"/>
  <c r="B645" i="3"/>
  <c r="B663" i="3"/>
  <c r="B902" i="3"/>
  <c r="B843" i="3"/>
  <c r="B686" i="3"/>
  <c r="B685" i="3"/>
  <c r="B82" i="3"/>
  <c r="B383" i="3"/>
  <c r="B137" i="3"/>
  <c r="B738" i="3"/>
  <c r="B191" i="3"/>
  <c r="B26" i="3"/>
  <c r="B423" i="3"/>
  <c r="B650" i="3"/>
  <c r="B465" i="3"/>
  <c r="B56" i="3"/>
  <c r="B513" i="3"/>
  <c r="B541" i="3"/>
  <c r="B900" i="3"/>
  <c r="B231" i="3"/>
  <c r="B454" i="3"/>
  <c r="B857" i="3"/>
  <c r="B298" i="3"/>
  <c r="B600" i="3"/>
  <c r="B744" i="3"/>
  <c r="B249" i="3"/>
  <c r="B14" i="3"/>
  <c r="B238" i="3"/>
  <c r="B590" i="3"/>
  <c r="B201" i="3"/>
  <c r="B825" i="3"/>
  <c r="B310" i="3"/>
  <c r="B939" i="3"/>
  <c r="B313" i="3"/>
  <c r="B162" i="3"/>
  <c r="B203" i="3"/>
  <c r="B548" i="3"/>
  <c r="B160" i="3"/>
  <c r="B942" i="3"/>
  <c r="B791" i="3"/>
  <c r="B901" i="3"/>
  <c r="B69" i="3"/>
  <c r="B116" i="3"/>
  <c r="B305" i="3"/>
  <c r="B742" i="3"/>
  <c r="B412" i="3"/>
  <c r="B464" i="3"/>
  <c r="B35" i="3"/>
  <c r="B525" i="3"/>
  <c r="B975" i="3"/>
  <c r="B185" i="3"/>
  <c r="B657" i="3"/>
  <c r="B874" i="3"/>
  <c r="B909" i="3"/>
  <c r="B106" i="3"/>
  <c r="B760" i="3"/>
  <c r="B889" i="3"/>
  <c r="B648" i="3"/>
  <c r="B990" i="3"/>
  <c r="B848" i="3"/>
  <c r="B153" i="3"/>
  <c r="B183" i="3"/>
  <c r="B708" i="3"/>
  <c r="B440" i="3"/>
  <c r="B603" i="3"/>
  <c r="B55" i="3"/>
  <c r="B550" i="3"/>
  <c r="B447" i="3"/>
  <c r="B519" i="3"/>
  <c r="B245" i="3"/>
  <c r="B906" i="3"/>
  <c r="B741" i="3"/>
  <c r="B421" i="3"/>
  <c r="B110" i="3"/>
  <c r="B314" i="3"/>
  <c r="B375" i="3"/>
  <c r="B970" i="3"/>
  <c r="B223" i="3"/>
  <c r="B558" i="3"/>
  <c r="B762" i="3"/>
  <c r="B916" i="3"/>
  <c r="B585" i="3"/>
  <c r="B413" i="3"/>
  <c r="B175" i="3"/>
  <c r="B919" i="3"/>
  <c r="B518" i="3"/>
  <c r="B289" i="3"/>
  <c r="B774" i="3"/>
  <c r="B594" i="3"/>
  <c r="B943" i="3"/>
  <c r="B1001" i="3"/>
  <c r="B992" i="3"/>
  <c r="B993" i="3"/>
  <c r="B853" i="3"/>
  <c r="B270" i="3"/>
  <c r="B278" i="3"/>
  <c r="B157" i="3"/>
  <c r="B165" i="3"/>
  <c r="B679" i="3"/>
  <c r="B997" i="3"/>
  <c r="B785" i="3"/>
  <c r="B98" i="3"/>
  <c r="B635" i="3"/>
  <c r="B229" i="3"/>
  <c r="B417" i="3"/>
  <c r="B54" i="3"/>
  <c r="B569" i="3"/>
  <c r="B884" i="3"/>
  <c r="B783" i="3"/>
  <c r="B873" i="3"/>
  <c r="B171" i="3"/>
  <c r="B167" i="3"/>
  <c r="B189" i="3"/>
  <c r="B928" i="3"/>
  <c r="B898" i="3"/>
  <c r="B349" i="3"/>
  <c r="B897" i="3"/>
  <c r="B86" i="3"/>
  <c r="B317" i="3"/>
  <c r="B954" i="3"/>
  <c r="B701" i="3"/>
  <c r="B501" i="3"/>
  <c r="B538" i="3"/>
  <c r="B527" i="3"/>
  <c r="B978" i="3"/>
  <c r="B458" i="3"/>
  <c r="B733" i="3"/>
  <c r="B6" i="3"/>
  <c r="B384" i="3"/>
  <c r="B800" i="3"/>
  <c r="B560" i="3"/>
  <c r="B144" i="3"/>
  <c r="B132" i="3"/>
  <c r="B533" i="3"/>
  <c r="B117" i="3"/>
  <c r="B79" i="3"/>
  <c r="B123" i="3"/>
  <c r="B304" i="3"/>
  <c r="B836" i="3"/>
  <c r="B619" i="3"/>
  <c r="B984" i="3"/>
  <c r="B535" i="3"/>
  <c r="B779" i="3"/>
  <c r="B244" i="3"/>
  <c r="B367" i="3"/>
  <c r="B868" i="3"/>
  <c r="B192" i="3"/>
  <c r="B283" i="3"/>
  <c r="B387" i="3"/>
  <c r="B308" i="3"/>
  <c r="B773" i="3"/>
  <c r="B713" i="3"/>
  <c r="B271" i="3"/>
  <c r="B893" i="3"/>
  <c r="B573" i="3"/>
  <c r="B111" i="3"/>
  <c r="B510" i="3"/>
  <c r="B478" i="3"/>
  <c r="B457" i="3"/>
  <c r="B841" i="3"/>
  <c r="B428" i="3"/>
  <c r="B362" i="3"/>
  <c r="B623" i="3"/>
  <c r="B854" i="3"/>
  <c r="B963" i="3"/>
  <c r="B564" i="3"/>
  <c r="B612" i="3"/>
  <c r="B346" i="3"/>
  <c r="B184" i="3"/>
  <c r="B188" i="3"/>
  <c r="B945" i="3"/>
  <c r="B655" i="3"/>
  <c r="B765" i="3"/>
  <c r="B143" i="3"/>
  <c r="B37" i="3"/>
  <c r="B45" i="3"/>
  <c r="B360" i="3"/>
  <c r="B197" i="3"/>
  <c r="B303" i="3"/>
  <c r="B274" i="3"/>
  <c r="B27" i="3"/>
  <c r="B707" i="3"/>
  <c r="B402" i="3"/>
  <c r="B618" i="3"/>
  <c r="B379" i="3"/>
  <c r="B176" i="3"/>
  <c r="B878" i="3"/>
  <c r="B287" i="3"/>
  <c r="B286" i="3"/>
  <c r="B299" i="3"/>
  <c r="B61" i="3"/>
  <c r="B282" i="3"/>
  <c r="B835" i="3"/>
  <c r="B1000" i="3"/>
  <c r="B208" i="3"/>
  <c r="B936" i="3"/>
  <c r="B574" i="3"/>
  <c r="B944" i="3"/>
  <c r="B477" i="3"/>
  <c r="B716" i="3"/>
  <c r="B568" i="3"/>
  <c r="B850" i="3"/>
  <c r="B432" i="3"/>
  <c r="B971" i="3"/>
  <c r="B359" i="3"/>
  <c r="B662" i="3"/>
  <c r="B593" i="3"/>
  <c r="B582" i="3"/>
  <c r="B543" i="3"/>
  <c r="B382" i="3"/>
  <c r="B122" i="3"/>
  <c r="B886" i="3"/>
  <c r="B517" i="3"/>
  <c r="B587" i="3"/>
  <c r="B805" i="3"/>
  <c r="B870" i="3"/>
  <c r="B480" i="3"/>
  <c r="B391" i="3"/>
  <c r="B351" i="3"/>
  <c r="B41" i="3"/>
  <c r="B872" i="3"/>
  <c r="B828" i="3"/>
  <c r="B94" i="3"/>
  <c r="B676" i="3"/>
  <c r="B142" i="3"/>
  <c r="B964" i="3"/>
  <c r="B181" i="3"/>
  <c r="B948" i="3"/>
  <c r="B616" i="3"/>
  <c r="B544" i="3"/>
  <c r="B39" i="3"/>
  <c r="B394" i="3"/>
  <c r="B419" i="3"/>
  <c r="B636" i="3"/>
  <c r="B852" i="3"/>
  <c r="B292" i="3"/>
  <c r="B794" i="3"/>
  <c r="B726" i="3"/>
  <c r="B894" i="3"/>
  <c r="B658" i="3"/>
  <c r="B434" i="3"/>
  <c r="B199" i="3"/>
  <c r="B575" i="3"/>
  <c r="B74" i="3"/>
  <c r="B822" i="3"/>
  <c r="B433" i="3"/>
  <c r="B309" i="3"/>
  <c r="B842" i="3"/>
  <c r="B524" i="3"/>
  <c r="B268" i="3"/>
  <c r="B328" i="3"/>
  <c r="B5" i="3"/>
  <c r="B840" i="3"/>
  <c r="B660" i="3"/>
  <c r="B914" i="3"/>
  <c r="B595" i="3"/>
  <c r="B962" i="3"/>
  <c r="B53" i="3"/>
  <c r="B226" i="3"/>
  <c r="B368" i="3"/>
  <c r="B678" i="3"/>
  <c r="B101" i="3"/>
  <c r="B839" i="3"/>
  <c r="B599" i="3"/>
  <c r="B370" i="3"/>
  <c r="B620" i="3"/>
  <c r="B221" i="3"/>
  <c r="F242" i="1"/>
  <c r="F250" i="1"/>
  <c r="F306" i="1"/>
  <c r="F314" i="1"/>
  <c r="F370" i="1"/>
  <c r="F378" i="1"/>
  <c r="F434" i="1"/>
  <c r="F442" i="1"/>
  <c r="F498" i="1"/>
  <c r="F506" i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AG29" i="1"/>
  <c r="I227" i="3"/>
  <c r="I187" i="3"/>
  <c r="I565" i="3"/>
  <c r="I190" i="3"/>
  <c r="I40" i="3"/>
  <c r="I211" i="3"/>
  <c r="I446" i="3"/>
  <c r="I855" i="3"/>
  <c r="I220" i="3"/>
  <c r="I530" i="3"/>
  <c r="I146" i="3"/>
  <c r="I75" i="3"/>
  <c r="I584" i="3"/>
  <c r="I263" i="3"/>
  <c r="I472" i="3"/>
  <c r="I557" i="3"/>
  <c r="I124" i="3"/>
  <c r="I129" i="3"/>
  <c r="I92" i="3"/>
  <c r="I494" i="3"/>
  <c r="I251" i="3"/>
  <c r="I234" i="3"/>
  <c r="I246" i="3"/>
  <c r="I161" i="3"/>
  <c r="I917" i="3"/>
  <c r="I683" i="3"/>
  <c r="I613" i="3"/>
  <c r="I352" i="3"/>
  <c r="I504" i="3"/>
  <c r="I923" i="3"/>
  <c r="I586" i="3"/>
  <c r="I381" i="3"/>
  <c r="I508" i="3"/>
  <c r="I163" i="3"/>
  <c r="I210" i="3"/>
  <c r="I459" i="3"/>
  <c r="I784" i="3"/>
  <c r="I467" i="3"/>
  <c r="I11" i="3"/>
  <c r="I23" i="3"/>
  <c r="I972" i="3"/>
  <c r="I654" i="3"/>
  <c r="I496" i="3"/>
  <c r="I248" i="3"/>
  <c r="I493" i="3"/>
  <c r="I357" i="3"/>
  <c r="I861" i="3"/>
  <c r="I864" i="3"/>
  <c r="I798" i="3"/>
  <c r="I904" i="3"/>
  <c r="I750" i="3"/>
  <c r="I243" i="3"/>
  <c r="I497" i="3"/>
  <c r="I795" i="3"/>
  <c r="I267" i="3"/>
  <c r="I851" i="3"/>
  <c r="I578" i="3"/>
  <c r="I912" i="3"/>
  <c r="I232" i="3"/>
  <c r="I235" i="3"/>
  <c r="I337" i="3"/>
  <c r="I671" i="3"/>
  <c r="I66" i="3"/>
  <c r="I276" i="3"/>
  <c r="I673" i="3"/>
  <c r="I388" i="3"/>
  <c r="I150" i="3"/>
  <c r="I485" i="3"/>
  <c r="I9" i="3"/>
  <c r="I718" i="3"/>
  <c r="I22" i="3"/>
  <c r="I539" i="3"/>
  <c r="I34" i="3"/>
  <c r="I632" i="3"/>
  <c r="I724" i="3"/>
  <c r="I46" i="3"/>
  <c r="I156" i="3"/>
  <c r="I601" i="3"/>
  <c r="I170" i="3"/>
  <c r="I695" i="3"/>
  <c r="I877" i="3"/>
  <c r="I475" i="3"/>
  <c r="I659" i="3"/>
  <c r="I25" i="3"/>
  <c r="I946" i="3"/>
  <c r="I875" i="3"/>
  <c r="I567" i="3"/>
  <c r="I95" i="3"/>
  <c r="I729" i="3"/>
  <c r="I959" i="3"/>
  <c r="I93" i="3"/>
  <c r="I195" i="3"/>
  <c r="I652" i="3"/>
  <c r="I155" i="3"/>
  <c r="I638" i="3"/>
  <c r="I288" i="3"/>
  <c r="I591" i="3"/>
  <c r="I476" i="3"/>
  <c r="I727" i="3"/>
  <c r="I666" i="3"/>
  <c r="I254" i="3"/>
  <c r="I280" i="3"/>
  <c r="I957" i="3"/>
  <c r="I876" i="3"/>
  <c r="I85" i="3"/>
  <c r="I67" i="3"/>
  <c r="I399" i="3"/>
  <c r="I899" i="3"/>
  <c r="I372" i="3"/>
  <c r="I834" i="3"/>
  <c r="I723" i="3"/>
  <c r="I323" i="3"/>
  <c r="I776" i="3"/>
  <c r="I43" i="3"/>
  <c r="I725" i="3"/>
  <c r="I97" i="3"/>
  <c r="I824" i="3"/>
  <c r="I702" i="3"/>
  <c r="I796" i="3"/>
  <c r="I614" i="3"/>
  <c r="I335" i="3"/>
  <c r="I311" i="3"/>
  <c r="I820" i="3"/>
  <c r="I668" i="3"/>
  <c r="I294" i="3"/>
  <c r="I769" i="3"/>
  <c r="I746" i="3"/>
  <c r="I63" i="3"/>
  <c r="I332" i="3"/>
  <c r="I408" i="3"/>
  <c r="I88" i="3"/>
  <c r="I259" i="3"/>
  <c r="I523" i="3"/>
  <c r="I406" i="3"/>
  <c r="I21" i="3"/>
  <c r="I437" i="3"/>
  <c r="I553" i="3"/>
  <c r="I847" i="3"/>
  <c r="I756" i="3"/>
  <c r="I206" i="3"/>
  <c r="I682" i="3"/>
  <c r="I395" i="3"/>
  <c r="I374" i="3"/>
  <c r="I126" i="3"/>
  <c r="I24" i="3"/>
  <c r="I159" i="3"/>
  <c r="I641" i="3"/>
  <c r="I866" i="3"/>
  <c r="I602" i="3"/>
  <c r="I506" i="3"/>
  <c r="I801" i="3"/>
  <c r="I134" i="3"/>
  <c r="I566" i="3"/>
  <c r="I356" i="3"/>
  <c r="I17" i="3"/>
  <c r="I445" i="3"/>
  <c r="I107" i="3"/>
  <c r="I469" i="3"/>
  <c r="I996" i="3"/>
  <c r="I355" i="3"/>
  <c r="I490" i="3"/>
  <c r="I125" i="3"/>
  <c r="I32" i="3"/>
  <c r="I127" i="3"/>
  <c r="I763" i="3"/>
  <c r="I13" i="3"/>
  <c r="I766" i="3"/>
  <c r="I4" i="3"/>
  <c r="I377" i="3"/>
  <c r="I528" i="3"/>
  <c r="I692" i="3"/>
  <c r="I451" i="3"/>
  <c r="I755" i="3"/>
  <c r="I787" i="3"/>
  <c r="I76" i="3"/>
  <c r="I338" i="3"/>
  <c r="I354" i="3"/>
  <c r="I405" i="3"/>
  <c r="I892" i="3"/>
  <c r="I767" i="3"/>
  <c r="I986" i="3"/>
  <c r="I581" i="3"/>
  <c r="I706" i="3"/>
  <c r="I753" i="3"/>
  <c r="I481" i="3"/>
  <c r="I166" i="3"/>
  <c r="I264" i="3"/>
  <c r="I318" i="3"/>
  <c r="I300" i="3"/>
  <c r="I965" i="3"/>
  <c r="I73" i="3"/>
  <c r="I507" i="3"/>
  <c r="I60" i="3"/>
  <c r="I257" i="3"/>
  <c r="I228" i="3"/>
  <c r="I690" i="3"/>
  <c r="I721" i="3"/>
  <c r="I279" i="3"/>
  <c r="I561" i="3"/>
  <c r="I869" i="3"/>
  <c r="I138" i="3"/>
  <c r="I461" i="3"/>
  <c r="I429" i="3"/>
  <c r="I174" i="3"/>
  <c r="I974" i="3"/>
  <c r="I380" i="3"/>
  <c r="I777" i="3"/>
  <c r="I642" i="3"/>
  <c r="I342" i="3"/>
  <c r="I441" i="3"/>
  <c r="I83" i="3"/>
  <c r="I225" i="3"/>
  <c r="I509" i="3"/>
  <c r="I933" i="3"/>
  <c r="I486" i="3"/>
  <c r="I64" i="3"/>
  <c r="I563" i="3"/>
  <c r="I736" i="3"/>
  <c r="I607" i="3"/>
  <c r="I955" i="3"/>
  <c r="I495" i="3"/>
  <c r="I961" i="3"/>
  <c r="I57" i="3"/>
  <c r="I7" i="3"/>
  <c r="I831" i="3"/>
  <c r="I786" i="3"/>
  <c r="I158" i="3"/>
  <c r="I213" i="3"/>
  <c r="I145" i="3"/>
  <c r="I609" i="3"/>
  <c r="I670" i="3"/>
  <c r="I994" i="3"/>
  <c r="I932" i="3"/>
  <c r="I903" i="3"/>
  <c r="I177" i="3"/>
  <c r="I105" i="3"/>
  <c r="I819" i="3"/>
  <c r="I674" i="3"/>
  <c r="I799" i="3"/>
  <c r="I672" i="3"/>
  <c r="I735" i="3"/>
  <c r="I976" i="3"/>
  <c r="I995" i="3"/>
  <c r="I661" i="3"/>
  <c r="I348" i="3"/>
  <c r="I511" i="3"/>
  <c r="I49" i="3"/>
  <c r="I693" i="3"/>
  <c r="I281" i="3"/>
  <c r="I449" i="3"/>
  <c r="I439" i="3"/>
  <c r="I677" i="3"/>
  <c r="I879" i="3"/>
  <c r="I330" i="3"/>
  <c r="I554" i="3"/>
  <c r="I78" i="3"/>
  <c r="I414" i="3"/>
  <c r="I610" i="3"/>
  <c r="I272" i="3"/>
  <c r="I258" i="3"/>
  <c r="I807" i="3"/>
  <c r="I316" i="3"/>
  <c r="I460" i="3"/>
  <c r="I596" i="3"/>
  <c r="I947" i="3"/>
  <c r="I260" i="3"/>
  <c r="I930" i="3"/>
  <c r="I549" i="3"/>
  <c r="I867" i="3"/>
  <c r="I353" i="3"/>
  <c r="I649" i="3"/>
  <c r="I537" i="3"/>
  <c r="I653" i="3"/>
  <c r="I48" i="3"/>
  <c r="I844" i="3"/>
  <c r="I425" i="3"/>
  <c r="I764" i="3"/>
  <c r="I3" i="3"/>
  <c r="I908" i="3"/>
  <c r="I453" i="3"/>
  <c r="I321" i="3"/>
  <c r="I455" i="3"/>
  <c r="I202" i="3"/>
  <c r="I131" i="3"/>
  <c r="I68" i="3"/>
  <c r="I373" i="3"/>
  <c r="I390" i="3"/>
  <c r="I114" i="3"/>
  <c r="I422" i="3"/>
  <c r="I371" i="3"/>
  <c r="I817" i="3"/>
  <c r="I290" i="3"/>
  <c r="I194" i="3"/>
  <c r="I112" i="3"/>
  <c r="I103" i="3"/>
  <c r="I577" i="3"/>
  <c r="I977" i="3"/>
  <c r="I583" i="3"/>
  <c r="I521" i="3"/>
  <c r="I376" i="3"/>
  <c r="I640" i="3"/>
  <c r="I705" i="3"/>
  <c r="I606" i="3"/>
  <c r="I980" i="3"/>
  <c r="I307" i="3"/>
  <c r="I829" i="3"/>
  <c r="I675" i="3"/>
  <c r="I133" i="3"/>
  <c r="I411" i="3"/>
  <c r="I758" i="3"/>
  <c r="I687" i="3"/>
  <c r="I334" i="3"/>
  <c r="I277" i="3"/>
  <c r="I552" i="3"/>
  <c r="I838" i="3"/>
  <c r="I474" i="3"/>
  <c r="I732" i="3"/>
  <c r="I136" i="3"/>
  <c r="I739" i="3"/>
  <c r="I770" i="3"/>
  <c r="I598" i="3"/>
  <c r="I224" i="3"/>
  <c r="I320" i="3"/>
  <c r="I811" i="3"/>
  <c r="I59" i="3"/>
  <c r="I781" i="3"/>
  <c r="I343" i="3"/>
  <c r="I424" i="3"/>
  <c r="I113" i="3"/>
  <c r="I198" i="3"/>
  <c r="I42" i="3"/>
  <c r="I8" i="3"/>
  <c r="I710" i="3"/>
  <c r="I967" i="3"/>
  <c r="I164" i="3"/>
  <c r="I696" i="3"/>
  <c r="I90" i="3"/>
  <c r="I627" i="3"/>
  <c r="I256" i="3"/>
  <c r="I611" i="3"/>
  <c r="I180" i="3"/>
  <c r="I920" i="3"/>
  <c r="I147" i="3"/>
  <c r="I922" i="3"/>
  <c r="I396" i="3"/>
  <c r="I634" i="3"/>
  <c r="I905" i="3"/>
  <c r="I140" i="3"/>
  <c r="I269" i="3"/>
  <c r="I325" i="3"/>
  <c r="I910" i="3"/>
  <c r="I285" i="3"/>
  <c r="I344" i="3"/>
  <c r="I102" i="3"/>
  <c r="I52" i="3"/>
  <c r="I720" i="3"/>
  <c r="I207" i="3"/>
  <c r="I931" i="3"/>
  <c r="I988" i="3"/>
  <c r="I108" i="3"/>
  <c r="I479" i="3"/>
  <c r="I859" i="3"/>
  <c r="I410" i="3"/>
  <c r="I386" i="3"/>
  <c r="I531" i="3"/>
  <c r="I483" i="3"/>
  <c r="I759" i="3"/>
  <c r="I714" i="3"/>
  <c r="I748" i="3"/>
  <c r="I296" i="3"/>
  <c r="I651" i="3"/>
  <c r="I397" i="3"/>
  <c r="I551" i="3"/>
  <c r="I491" i="3"/>
  <c r="I891" i="3"/>
  <c r="I273" i="3"/>
  <c r="I907" i="3"/>
  <c r="I830" i="3"/>
  <c r="I51" i="3"/>
  <c r="I592" i="3"/>
  <c r="I555" i="3"/>
  <c r="I378" i="3"/>
  <c r="I542" i="3"/>
  <c r="I562" i="3"/>
  <c r="I31" i="3"/>
  <c r="I966" i="3"/>
  <c r="I913" i="3"/>
  <c r="I827" i="3"/>
  <c r="I818" i="3"/>
  <c r="I319" i="3"/>
  <c r="I950" i="3"/>
  <c r="I597" i="3"/>
  <c r="I752" i="3"/>
  <c r="I503" i="3"/>
  <c r="I743" i="3"/>
  <c r="I70" i="3"/>
  <c r="I392" i="3"/>
  <c r="I236" i="3"/>
  <c r="I154" i="3"/>
  <c r="I924" i="3"/>
  <c r="I617" i="3"/>
  <c r="I275" i="3"/>
  <c r="I516" i="3"/>
  <c r="I492" i="3"/>
  <c r="I250" i="3"/>
  <c r="I949" i="3"/>
  <c r="I252" i="3"/>
  <c r="I604" i="3"/>
  <c r="I982" i="3"/>
  <c r="I262" i="3"/>
  <c r="I62" i="3"/>
  <c r="I546" i="3"/>
  <c r="I837" i="3"/>
  <c r="I426" i="3"/>
  <c r="I452" i="3"/>
  <c r="I570" i="3"/>
  <c r="I240" i="3"/>
  <c r="I628" i="3"/>
  <c r="I605" i="3"/>
  <c r="I761" i="3"/>
  <c r="I358" i="3"/>
  <c r="I18" i="3"/>
  <c r="I324" i="3"/>
  <c r="I896" i="3"/>
  <c r="I643" i="3"/>
  <c r="I644" i="3"/>
  <c r="I803" i="3"/>
  <c r="I622" i="3"/>
  <c r="I420" i="3"/>
  <c r="I415" i="3"/>
  <c r="I529" i="3"/>
  <c r="I178" i="3"/>
  <c r="I656" i="3"/>
  <c r="I821" i="3"/>
  <c r="I669" i="3"/>
  <c r="I887" i="3"/>
  <c r="I91" i="3"/>
  <c r="I813" i="3"/>
  <c r="I856" i="3"/>
  <c r="I688" i="3"/>
  <c r="I448" i="3"/>
  <c r="I757" i="3"/>
  <c r="I667" i="3"/>
  <c r="I719" i="3"/>
  <c r="I883" i="3"/>
  <c r="I664" i="3"/>
  <c r="I921" i="3"/>
  <c r="I130" i="3"/>
  <c r="I168" i="3"/>
  <c r="I630" i="3"/>
  <c r="I639" i="3"/>
  <c r="I865" i="3"/>
  <c r="I364" i="3"/>
  <c r="I473" i="3"/>
  <c r="I956" i="3"/>
  <c r="I792" i="3"/>
  <c r="I418" i="3"/>
  <c r="I526" i="3"/>
  <c r="I833" i="3"/>
  <c r="I186" i="3"/>
  <c r="I981" i="3"/>
  <c r="I540" i="3"/>
  <c r="I846" i="3"/>
  <c r="I297" i="3"/>
  <c r="I985" i="3"/>
  <c r="I559" i="3"/>
  <c r="I499" i="3"/>
  <c r="I36" i="3"/>
  <c r="I400" i="3"/>
  <c r="I925" i="3"/>
  <c r="I326" i="3"/>
  <c r="I625" i="3"/>
  <c r="I89" i="3"/>
  <c r="I462" i="3"/>
  <c r="I754" i="3"/>
  <c r="I218" i="3"/>
  <c r="I118" i="3"/>
  <c r="I881" i="3"/>
  <c r="I327" i="3"/>
  <c r="I29" i="3"/>
  <c r="I512" i="3"/>
  <c r="I522" i="3"/>
  <c r="I871" i="3"/>
  <c r="I747" i="3"/>
  <c r="I520" i="3"/>
  <c r="I306" i="3"/>
  <c r="I888" i="3"/>
  <c r="I703" i="3"/>
  <c r="I430" i="3"/>
  <c r="I444" i="3"/>
  <c r="I704" i="3"/>
  <c r="I295" i="3"/>
  <c r="I149" i="3"/>
  <c r="I700" i="3"/>
  <c r="I728" i="3"/>
  <c r="I65" i="3"/>
  <c r="I284" i="3"/>
  <c r="I937" i="3"/>
  <c r="I547" i="3"/>
  <c r="I139" i="3"/>
  <c r="I731" i="3"/>
  <c r="I951" i="3"/>
  <c r="I911" i="3"/>
  <c r="I969" i="3"/>
  <c r="I749" i="3"/>
  <c r="I952" i="3"/>
  <c r="I697" i="3"/>
  <c r="I87" i="3"/>
  <c r="I204" i="3"/>
  <c r="I958" i="3"/>
  <c r="I615" i="3"/>
  <c r="I711" i="3"/>
  <c r="I169" i="3"/>
  <c r="I717" i="3"/>
  <c r="I624" i="3"/>
  <c r="I621" i="3"/>
  <c r="I435" i="3"/>
  <c r="I215" i="3"/>
  <c r="I815" i="3"/>
  <c r="I336" i="3"/>
  <c r="I782" i="3"/>
  <c r="I637" i="3"/>
  <c r="I404" i="3"/>
  <c r="I253" i="3"/>
  <c r="I385" i="3"/>
  <c r="I572" i="3"/>
  <c r="I845" i="3"/>
  <c r="I536" i="3"/>
  <c r="I608" i="3"/>
  <c r="I816" i="3"/>
  <c r="I329" i="3"/>
  <c r="I940" i="3"/>
  <c r="I505" i="3"/>
  <c r="I588" i="3"/>
  <c r="I745" i="3"/>
  <c r="I780" i="3"/>
  <c r="I242" i="3"/>
  <c r="I953" i="3"/>
  <c r="I979" i="3"/>
  <c r="I775" i="3"/>
  <c r="I502" i="3"/>
  <c r="I941" i="3"/>
  <c r="I407" i="3"/>
  <c r="I929" i="3"/>
  <c r="I991" i="3"/>
  <c r="I983" i="3"/>
  <c r="I968" i="3"/>
  <c r="I926" i="3"/>
  <c r="I810" i="3"/>
  <c r="I28" i="3"/>
  <c r="I809" i="3"/>
  <c r="I534" i="3"/>
  <c r="I100" i="3"/>
  <c r="I341" i="3"/>
  <c r="I312" i="3"/>
  <c r="I814" i="3"/>
  <c r="I515" i="3"/>
  <c r="I84" i="3"/>
  <c r="I19" i="3"/>
  <c r="I322" i="3"/>
  <c r="I895" i="3"/>
  <c r="I699" i="3"/>
  <c r="I989" i="3"/>
  <c r="I33" i="3"/>
  <c r="I470" i="3"/>
  <c r="I938" i="3"/>
  <c r="I500" i="3"/>
  <c r="I863" i="3"/>
  <c r="I576" i="3"/>
  <c r="I431" i="3"/>
  <c r="I173" i="3"/>
  <c r="I751" i="3"/>
  <c r="I104" i="3"/>
  <c r="I363" i="3"/>
  <c r="I15" i="3"/>
  <c r="I808" i="3"/>
  <c r="I436" i="3"/>
  <c r="I498" i="3"/>
  <c r="I484" i="3"/>
  <c r="I545" i="3"/>
  <c r="I403" i="3"/>
  <c r="I347" i="3"/>
  <c r="I691" i="3"/>
  <c r="I339" i="3"/>
  <c r="I722" i="3"/>
  <c r="I806" i="3"/>
  <c r="I730" i="3"/>
  <c r="I301" i="3"/>
  <c r="I626" i="3"/>
  <c r="I38" i="3"/>
  <c r="I212" i="3"/>
  <c r="I880" i="3"/>
  <c r="I849" i="3"/>
  <c r="I135" i="3"/>
  <c r="I121" i="3"/>
  <c r="I633" i="3"/>
  <c r="I331" i="3"/>
  <c r="I141" i="3"/>
  <c r="I128" i="3"/>
  <c r="I804" i="3"/>
  <c r="I20" i="3"/>
  <c r="I684" i="3"/>
  <c r="I579" i="3"/>
  <c r="I239" i="3"/>
  <c r="I960" i="3"/>
  <c r="I665" i="3"/>
  <c r="I832" i="3"/>
  <c r="I471" i="3"/>
  <c r="I205" i="3"/>
  <c r="I182" i="3"/>
  <c r="I172" i="3"/>
  <c r="I247" i="3"/>
  <c r="I772" i="3"/>
  <c r="I393" i="3"/>
  <c r="I80" i="3"/>
  <c r="I580" i="3"/>
  <c r="I468" i="3"/>
  <c r="I768" i="3"/>
  <c r="I443" i="3"/>
  <c r="I918" i="3"/>
  <c r="I96" i="3"/>
  <c r="I416" i="3"/>
  <c r="I366" i="3"/>
  <c r="I487" i="3"/>
  <c r="I681" i="3"/>
  <c r="I365" i="3"/>
  <c r="I935" i="3"/>
  <c r="I915" i="3"/>
  <c r="I2" i="3"/>
  <c r="I998" i="3"/>
  <c r="I514" i="3"/>
  <c r="I882" i="3"/>
  <c r="I427" i="3"/>
  <c r="I209" i="3"/>
  <c r="I647" i="3"/>
  <c r="I885" i="3"/>
  <c r="I361" i="3"/>
  <c r="I77" i="3"/>
  <c r="I293" i="3"/>
  <c r="I489" i="3"/>
  <c r="I927" i="3"/>
  <c r="I265" i="3"/>
  <c r="I81" i="3"/>
  <c r="I333" i="3"/>
  <c r="I890" i="3"/>
  <c r="I482" i="3"/>
  <c r="I266" i="3"/>
  <c r="I369" i="3"/>
  <c r="I230" i="3"/>
  <c r="I255" i="3"/>
  <c r="I823" i="3"/>
  <c r="I466" i="3"/>
  <c r="I860" i="3"/>
  <c r="I737" i="3"/>
  <c r="I30" i="3"/>
  <c r="I47" i="3"/>
  <c r="I802" i="3"/>
  <c r="I72" i="3"/>
  <c r="I119" i="3"/>
  <c r="I629" i="3"/>
  <c r="I217" i="3"/>
  <c r="I450" i="3"/>
  <c r="I44" i="3"/>
  <c r="I712" i="3"/>
  <c r="I148" i="3"/>
  <c r="I345" i="3"/>
  <c r="I788" i="3"/>
  <c r="I778" i="3"/>
  <c r="I858" i="3"/>
  <c r="I812" i="3"/>
  <c r="I789" i="3"/>
  <c r="I771" i="3"/>
  <c r="I340" i="3"/>
  <c r="I694" i="3"/>
  <c r="I401" i="3"/>
  <c r="I109" i="3"/>
  <c r="I302" i="3"/>
  <c r="I315" i="3"/>
  <c r="I790" i="3"/>
  <c r="I291" i="3"/>
  <c r="I934" i="3"/>
  <c r="I214" i="3"/>
  <c r="I16" i="3"/>
  <c r="I698" i="3"/>
  <c r="I219" i="3"/>
  <c r="I862" i="3"/>
  <c r="I715" i="3"/>
  <c r="I709" i="3"/>
  <c r="I216" i="3"/>
  <c r="I999" i="3"/>
  <c r="I442" i="3"/>
  <c r="I740" i="3"/>
  <c r="I797" i="3"/>
  <c r="I193" i="3"/>
  <c r="I571" i="3"/>
  <c r="I793" i="3"/>
  <c r="I456" i="3"/>
  <c r="I151" i="3"/>
  <c r="I115" i="3"/>
  <c r="I350" i="3"/>
  <c r="I398" i="3"/>
  <c r="I389" i="3"/>
  <c r="I646" i="3"/>
  <c r="I241" i="3"/>
  <c r="I680" i="3"/>
  <c r="I237" i="3"/>
  <c r="I58" i="3"/>
  <c r="I631" i="3"/>
  <c r="I488" i="3"/>
  <c r="I120" i="3"/>
  <c r="I71" i="3"/>
  <c r="I50" i="3"/>
  <c r="I152" i="3"/>
  <c r="I200" i="3"/>
  <c r="I438" i="3"/>
  <c r="I409" i="3"/>
  <c r="I689" i="3"/>
  <c r="I826" i="3"/>
  <c r="I261" i="3"/>
  <c r="I222" i="3"/>
  <c r="I99" i="3"/>
  <c r="I196" i="3"/>
  <c r="I233" i="3"/>
  <c r="I589" i="3"/>
  <c r="I532" i="3"/>
  <c r="I12" i="3"/>
  <c r="I10" i="3"/>
  <c r="I179" i="3"/>
  <c r="I987" i="3"/>
  <c r="I463" i="3"/>
  <c r="I973" i="3"/>
  <c r="I556" i="3"/>
  <c r="I734" i="3"/>
  <c r="I645" i="3"/>
  <c r="I663" i="3"/>
  <c r="I902" i="3"/>
  <c r="I843" i="3"/>
  <c r="I686" i="3"/>
  <c r="I685" i="3"/>
  <c r="I82" i="3"/>
  <c r="I383" i="3"/>
  <c r="I137" i="3"/>
  <c r="I738" i="3"/>
  <c r="I191" i="3"/>
  <c r="I26" i="3"/>
  <c r="I423" i="3"/>
  <c r="I650" i="3"/>
  <c r="I465" i="3"/>
  <c r="I56" i="3"/>
  <c r="I513" i="3"/>
  <c r="I541" i="3"/>
  <c r="I900" i="3"/>
  <c r="I231" i="3"/>
  <c r="I454" i="3"/>
  <c r="I857" i="3"/>
  <c r="I298" i="3"/>
  <c r="I600" i="3"/>
  <c r="I744" i="3"/>
  <c r="I249" i="3"/>
  <c r="I14" i="3"/>
  <c r="I238" i="3"/>
  <c r="I590" i="3"/>
  <c r="I201" i="3"/>
  <c r="I825" i="3"/>
  <c r="I310" i="3"/>
  <c r="I939" i="3"/>
  <c r="I313" i="3"/>
  <c r="I162" i="3"/>
  <c r="I203" i="3"/>
  <c r="I548" i="3"/>
  <c r="I160" i="3"/>
  <c r="I942" i="3"/>
  <c r="I791" i="3"/>
  <c r="I901" i="3"/>
  <c r="I69" i="3"/>
  <c r="I116" i="3"/>
  <c r="I305" i="3"/>
  <c r="I742" i="3"/>
  <c r="I412" i="3"/>
  <c r="I464" i="3"/>
  <c r="I35" i="3"/>
  <c r="I525" i="3"/>
  <c r="I975" i="3"/>
  <c r="I185" i="3"/>
  <c r="I657" i="3"/>
  <c r="I874" i="3"/>
  <c r="I909" i="3"/>
  <c r="I106" i="3"/>
  <c r="I760" i="3"/>
  <c r="I889" i="3"/>
  <c r="I648" i="3"/>
  <c r="I990" i="3"/>
  <c r="I848" i="3"/>
  <c r="I153" i="3"/>
  <c r="I183" i="3"/>
  <c r="I708" i="3"/>
  <c r="I440" i="3"/>
  <c r="I603" i="3"/>
  <c r="I55" i="3"/>
  <c r="I550" i="3"/>
  <c r="I447" i="3"/>
  <c r="I519" i="3"/>
  <c r="I245" i="3"/>
  <c r="I906" i="3"/>
  <c r="I741" i="3"/>
  <c r="I421" i="3"/>
  <c r="I110" i="3"/>
  <c r="I314" i="3"/>
  <c r="I375" i="3"/>
  <c r="I970" i="3"/>
  <c r="I223" i="3"/>
  <c r="I558" i="3"/>
  <c r="I762" i="3"/>
  <c r="I916" i="3"/>
  <c r="I585" i="3"/>
  <c r="I413" i="3"/>
  <c r="I175" i="3"/>
  <c r="I919" i="3"/>
  <c r="I518" i="3"/>
  <c r="I289" i="3"/>
  <c r="I774" i="3"/>
  <c r="I594" i="3"/>
  <c r="I943" i="3"/>
  <c r="I1001" i="3"/>
  <c r="I992" i="3"/>
  <c r="I993" i="3"/>
  <c r="I853" i="3"/>
  <c r="I270" i="3"/>
  <c r="I278" i="3"/>
  <c r="I157" i="3"/>
  <c r="I165" i="3"/>
  <c r="I679" i="3"/>
  <c r="I997" i="3"/>
  <c r="I785" i="3"/>
  <c r="I98" i="3"/>
  <c r="I635" i="3"/>
  <c r="I229" i="3"/>
  <c r="I417" i="3"/>
  <c r="I54" i="3"/>
  <c r="I569" i="3"/>
  <c r="I884" i="3"/>
  <c r="I783" i="3"/>
  <c r="I873" i="3"/>
  <c r="I171" i="3"/>
  <c r="I167" i="3"/>
  <c r="I189" i="3"/>
  <c r="I928" i="3"/>
  <c r="I898" i="3"/>
  <c r="I349" i="3"/>
  <c r="I897" i="3"/>
  <c r="I86" i="3"/>
  <c r="I317" i="3"/>
  <c r="I954" i="3"/>
  <c r="I701" i="3"/>
  <c r="I501" i="3"/>
  <c r="I538" i="3"/>
  <c r="I527" i="3"/>
  <c r="I978" i="3"/>
  <c r="I458" i="3"/>
  <c r="I733" i="3"/>
  <c r="I6" i="3"/>
  <c r="I384" i="3"/>
  <c r="I800" i="3"/>
  <c r="I560" i="3"/>
  <c r="I144" i="3"/>
  <c r="I132" i="3"/>
  <c r="I533" i="3"/>
  <c r="I117" i="3"/>
  <c r="I79" i="3"/>
  <c r="I123" i="3"/>
  <c r="I304" i="3"/>
  <c r="I836" i="3"/>
  <c r="I619" i="3"/>
  <c r="I984" i="3"/>
  <c r="I535" i="3"/>
  <c r="I779" i="3"/>
  <c r="I244" i="3"/>
  <c r="I367" i="3"/>
  <c r="I868" i="3"/>
  <c r="I192" i="3"/>
  <c r="I283" i="3"/>
  <c r="I387" i="3"/>
  <c r="I308" i="3"/>
  <c r="I773" i="3"/>
  <c r="I713" i="3"/>
  <c r="I271" i="3"/>
  <c r="I893" i="3"/>
  <c r="I573" i="3"/>
  <c r="I111" i="3"/>
  <c r="I510" i="3"/>
  <c r="I478" i="3"/>
  <c r="I457" i="3"/>
  <c r="I841" i="3"/>
  <c r="I428" i="3"/>
  <c r="I362" i="3"/>
  <c r="I623" i="3"/>
  <c r="I854" i="3"/>
  <c r="I963" i="3"/>
  <c r="I564" i="3"/>
  <c r="I612" i="3"/>
  <c r="I346" i="3"/>
  <c r="I184" i="3"/>
  <c r="I188" i="3"/>
  <c r="I945" i="3"/>
  <c r="I655" i="3"/>
  <c r="I765" i="3"/>
  <c r="I143" i="3"/>
  <c r="I37" i="3"/>
  <c r="I45" i="3"/>
  <c r="I360" i="3"/>
  <c r="I197" i="3"/>
  <c r="I303" i="3"/>
  <c r="I274" i="3"/>
  <c r="I27" i="3"/>
  <c r="I707" i="3"/>
  <c r="I402" i="3"/>
  <c r="I618" i="3"/>
  <c r="I379" i="3"/>
  <c r="I176" i="3"/>
  <c r="I878" i="3"/>
  <c r="I287" i="3"/>
  <c r="I286" i="3"/>
  <c r="I299" i="3"/>
  <c r="I61" i="3"/>
  <c r="I282" i="3"/>
  <c r="I835" i="3"/>
  <c r="I1000" i="3"/>
  <c r="I208" i="3"/>
  <c r="I936" i="3"/>
  <c r="I574" i="3"/>
  <c r="I944" i="3"/>
  <c r="I477" i="3"/>
  <c r="I716" i="3"/>
  <c r="I568" i="3"/>
  <c r="I850" i="3"/>
  <c r="I432" i="3"/>
  <c r="I971" i="3"/>
  <c r="I359" i="3"/>
  <c r="I662" i="3"/>
  <c r="I593" i="3"/>
  <c r="I582" i="3"/>
  <c r="I543" i="3"/>
  <c r="I382" i="3"/>
  <c r="I122" i="3"/>
  <c r="I886" i="3"/>
  <c r="I517" i="3"/>
  <c r="I587" i="3"/>
  <c r="I805" i="3"/>
  <c r="I870" i="3"/>
  <c r="I480" i="3"/>
  <c r="I391" i="3"/>
  <c r="I351" i="3"/>
  <c r="I41" i="3"/>
  <c r="I872" i="3"/>
  <c r="I828" i="3"/>
  <c r="I94" i="3"/>
  <c r="I676" i="3"/>
  <c r="I142" i="3"/>
  <c r="I964" i="3"/>
  <c r="I181" i="3"/>
  <c r="I948" i="3"/>
  <c r="I616" i="3"/>
  <c r="I544" i="3"/>
  <c r="I39" i="3"/>
  <c r="I394" i="3"/>
  <c r="I419" i="3"/>
  <c r="I636" i="3"/>
  <c r="I852" i="3"/>
  <c r="I292" i="3"/>
  <c r="I794" i="3"/>
  <c r="I726" i="3"/>
  <c r="I894" i="3"/>
  <c r="I658" i="3"/>
  <c r="I434" i="3"/>
  <c r="I199" i="3"/>
  <c r="I575" i="3"/>
  <c r="I74" i="3"/>
  <c r="I822" i="3"/>
  <c r="I433" i="3"/>
  <c r="I309" i="3"/>
  <c r="I842" i="3"/>
  <c r="I524" i="3"/>
  <c r="I268" i="3"/>
  <c r="I328" i="3"/>
  <c r="I5" i="3"/>
  <c r="I840" i="3"/>
  <c r="I660" i="3"/>
  <c r="I914" i="3"/>
  <c r="I595" i="3"/>
  <c r="I962" i="3"/>
  <c r="I53" i="3"/>
  <c r="I226" i="3"/>
  <c r="I368" i="3"/>
  <c r="I678" i="3"/>
  <c r="I101" i="3"/>
  <c r="I839" i="3"/>
  <c r="I599" i="3"/>
  <c r="I370" i="3"/>
  <c r="I620" i="3"/>
  <c r="I221" i="3"/>
  <c r="G227" i="3"/>
  <c r="G187" i="3"/>
  <c r="G565" i="3"/>
  <c r="G190" i="3"/>
  <c r="G40" i="3"/>
  <c r="G211" i="3"/>
  <c r="G446" i="3"/>
  <c r="G855" i="3"/>
  <c r="G220" i="3"/>
  <c r="G530" i="3"/>
  <c r="G146" i="3"/>
  <c r="G75" i="3"/>
  <c r="G584" i="3"/>
  <c r="G263" i="3"/>
  <c r="G472" i="3"/>
  <c r="G557" i="3"/>
  <c r="G124" i="3"/>
  <c r="G129" i="3"/>
  <c r="G92" i="3"/>
  <c r="G494" i="3"/>
  <c r="G251" i="3"/>
  <c r="G234" i="3"/>
  <c r="G246" i="3"/>
  <c r="G161" i="3"/>
  <c r="G917" i="3"/>
  <c r="G683" i="3"/>
  <c r="G613" i="3"/>
  <c r="G352" i="3"/>
  <c r="G504" i="3"/>
  <c r="G923" i="3"/>
  <c r="G586" i="3"/>
  <c r="G381" i="3"/>
  <c r="G508" i="3"/>
  <c r="G163" i="3"/>
  <c r="G210" i="3"/>
  <c r="G459" i="3"/>
  <c r="G784" i="3"/>
  <c r="G467" i="3"/>
  <c r="G11" i="3"/>
  <c r="G23" i="3"/>
  <c r="G972" i="3"/>
  <c r="G654" i="3"/>
  <c r="G496" i="3"/>
  <c r="G248" i="3"/>
  <c r="G493" i="3"/>
  <c r="G357" i="3"/>
  <c r="G861" i="3"/>
  <c r="G864" i="3"/>
  <c r="G798" i="3"/>
  <c r="G904" i="3"/>
  <c r="G750" i="3"/>
  <c r="G243" i="3"/>
  <c r="G497" i="3"/>
  <c r="G795" i="3"/>
  <c r="G267" i="3"/>
  <c r="G851" i="3"/>
  <c r="G578" i="3"/>
  <c r="G912" i="3"/>
  <c r="G232" i="3"/>
  <c r="G235" i="3"/>
  <c r="G337" i="3"/>
  <c r="G671" i="3"/>
  <c r="G66" i="3"/>
  <c r="G276" i="3"/>
  <c r="G673" i="3"/>
  <c r="G388" i="3"/>
  <c r="G150" i="3"/>
  <c r="G485" i="3"/>
  <c r="G9" i="3"/>
  <c r="G718" i="3"/>
  <c r="G22" i="3"/>
  <c r="G539" i="3"/>
  <c r="G34" i="3"/>
  <c r="G632" i="3"/>
  <c r="G724" i="3"/>
  <c r="G46" i="3"/>
  <c r="G156" i="3"/>
  <c r="G601" i="3"/>
  <c r="G170" i="3"/>
  <c r="G695" i="3"/>
  <c r="G877" i="3"/>
  <c r="G475" i="3"/>
  <c r="G659" i="3"/>
  <c r="G25" i="3"/>
  <c r="G946" i="3"/>
  <c r="G875" i="3"/>
  <c r="G567" i="3"/>
  <c r="G95" i="3"/>
  <c r="G729" i="3"/>
  <c r="G959" i="3"/>
  <c r="G93" i="3"/>
  <c r="G195" i="3"/>
  <c r="G652" i="3"/>
  <c r="G155" i="3"/>
  <c r="G638" i="3"/>
  <c r="G288" i="3"/>
  <c r="G591" i="3"/>
  <c r="G476" i="3"/>
  <c r="G727" i="3"/>
  <c r="G666" i="3"/>
  <c r="G254" i="3"/>
  <c r="G280" i="3"/>
  <c r="G957" i="3"/>
  <c r="G876" i="3"/>
  <c r="G85" i="3"/>
  <c r="G67" i="3"/>
  <c r="G399" i="3"/>
  <c r="G899" i="3"/>
  <c r="G372" i="3"/>
  <c r="G834" i="3"/>
  <c r="G723" i="3"/>
  <c r="G323" i="3"/>
  <c r="G776" i="3"/>
  <c r="G43" i="3"/>
  <c r="G725" i="3"/>
  <c r="G97" i="3"/>
  <c r="G824" i="3"/>
  <c r="G702" i="3"/>
  <c r="G796" i="3"/>
  <c r="G614" i="3"/>
  <c r="G335" i="3"/>
  <c r="G311" i="3"/>
  <c r="G820" i="3"/>
  <c r="G668" i="3"/>
  <c r="G294" i="3"/>
  <c r="G769" i="3"/>
  <c r="G746" i="3"/>
  <c r="G63" i="3"/>
  <c r="G332" i="3"/>
  <c r="G408" i="3"/>
  <c r="G88" i="3"/>
  <c r="G259" i="3"/>
  <c r="G523" i="3"/>
  <c r="G406" i="3"/>
  <c r="G21" i="3"/>
  <c r="G437" i="3"/>
  <c r="G553" i="3"/>
  <c r="G847" i="3"/>
  <c r="G756" i="3"/>
  <c r="G206" i="3"/>
  <c r="G682" i="3"/>
  <c r="G395" i="3"/>
  <c r="G374" i="3"/>
  <c r="G126" i="3"/>
  <c r="G24" i="3"/>
  <c r="G159" i="3"/>
  <c r="G641" i="3"/>
  <c r="G866" i="3"/>
  <c r="G602" i="3"/>
  <c r="G506" i="3"/>
  <c r="G801" i="3"/>
  <c r="G134" i="3"/>
  <c r="G566" i="3"/>
  <c r="G356" i="3"/>
  <c r="G17" i="3"/>
  <c r="G445" i="3"/>
  <c r="G107" i="3"/>
  <c r="G469" i="3"/>
  <c r="G996" i="3"/>
  <c r="G355" i="3"/>
  <c r="G490" i="3"/>
  <c r="G125" i="3"/>
  <c r="G32" i="3"/>
  <c r="G127" i="3"/>
  <c r="G763" i="3"/>
  <c r="G13" i="3"/>
  <c r="G766" i="3"/>
  <c r="G4" i="3"/>
  <c r="G377" i="3"/>
  <c r="G528" i="3"/>
  <c r="G692" i="3"/>
  <c r="G451" i="3"/>
  <c r="G755" i="3"/>
  <c r="G787" i="3"/>
  <c r="G76" i="3"/>
  <c r="G338" i="3"/>
  <c r="G354" i="3"/>
  <c r="G405" i="3"/>
  <c r="G892" i="3"/>
  <c r="G767" i="3"/>
  <c r="G986" i="3"/>
  <c r="G581" i="3"/>
  <c r="G706" i="3"/>
  <c r="G753" i="3"/>
  <c r="G481" i="3"/>
  <c r="G166" i="3"/>
  <c r="G264" i="3"/>
  <c r="G318" i="3"/>
  <c r="G300" i="3"/>
  <c r="G965" i="3"/>
  <c r="G73" i="3"/>
  <c r="G507" i="3"/>
  <c r="G60" i="3"/>
  <c r="G257" i="3"/>
  <c r="G228" i="3"/>
  <c r="G690" i="3"/>
  <c r="G721" i="3"/>
  <c r="G279" i="3"/>
  <c r="G561" i="3"/>
  <c r="G869" i="3"/>
  <c r="G138" i="3"/>
  <c r="G461" i="3"/>
  <c r="G429" i="3"/>
  <c r="G174" i="3"/>
  <c r="G974" i="3"/>
  <c r="G380" i="3"/>
  <c r="G777" i="3"/>
  <c r="G642" i="3"/>
  <c r="G342" i="3"/>
  <c r="G441" i="3"/>
  <c r="G83" i="3"/>
  <c r="G225" i="3"/>
  <c r="G509" i="3"/>
  <c r="G933" i="3"/>
  <c r="G486" i="3"/>
  <c r="G64" i="3"/>
  <c r="G563" i="3"/>
  <c r="G736" i="3"/>
  <c r="G607" i="3"/>
  <c r="G955" i="3"/>
  <c r="G495" i="3"/>
  <c r="G961" i="3"/>
  <c r="G57" i="3"/>
  <c r="G7" i="3"/>
  <c r="G831" i="3"/>
  <c r="G786" i="3"/>
  <c r="G158" i="3"/>
  <c r="G213" i="3"/>
  <c r="G145" i="3"/>
  <c r="G609" i="3"/>
  <c r="G670" i="3"/>
  <c r="G994" i="3"/>
  <c r="G932" i="3"/>
  <c r="G903" i="3"/>
  <c r="G177" i="3"/>
  <c r="G105" i="3"/>
  <c r="G819" i="3"/>
  <c r="G674" i="3"/>
  <c r="G799" i="3"/>
  <c r="G672" i="3"/>
  <c r="G735" i="3"/>
  <c r="G976" i="3"/>
  <c r="G995" i="3"/>
  <c r="G661" i="3"/>
  <c r="G348" i="3"/>
  <c r="G511" i="3"/>
  <c r="G49" i="3"/>
  <c r="G693" i="3"/>
  <c r="G281" i="3"/>
  <c r="G449" i="3"/>
  <c r="G439" i="3"/>
  <c r="G677" i="3"/>
  <c r="G879" i="3"/>
  <c r="G330" i="3"/>
  <c r="G554" i="3"/>
  <c r="G78" i="3"/>
  <c r="G414" i="3"/>
  <c r="G610" i="3"/>
  <c r="G272" i="3"/>
  <c r="G258" i="3"/>
  <c r="G807" i="3"/>
  <c r="G316" i="3"/>
  <c r="G460" i="3"/>
  <c r="G596" i="3"/>
  <c r="G947" i="3"/>
  <c r="G260" i="3"/>
  <c r="G930" i="3"/>
  <c r="G549" i="3"/>
  <c r="G867" i="3"/>
  <c r="G353" i="3"/>
  <c r="G649" i="3"/>
  <c r="G537" i="3"/>
  <c r="G653" i="3"/>
  <c r="G48" i="3"/>
  <c r="G844" i="3"/>
  <c r="G425" i="3"/>
  <c r="G764" i="3"/>
  <c r="G3" i="3"/>
  <c r="G908" i="3"/>
  <c r="G453" i="3"/>
  <c r="G321" i="3"/>
  <c r="G455" i="3"/>
  <c r="G202" i="3"/>
  <c r="G131" i="3"/>
  <c r="G68" i="3"/>
  <c r="G373" i="3"/>
  <c r="G390" i="3"/>
  <c r="G114" i="3"/>
  <c r="G422" i="3"/>
  <c r="G371" i="3"/>
  <c r="G817" i="3"/>
  <c r="G290" i="3"/>
  <c r="G194" i="3"/>
  <c r="G112" i="3"/>
  <c r="G103" i="3"/>
  <c r="G577" i="3"/>
  <c r="G977" i="3"/>
  <c r="G583" i="3"/>
  <c r="G521" i="3"/>
  <c r="G376" i="3"/>
  <c r="G640" i="3"/>
  <c r="G705" i="3"/>
  <c r="G606" i="3"/>
  <c r="G980" i="3"/>
  <c r="G307" i="3"/>
  <c r="G829" i="3"/>
  <c r="G675" i="3"/>
  <c r="G133" i="3"/>
  <c r="G411" i="3"/>
  <c r="G758" i="3"/>
  <c r="G687" i="3"/>
  <c r="G334" i="3"/>
  <c r="G277" i="3"/>
  <c r="G552" i="3"/>
  <c r="G838" i="3"/>
  <c r="G474" i="3"/>
  <c r="G732" i="3"/>
  <c r="G136" i="3"/>
  <c r="G739" i="3"/>
  <c r="G770" i="3"/>
  <c r="G598" i="3"/>
  <c r="G224" i="3"/>
  <c r="G320" i="3"/>
  <c r="G811" i="3"/>
  <c r="G59" i="3"/>
  <c r="G781" i="3"/>
  <c r="G343" i="3"/>
  <c r="G424" i="3"/>
  <c r="G113" i="3"/>
  <c r="G198" i="3"/>
  <c r="G42" i="3"/>
  <c r="G8" i="3"/>
  <c r="G710" i="3"/>
  <c r="G967" i="3"/>
  <c r="G164" i="3"/>
  <c r="G696" i="3"/>
  <c r="G90" i="3"/>
  <c r="G627" i="3"/>
  <c r="G256" i="3"/>
  <c r="G611" i="3"/>
  <c r="G180" i="3"/>
  <c r="G920" i="3"/>
  <c r="G147" i="3"/>
  <c r="G922" i="3"/>
  <c r="G396" i="3"/>
  <c r="G634" i="3"/>
  <c r="G905" i="3"/>
  <c r="G140" i="3"/>
  <c r="G269" i="3"/>
  <c r="G325" i="3"/>
  <c r="G910" i="3"/>
  <c r="G285" i="3"/>
  <c r="G344" i="3"/>
  <c r="G102" i="3"/>
  <c r="G52" i="3"/>
  <c r="G720" i="3"/>
  <c r="G207" i="3"/>
  <c r="G931" i="3"/>
  <c r="G988" i="3"/>
  <c r="G108" i="3"/>
  <c r="G479" i="3"/>
  <c r="G859" i="3"/>
  <c r="G410" i="3"/>
  <c r="G386" i="3"/>
  <c r="G531" i="3"/>
  <c r="G483" i="3"/>
  <c r="G759" i="3"/>
  <c r="G714" i="3"/>
  <c r="G748" i="3"/>
  <c r="G296" i="3"/>
  <c r="G651" i="3"/>
  <c r="G397" i="3"/>
  <c r="G551" i="3"/>
  <c r="G491" i="3"/>
  <c r="G891" i="3"/>
  <c r="G273" i="3"/>
  <c r="G907" i="3"/>
  <c r="G830" i="3"/>
  <c r="G51" i="3"/>
  <c r="G592" i="3"/>
  <c r="G555" i="3"/>
  <c r="G378" i="3"/>
  <c r="G542" i="3"/>
  <c r="G562" i="3"/>
  <c r="G31" i="3"/>
  <c r="G966" i="3"/>
  <c r="G913" i="3"/>
  <c r="G827" i="3"/>
  <c r="G818" i="3"/>
  <c r="G319" i="3"/>
  <c r="G950" i="3"/>
  <c r="G597" i="3"/>
  <c r="G752" i="3"/>
  <c r="G503" i="3"/>
  <c r="G743" i="3"/>
  <c r="G70" i="3"/>
  <c r="G392" i="3"/>
  <c r="G236" i="3"/>
  <c r="G154" i="3"/>
  <c r="G924" i="3"/>
  <c r="G617" i="3"/>
  <c r="G275" i="3"/>
  <c r="G516" i="3"/>
  <c r="G492" i="3"/>
  <c r="G250" i="3"/>
  <c r="G949" i="3"/>
  <c r="G252" i="3"/>
  <c r="G604" i="3"/>
  <c r="G982" i="3"/>
  <c r="G262" i="3"/>
  <c r="G62" i="3"/>
  <c r="G546" i="3"/>
  <c r="G837" i="3"/>
  <c r="G426" i="3"/>
  <c r="G452" i="3"/>
  <c r="G570" i="3"/>
  <c r="G240" i="3"/>
  <c r="G628" i="3"/>
  <c r="G605" i="3"/>
  <c r="G761" i="3"/>
  <c r="G358" i="3"/>
  <c r="G18" i="3"/>
  <c r="G324" i="3"/>
  <c r="G896" i="3"/>
  <c r="G643" i="3"/>
  <c r="G644" i="3"/>
  <c r="G803" i="3"/>
  <c r="G622" i="3"/>
  <c r="G420" i="3"/>
  <c r="G415" i="3"/>
  <c r="G529" i="3"/>
  <c r="G178" i="3"/>
  <c r="G656" i="3"/>
  <c r="G821" i="3"/>
  <c r="G669" i="3"/>
  <c r="G887" i="3"/>
  <c r="G91" i="3"/>
  <c r="G813" i="3"/>
  <c r="G856" i="3"/>
  <c r="G688" i="3"/>
  <c r="G448" i="3"/>
  <c r="G757" i="3"/>
  <c r="G667" i="3"/>
  <c r="G719" i="3"/>
  <c r="G883" i="3"/>
  <c r="G664" i="3"/>
  <c r="G921" i="3"/>
  <c r="G130" i="3"/>
  <c r="G168" i="3"/>
  <c r="G630" i="3"/>
  <c r="G639" i="3"/>
  <c r="G865" i="3"/>
  <c r="G364" i="3"/>
  <c r="G473" i="3"/>
  <c r="G956" i="3"/>
  <c r="G792" i="3"/>
  <c r="G418" i="3"/>
  <c r="G526" i="3"/>
  <c r="G833" i="3"/>
  <c r="G186" i="3"/>
  <c r="G981" i="3"/>
  <c r="G540" i="3"/>
  <c r="G846" i="3"/>
  <c r="G297" i="3"/>
  <c r="G985" i="3"/>
  <c r="G559" i="3"/>
  <c r="G499" i="3"/>
  <c r="G36" i="3"/>
  <c r="G400" i="3"/>
  <c r="G925" i="3"/>
  <c r="G326" i="3"/>
  <c r="G625" i="3"/>
  <c r="G89" i="3"/>
  <c r="G462" i="3"/>
  <c r="G754" i="3"/>
  <c r="G218" i="3"/>
  <c r="G118" i="3"/>
  <c r="G881" i="3"/>
  <c r="G327" i="3"/>
  <c r="G29" i="3"/>
  <c r="G512" i="3"/>
  <c r="G522" i="3"/>
  <c r="G871" i="3"/>
  <c r="G747" i="3"/>
  <c r="G520" i="3"/>
  <c r="G306" i="3"/>
  <c r="G888" i="3"/>
  <c r="G703" i="3"/>
  <c r="G430" i="3"/>
  <c r="G444" i="3"/>
  <c r="G704" i="3"/>
  <c r="G295" i="3"/>
  <c r="G149" i="3"/>
  <c r="G700" i="3"/>
  <c r="G728" i="3"/>
  <c r="G65" i="3"/>
  <c r="G284" i="3"/>
  <c r="G937" i="3"/>
  <c r="G547" i="3"/>
  <c r="G139" i="3"/>
  <c r="G731" i="3"/>
  <c r="G951" i="3"/>
  <c r="G911" i="3"/>
  <c r="G969" i="3"/>
  <c r="G749" i="3"/>
  <c r="G952" i="3"/>
  <c r="G697" i="3"/>
  <c r="G87" i="3"/>
  <c r="G204" i="3"/>
  <c r="G958" i="3"/>
  <c r="G615" i="3"/>
  <c r="G711" i="3"/>
  <c r="G169" i="3"/>
  <c r="G717" i="3"/>
  <c r="G624" i="3"/>
  <c r="G621" i="3"/>
  <c r="G435" i="3"/>
  <c r="G215" i="3"/>
  <c r="G815" i="3"/>
  <c r="G336" i="3"/>
  <c r="G782" i="3"/>
  <c r="G637" i="3"/>
  <c r="G404" i="3"/>
  <c r="G253" i="3"/>
  <c r="G385" i="3"/>
  <c r="G572" i="3"/>
  <c r="G845" i="3"/>
  <c r="G536" i="3"/>
  <c r="G608" i="3"/>
  <c r="G816" i="3"/>
  <c r="G329" i="3"/>
  <c r="G940" i="3"/>
  <c r="G505" i="3"/>
  <c r="G588" i="3"/>
  <c r="G745" i="3"/>
  <c r="G780" i="3"/>
  <c r="G242" i="3"/>
  <c r="G953" i="3"/>
  <c r="G979" i="3"/>
  <c r="G775" i="3"/>
  <c r="G502" i="3"/>
  <c r="G941" i="3"/>
  <c r="G407" i="3"/>
  <c r="G929" i="3"/>
  <c r="G991" i="3"/>
  <c r="G983" i="3"/>
  <c r="G968" i="3"/>
  <c r="G926" i="3"/>
  <c r="G810" i="3"/>
  <c r="G28" i="3"/>
  <c r="G809" i="3"/>
  <c r="G534" i="3"/>
  <c r="G100" i="3"/>
  <c r="G341" i="3"/>
  <c r="G312" i="3"/>
  <c r="G814" i="3"/>
  <c r="G515" i="3"/>
  <c r="G84" i="3"/>
  <c r="G19" i="3"/>
  <c r="G322" i="3"/>
  <c r="G895" i="3"/>
  <c r="G699" i="3"/>
  <c r="G989" i="3"/>
  <c r="G33" i="3"/>
  <c r="G470" i="3"/>
  <c r="G938" i="3"/>
  <c r="G500" i="3"/>
  <c r="G863" i="3"/>
  <c r="G576" i="3"/>
  <c r="G431" i="3"/>
  <c r="G173" i="3"/>
  <c r="G751" i="3"/>
  <c r="G104" i="3"/>
  <c r="G363" i="3"/>
  <c r="G15" i="3"/>
  <c r="G808" i="3"/>
  <c r="G436" i="3"/>
  <c r="G498" i="3"/>
  <c r="G484" i="3"/>
  <c r="G545" i="3"/>
  <c r="G403" i="3"/>
  <c r="G347" i="3"/>
  <c r="G691" i="3"/>
  <c r="G339" i="3"/>
  <c r="G722" i="3"/>
  <c r="G806" i="3"/>
  <c r="G730" i="3"/>
  <c r="G301" i="3"/>
  <c r="G626" i="3"/>
  <c r="G38" i="3"/>
  <c r="G212" i="3"/>
  <c r="G880" i="3"/>
  <c r="G849" i="3"/>
  <c r="G135" i="3"/>
  <c r="G121" i="3"/>
  <c r="G633" i="3"/>
  <c r="G331" i="3"/>
  <c r="G141" i="3"/>
  <c r="G128" i="3"/>
  <c r="G804" i="3"/>
  <c r="G20" i="3"/>
  <c r="G684" i="3"/>
  <c r="G579" i="3"/>
  <c r="G239" i="3"/>
  <c r="G960" i="3"/>
  <c r="G665" i="3"/>
  <c r="G832" i="3"/>
  <c r="G471" i="3"/>
  <c r="G205" i="3"/>
  <c r="G182" i="3"/>
  <c r="G172" i="3"/>
  <c r="G247" i="3"/>
  <c r="G772" i="3"/>
  <c r="G393" i="3"/>
  <c r="G80" i="3"/>
  <c r="G580" i="3"/>
  <c r="G468" i="3"/>
  <c r="G768" i="3"/>
  <c r="G443" i="3"/>
  <c r="G918" i="3"/>
  <c r="G96" i="3"/>
  <c r="G416" i="3"/>
  <c r="G366" i="3"/>
  <c r="G487" i="3"/>
  <c r="G681" i="3"/>
  <c r="G365" i="3"/>
  <c r="G935" i="3"/>
  <c r="G915" i="3"/>
  <c r="G2" i="3"/>
  <c r="G998" i="3"/>
  <c r="G514" i="3"/>
  <c r="G882" i="3"/>
  <c r="G427" i="3"/>
  <c r="G209" i="3"/>
  <c r="G647" i="3"/>
  <c r="G885" i="3"/>
  <c r="G361" i="3"/>
  <c r="G77" i="3"/>
  <c r="G293" i="3"/>
  <c r="G489" i="3"/>
  <c r="G927" i="3"/>
  <c r="G265" i="3"/>
  <c r="G81" i="3"/>
  <c r="G333" i="3"/>
  <c r="G890" i="3"/>
  <c r="G482" i="3"/>
  <c r="G266" i="3"/>
  <c r="G369" i="3"/>
  <c r="G230" i="3"/>
  <c r="G255" i="3"/>
  <c r="G823" i="3"/>
  <c r="G466" i="3"/>
  <c r="G860" i="3"/>
  <c r="G737" i="3"/>
  <c r="G30" i="3"/>
  <c r="G47" i="3"/>
  <c r="G802" i="3"/>
  <c r="G72" i="3"/>
  <c r="G119" i="3"/>
  <c r="G629" i="3"/>
  <c r="G217" i="3"/>
  <c r="G450" i="3"/>
  <c r="G44" i="3"/>
  <c r="G712" i="3"/>
  <c r="G148" i="3"/>
  <c r="G345" i="3"/>
  <c r="G788" i="3"/>
  <c r="G778" i="3"/>
  <c r="G858" i="3"/>
  <c r="G812" i="3"/>
  <c r="G789" i="3"/>
  <c r="G771" i="3"/>
  <c r="G340" i="3"/>
  <c r="G694" i="3"/>
  <c r="G401" i="3"/>
  <c r="G109" i="3"/>
  <c r="G302" i="3"/>
  <c r="G315" i="3"/>
  <c r="G790" i="3"/>
  <c r="G291" i="3"/>
  <c r="G934" i="3"/>
  <c r="G214" i="3"/>
  <c r="G16" i="3"/>
  <c r="G698" i="3"/>
  <c r="G219" i="3"/>
  <c r="G862" i="3"/>
  <c r="G715" i="3"/>
  <c r="G709" i="3"/>
  <c r="G216" i="3"/>
  <c r="G999" i="3"/>
  <c r="G442" i="3"/>
  <c r="G740" i="3"/>
  <c r="G797" i="3"/>
  <c r="G193" i="3"/>
  <c r="G571" i="3"/>
  <c r="G793" i="3"/>
  <c r="G456" i="3"/>
  <c r="G151" i="3"/>
  <c r="G115" i="3"/>
  <c r="G350" i="3"/>
  <c r="G398" i="3"/>
  <c r="G389" i="3"/>
  <c r="G646" i="3"/>
  <c r="G241" i="3"/>
  <c r="G680" i="3"/>
  <c r="G237" i="3"/>
  <c r="G58" i="3"/>
  <c r="G631" i="3"/>
  <c r="G488" i="3"/>
  <c r="G120" i="3"/>
  <c r="G71" i="3"/>
  <c r="G50" i="3"/>
  <c r="G152" i="3"/>
  <c r="G200" i="3"/>
  <c r="G438" i="3"/>
  <c r="G409" i="3"/>
  <c r="G689" i="3"/>
  <c r="G826" i="3"/>
  <c r="G261" i="3"/>
  <c r="G222" i="3"/>
  <c r="G99" i="3"/>
  <c r="G196" i="3"/>
  <c r="G233" i="3"/>
  <c r="G589" i="3"/>
  <c r="G532" i="3"/>
  <c r="G12" i="3"/>
  <c r="G10" i="3"/>
  <c r="G179" i="3"/>
  <c r="G987" i="3"/>
  <c r="G463" i="3"/>
  <c r="G973" i="3"/>
  <c r="G556" i="3"/>
  <c r="G734" i="3"/>
  <c r="G645" i="3"/>
  <c r="G663" i="3"/>
  <c r="G902" i="3"/>
  <c r="G843" i="3"/>
  <c r="G686" i="3"/>
  <c r="G685" i="3"/>
  <c r="G82" i="3"/>
  <c r="G383" i="3"/>
  <c r="G137" i="3"/>
  <c r="G738" i="3"/>
  <c r="G191" i="3"/>
  <c r="G26" i="3"/>
  <c r="G423" i="3"/>
  <c r="G650" i="3"/>
  <c r="G465" i="3"/>
  <c r="G56" i="3"/>
  <c r="G513" i="3"/>
  <c r="G541" i="3"/>
  <c r="G900" i="3"/>
  <c r="G231" i="3"/>
  <c r="G454" i="3"/>
  <c r="G857" i="3"/>
  <c r="G298" i="3"/>
  <c r="G600" i="3"/>
  <c r="G744" i="3"/>
  <c r="G249" i="3"/>
  <c r="G14" i="3"/>
  <c r="G238" i="3"/>
  <c r="G590" i="3"/>
  <c r="G201" i="3"/>
  <c r="G825" i="3"/>
  <c r="G310" i="3"/>
  <c r="G939" i="3"/>
  <c r="G313" i="3"/>
  <c r="G162" i="3"/>
  <c r="G203" i="3"/>
  <c r="G548" i="3"/>
  <c r="G160" i="3"/>
  <c r="G942" i="3"/>
  <c r="G791" i="3"/>
  <c r="G901" i="3"/>
  <c r="G69" i="3"/>
  <c r="G116" i="3"/>
  <c r="G305" i="3"/>
  <c r="G742" i="3"/>
  <c r="G412" i="3"/>
  <c r="G464" i="3"/>
  <c r="G35" i="3"/>
  <c r="G525" i="3"/>
  <c r="G975" i="3"/>
  <c r="G185" i="3"/>
  <c r="G657" i="3"/>
  <c r="G874" i="3"/>
  <c r="G909" i="3"/>
  <c r="G106" i="3"/>
  <c r="G760" i="3"/>
  <c r="G889" i="3"/>
  <c r="G648" i="3"/>
  <c r="G990" i="3"/>
  <c r="G848" i="3"/>
  <c r="G153" i="3"/>
  <c r="G183" i="3"/>
  <c r="G708" i="3"/>
  <c r="G440" i="3"/>
  <c r="G603" i="3"/>
  <c r="G55" i="3"/>
  <c r="G550" i="3"/>
  <c r="G447" i="3"/>
  <c r="G519" i="3"/>
  <c r="G245" i="3"/>
  <c r="G906" i="3"/>
  <c r="G741" i="3"/>
  <c r="G421" i="3"/>
  <c r="G110" i="3"/>
  <c r="G314" i="3"/>
  <c r="G375" i="3"/>
  <c r="G970" i="3"/>
  <c r="G223" i="3"/>
  <c r="G558" i="3"/>
  <c r="G762" i="3"/>
  <c r="G916" i="3"/>
  <c r="G585" i="3"/>
  <c r="G413" i="3"/>
  <c r="G175" i="3"/>
  <c r="G919" i="3"/>
  <c r="G518" i="3"/>
  <c r="G289" i="3"/>
  <c r="G774" i="3"/>
  <c r="G594" i="3"/>
  <c r="G943" i="3"/>
  <c r="G1001" i="3"/>
  <c r="G992" i="3"/>
  <c r="G993" i="3"/>
  <c r="G853" i="3"/>
  <c r="G270" i="3"/>
  <c r="G278" i="3"/>
  <c r="G157" i="3"/>
  <c r="G165" i="3"/>
  <c r="G679" i="3"/>
  <c r="G997" i="3"/>
  <c r="G785" i="3"/>
  <c r="G98" i="3"/>
  <c r="G635" i="3"/>
  <c r="G229" i="3"/>
  <c r="G417" i="3"/>
  <c r="G54" i="3"/>
  <c r="G569" i="3"/>
  <c r="G884" i="3"/>
  <c r="G783" i="3"/>
  <c r="G873" i="3"/>
  <c r="G171" i="3"/>
  <c r="G167" i="3"/>
  <c r="G189" i="3"/>
  <c r="G928" i="3"/>
  <c r="G898" i="3"/>
  <c r="G349" i="3"/>
  <c r="G897" i="3"/>
  <c r="G86" i="3"/>
  <c r="G317" i="3"/>
  <c r="G954" i="3"/>
  <c r="G701" i="3"/>
  <c r="G501" i="3"/>
  <c r="G538" i="3"/>
  <c r="G527" i="3"/>
  <c r="G978" i="3"/>
  <c r="G458" i="3"/>
  <c r="G733" i="3"/>
  <c r="G6" i="3"/>
  <c r="G384" i="3"/>
  <c r="G800" i="3"/>
  <c r="G560" i="3"/>
  <c r="G144" i="3"/>
  <c r="G132" i="3"/>
  <c r="G533" i="3"/>
  <c r="G117" i="3"/>
  <c r="G79" i="3"/>
  <c r="G123" i="3"/>
  <c r="G304" i="3"/>
  <c r="G836" i="3"/>
  <c r="G619" i="3"/>
  <c r="G984" i="3"/>
  <c r="G535" i="3"/>
  <c r="G779" i="3"/>
  <c r="G244" i="3"/>
  <c r="G367" i="3"/>
  <c r="G868" i="3"/>
  <c r="G192" i="3"/>
  <c r="G283" i="3"/>
  <c r="G387" i="3"/>
  <c r="G308" i="3"/>
  <c r="G773" i="3"/>
  <c r="G713" i="3"/>
  <c r="G271" i="3"/>
  <c r="G893" i="3"/>
  <c r="G573" i="3"/>
  <c r="G111" i="3"/>
  <c r="G510" i="3"/>
  <c r="G478" i="3"/>
  <c r="G457" i="3"/>
  <c r="G841" i="3"/>
  <c r="G428" i="3"/>
  <c r="G362" i="3"/>
  <c r="G623" i="3"/>
  <c r="G854" i="3"/>
  <c r="G963" i="3"/>
  <c r="G564" i="3"/>
  <c r="G612" i="3"/>
  <c r="G346" i="3"/>
  <c r="G184" i="3"/>
  <c r="G188" i="3"/>
  <c r="G945" i="3"/>
  <c r="G655" i="3"/>
  <c r="G765" i="3"/>
  <c r="G143" i="3"/>
  <c r="G37" i="3"/>
  <c r="G45" i="3"/>
  <c r="G360" i="3"/>
  <c r="G197" i="3"/>
  <c r="G303" i="3"/>
  <c r="G274" i="3"/>
  <c r="G27" i="3"/>
  <c r="G707" i="3"/>
  <c r="G402" i="3"/>
  <c r="G618" i="3"/>
  <c r="G379" i="3"/>
  <c r="G176" i="3"/>
  <c r="G878" i="3"/>
  <c r="G287" i="3"/>
  <c r="G286" i="3"/>
  <c r="G299" i="3"/>
  <c r="G61" i="3"/>
  <c r="G282" i="3"/>
  <c r="G835" i="3"/>
  <c r="G1000" i="3"/>
  <c r="G208" i="3"/>
  <c r="G936" i="3"/>
  <c r="G574" i="3"/>
  <c r="G944" i="3"/>
  <c r="G477" i="3"/>
  <c r="G716" i="3"/>
  <c r="G568" i="3"/>
  <c r="G850" i="3"/>
  <c r="G432" i="3"/>
  <c r="G971" i="3"/>
  <c r="G359" i="3"/>
  <c r="G662" i="3"/>
  <c r="G593" i="3"/>
  <c r="G582" i="3"/>
  <c r="G543" i="3"/>
  <c r="G382" i="3"/>
  <c r="G122" i="3"/>
  <c r="G886" i="3"/>
  <c r="G517" i="3"/>
  <c r="G587" i="3"/>
  <c r="G805" i="3"/>
  <c r="G870" i="3"/>
  <c r="G480" i="3"/>
  <c r="G391" i="3"/>
  <c r="G351" i="3"/>
  <c r="G41" i="3"/>
  <c r="G872" i="3"/>
  <c r="G828" i="3"/>
  <c r="G94" i="3"/>
  <c r="G676" i="3"/>
  <c r="G142" i="3"/>
  <c r="G964" i="3"/>
  <c r="G181" i="3"/>
  <c r="G948" i="3"/>
  <c r="G616" i="3"/>
  <c r="G544" i="3"/>
  <c r="G39" i="3"/>
  <c r="G394" i="3"/>
  <c r="G419" i="3"/>
  <c r="G636" i="3"/>
  <c r="G852" i="3"/>
  <c r="G292" i="3"/>
  <c r="G794" i="3"/>
  <c r="G726" i="3"/>
  <c r="G894" i="3"/>
  <c r="G658" i="3"/>
  <c r="G434" i="3"/>
  <c r="G199" i="3"/>
  <c r="G575" i="3"/>
  <c r="G74" i="3"/>
  <c r="G822" i="3"/>
  <c r="G433" i="3"/>
  <c r="G309" i="3"/>
  <c r="G842" i="3"/>
  <c r="G524" i="3"/>
  <c r="G268" i="3"/>
  <c r="G328" i="3"/>
  <c r="G5" i="3"/>
  <c r="G840" i="3"/>
  <c r="G660" i="3"/>
  <c r="G914" i="3"/>
  <c r="G595" i="3"/>
  <c r="G962" i="3"/>
  <c r="G53" i="3"/>
  <c r="G226" i="3"/>
  <c r="G368" i="3"/>
  <c r="G678" i="3"/>
  <c r="G101" i="3"/>
  <c r="G839" i="3"/>
  <c r="G599" i="3"/>
  <c r="G370" i="3"/>
  <c r="G620" i="3"/>
  <c r="G221" i="3"/>
  <c r="F227" i="3"/>
  <c r="F187" i="3"/>
  <c r="F565" i="3"/>
  <c r="F190" i="3"/>
  <c r="F40" i="3"/>
  <c r="F211" i="3"/>
  <c r="F446" i="3"/>
  <c r="F855" i="3"/>
  <c r="F220" i="3"/>
  <c r="F530" i="3"/>
  <c r="F146" i="3"/>
  <c r="F75" i="3"/>
  <c r="F584" i="3"/>
  <c r="F263" i="3"/>
  <c r="F472" i="3"/>
  <c r="F557" i="3"/>
  <c r="F124" i="3"/>
  <c r="F129" i="3"/>
  <c r="F92" i="3"/>
  <c r="F494" i="3"/>
  <c r="F251" i="3"/>
  <c r="F234" i="3"/>
  <c r="F246" i="3"/>
  <c r="F161" i="3"/>
  <c r="F917" i="3"/>
  <c r="F683" i="3"/>
  <c r="F613" i="3"/>
  <c r="F352" i="3"/>
  <c r="F504" i="3"/>
  <c r="F923" i="3"/>
  <c r="F586" i="3"/>
  <c r="F381" i="3"/>
  <c r="F508" i="3"/>
  <c r="F163" i="3"/>
  <c r="F210" i="3"/>
  <c r="F459" i="3"/>
  <c r="F784" i="3"/>
  <c r="F467" i="3"/>
  <c r="F11" i="3"/>
  <c r="F23" i="3"/>
  <c r="F972" i="3"/>
  <c r="F654" i="3"/>
  <c r="F496" i="3"/>
  <c r="F248" i="3"/>
  <c r="F493" i="3"/>
  <c r="F357" i="3"/>
  <c r="F861" i="3"/>
  <c r="F864" i="3"/>
  <c r="F798" i="3"/>
  <c r="F904" i="3"/>
  <c r="F750" i="3"/>
  <c r="F243" i="3"/>
  <c r="F497" i="3"/>
  <c r="F795" i="3"/>
  <c r="F267" i="3"/>
  <c r="F851" i="3"/>
  <c r="F578" i="3"/>
  <c r="F912" i="3"/>
  <c r="F232" i="3"/>
  <c r="F235" i="3"/>
  <c r="F337" i="3"/>
  <c r="F671" i="3"/>
  <c r="F66" i="3"/>
  <c r="F276" i="3"/>
  <c r="F673" i="3"/>
  <c r="F388" i="3"/>
  <c r="F150" i="3"/>
  <c r="F485" i="3"/>
  <c r="F9" i="3"/>
  <c r="F718" i="3"/>
  <c r="F22" i="3"/>
  <c r="F539" i="3"/>
  <c r="F34" i="3"/>
  <c r="F632" i="3"/>
  <c r="F724" i="3"/>
  <c r="F46" i="3"/>
  <c r="F156" i="3"/>
  <c r="F601" i="3"/>
  <c r="F170" i="3"/>
  <c r="F695" i="3"/>
  <c r="F877" i="3"/>
  <c r="F475" i="3"/>
  <c r="F659" i="3"/>
  <c r="F25" i="3"/>
  <c r="F946" i="3"/>
  <c r="F875" i="3"/>
  <c r="F567" i="3"/>
  <c r="F95" i="3"/>
  <c r="F729" i="3"/>
  <c r="F959" i="3"/>
  <c r="F93" i="3"/>
  <c r="F195" i="3"/>
  <c r="F652" i="3"/>
  <c r="F155" i="3"/>
  <c r="F638" i="3"/>
  <c r="F288" i="3"/>
  <c r="F591" i="3"/>
  <c r="F476" i="3"/>
  <c r="F727" i="3"/>
  <c r="F666" i="3"/>
  <c r="F254" i="3"/>
  <c r="F280" i="3"/>
  <c r="F957" i="3"/>
  <c r="F876" i="3"/>
  <c r="F85" i="3"/>
  <c r="F67" i="3"/>
  <c r="F399" i="3"/>
  <c r="F899" i="3"/>
  <c r="F372" i="3"/>
  <c r="F834" i="3"/>
  <c r="F723" i="3"/>
  <c r="F323" i="3"/>
  <c r="F776" i="3"/>
  <c r="F43" i="3"/>
  <c r="F725" i="3"/>
  <c r="F97" i="3"/>
  <c r="F824" i="3"/>
  <c r="F702" i="3"/>
  <c r="F796" i="3"/>
  <c r="F614" i="3"/>
  <c r="F335" i="3"/>
  <c r="F311" i="3"/>
  <c r="F820" i="3"/>
  <c r="F668" i="3"/>
  <c r="F294" i="3"/>
  <c r="F769" i="3"/>
  <c r="F746" i="3"/>
  <c r="F63" i="3"/>
  <c r="F332" i="3"/>
  <c r="F408" i="3"/>
  <c r="F88" i="3"/>
  <c r="F259" i="3"/>
  <c r="F523" i="3"/>
  <c r="F406" i="3"/>
  <c r="F21" i="3"/>
  <c r="F437" i="3"/>
  <c r="F553" i="3"/>
  <c r="F847" i="3"/>
  <c r="F756" i="3"/>
  <c r="F206" i="3"/>
  <c r="F682" i="3"/>
  <c r="F395" i="3"/>
  <c r="F374" i="3"/>
  <c r="F126" i="3"/>
  <c r="F24" i="3"/>
  <c r="F159" i="3"/>
  <c r="F641" i="3"/>
  <c r="F866" i="3"/>
  <c r="F602" i="3"/>
  <c r="F506" i="3"/>
  <c r="F801" i="3"/>
  <c r="F134" i="3"/>
  <c r="F566" i="3"/>
  <c r="F356" i="3"/>
  <c r="F17" i="3"/>
  <c r="F445" i="3"/>
  <c r="F107" i="3"/>
  <c r="F469" i="3"/>
  <c r="F996" i="3"/>
  <c r="F355" i="3"/>
  <c r="F490" i="3"/>
  <c r="F125" i="3"/>
  <c r="F32" i="3"/>
  <c r="F127" i="3"/>
  <c r="F763" i="3"/>
  <c r="F13" i="3"/>
  <c r="F766" i="3"/>
  <c r="F4" i="3"/>
  <c r="F377" i="3"/>
  <c r="F528" i="3"/>
  <c r="F692" i="3"/>
  <c r="F451" i="3"/>
  <c r="F755" i="3"/>
  <c r="F787" i="3"/>
  <c r="F76" i="3"/>
  <c r="F338" i="3"/>
  <c r="F354" i="3"/>
  <c r="F405" i="3"/>
  <c r="F892" i="3"/>
  <c r="F767" i="3"/>
  <c r="F986" i="3"/>
  <c r="F581" i="3"/>
  <c r="F706" i="3"/>
  <c r="F753" i="3"/>
  <c r="F481" i="3"/>
  <c r="F166" i="3"/>
  <c r="F264" i="3"/>
  <c r="F318" i="3"/>
  <c r="F300" i="3"/>
  <c r="F965" i="3"/>
  <c r="F73" i="3"/>
  <c r="F507" i="3"/>
  <c r="F60" i="3"/>
  <c r="F257" i="3"/>
  <c r="F228" i="3"/>
  <c r="F690" i="3"/>
  <c r="F721" i="3"/>
  <c r="F279" i="3"/>
  <c r="F561" i="3"/>
  <c r="F869" i="3"/>
  <c r="F138" i="3"/>
  <c r="F461" i="3"/>
  <c r="F429" i="3"/>
  <c r="F174" i="3"/>
  <c r="F974" i="3"/>
  <c r="F380" i="3"/>
  <c r="F777" i="3"/>
  <c r="F642" i="3"/>
  <c r="F342" i="3"/>
  <c r="F441" i="3"/>
  <c r="F83" i="3"/>
  <c r="F225" i="3"/>
  <c r="F509" i="3"/>
  <c r="F933" i="3"/>
  <c r="F486" i="3"/>
  <c r="F64" i="3"/>
  <c r="F563" i="3"/>
  <c r="F736" i="3"/>
  <c r="F607" i="3"/>
  <c r="F955" i="3"/>
  <c r="F495" i="3"/>
  <c r="F961" i="3"/>
  <c r="F57" i="3"/>
  <c r="F7" i="3"/>
  <c r="F831" i="3"/>
  <c r="F786" i="3"/>
  <c r="F158" i="3"/>
  <c r="F213" i="3"/>
  <c r="F145" i="3"/>
  <c r="F609" i="3"/>
  <c r="F670" i="3"/>
  <c r="F994" i="3"/>
  <c r="F932" i="3"/>
  <c r="F903" i="3"/>
  <c r="F177" i="3"/>
  <c r="F105" i="3"/>
  <c r="F819" i="3"/>
  <c r="F674" i="3"/>
  <c r="F799" i="3"/>
  <c r="F672" i="3"/>
  <c r="F735" i="3"/>
  <c r="F976" i="3"/>
  <c r="F995" i="3"/>
  <c r="F661" i="3"/>
  <c r="F348" i="3"/>
  <c r="F511" i="3"/>
  <c r="F49" i="3"/>
  <c r="F693" i="3"/>
  <c r="F281" i="3"/>
  <c r="F449" i="3"/>
  <c r="F439" i="3"/>
  <c r="F677" i="3"/>
  <c r="F879" i="3"/>
  <c r="F330" i="3"/>
  <c r="F554" i="3"/>
  <c r="F78" i="3"/>
  <c r="F414" i="3"/>
  <c r="F610" i="3"/>
  <c r="F272" i="3"/>
  <c r="F258" i="3"/>
  <c r="F807" i="3"/>
  <c r="F316" i="3"/>
  <c r="F460" i="3"/>
  <c r="F596" i="3"/>
  <c r="F947" i="3"/>
  <c r="F260" i="3"/>
  <c r="F930" i="3"/>
  <c r="F549" i="3"/>
  <c r="F867" i="3"/>
  <c r="F353" i="3"/>
  <c r="F649" i="3"/>
  <c r="F537" i="3"/>
  <c r="F653" i="3"/>
  <c r="F48" i="3"/>
  <c r="F844" i="3"/>
  <c r="F425" i="3"/>
  <c r="F764" i="3"/>
  <c r="F3" i="3"/>
  <c r="F908" i="3"/>
  <c r="F453" i="3"/>
  <c r="F321" i="3"/>
  <c r="F455" i="3"/>
  <c r="F202" i="3"/>
  <c r="F131" i="3"/>
  <c r="F68" i="3"/>
  <c r="F373" i="3"/>
  <c r="F390" i="3"/>
  <c r="F114" i="3"/>
  <c r="F422" i="3"/>
  <c r="F371" i="3"/>
  <c r="F817" i="3"/>
  <c r="F290" i="3"/>
  <c r="F194" i="3"/>
  <c r="F112" i="3"/>
  <c r="F103" i="3"/>
  <c r="F577" i="3"/>
  <c r="F977" i="3"/>
  <c r="F583" i="3"/>
  <c r="F521" i="3"/>
  <c r="F376" i="3"/>
  <c r="F640" i="3"/>
  <c r="F705" i="3"/>
  <c r="F606" i="3"/>
  <c r="F980" i="3"/>
  <c r="F307" i="3"/>
  <c r="F829" i="3"/>
  <c r="F675" i="3"/>
  <c r="F133" i="3"/>
  <c r="F411" i="3"/>
  <c r="F758" i="3"/>
  <c r="F687" i="3"/>
  <c r="F334" i="3"/>
  <c r="F277" i="3"/>
  <c r="F552" i="3"/>
  <c r="F838" i="3"/>
  <c r="F474" i="3"/>
  <c r="F732" i="3"/>
  <c r="F136" i="3"/>
  <c r="F739" i="3"/>
  <c r="F770" i="3"/>
  <c r="F598" i="3"/>
  <c r="F224" i="3"/>
  <c r="F320" i="3"/>
  <c r="F811" i="3"/>
  <c r="F59" i="3"/>
  <c r="F781" i="3"/>
  <c r="F343" i="3"/>
  <c r="F424" i="3"/>
  <c r="F113" i="3"/>
  <c r="F198" i="3"/>
  <c r="F42" i="3"/>
  <c r="F8" i="3"/>
  <c r="F710" i="3"/>
  <c r="F967" i="3"/>
  <c r="F164" i="3"/>
  <c r="F696" i="3"/>
  <c r="F90" i="3"/>
  <c r="F627" i="3"/>
  <c r="F256" i="3"/>
  <c r="F611" i="3"/>
  <c r="F180" i="3"/>
  <c r="F920" i="3"/>
  <c r="F147" i="3"/>
  <c r="F922" i="3"/>
  <c r="F396" i="3"/>
  <c r="F634" i="3"/>
  <c r="F905" i="3"/>
  <c r="F140" i="3"/>
  <c r="F269" i="3"/>
  <c r="F325" i="3"/>
  <c r="F910" i="3"/>
  <c r="F285" i="3"/>
  <c r="F344" i="3"/>
  <c r="F102" i="3"/>
  <c r="F52" i="3"/>
  <c r="F720" i="3"/>
  <c r="F207" i="3"/>
  <c r="F931" i="3"/>
  <c r="F988" i="3"/>
  <c r="F108" i="3"/>
  <c r="F479" i="3"/>
  <c r="F859" i="3"/>
  <c r="F410" i="3"/>
  <c r="F386" i="3"/>
  <c r="F531" i="3"/>
  <c r="F483" i="3"/>
  <c r="F759" i="3"/>
  <c r="F714" i="3"/>
  <c r="F748" i="3"/>
  <c r="F296" i="3"/>
  <c r="F651" i="3"/>
  <c r="F397" i="3"/>
  <c r="F551" i="3"/>
  <c r="F491" i="3"/>
  <c r="F891" i="3"/>
  <c r="F273" i="3"/>
  <c r="F907" i="3"/>
  <c r="F830" i="3"/>
  <c r="F51" i="3"/>
  <c r="F592" i="3"/>
  <c r="F555" i="3"/>
  <c r="F378" i="3"/>
  <c r="F542" i="3"/>
  <c r="F562" i="3"/>
  <c r="F31" i="3"/>
  <c r="F966" i="3"/>
  <c r="F913" i="3"/>
  <c r="F827" i="3"/>
  <c r="F818" i="3"/>
  <c r="F319" i="3"/>
  <c r="F950" i="3"/>
  <c r="F597" i="3"/>
  <c r="F752" i="3"/>
  <c r="F503" i="3"/>
  <c r="F743" i="3"/>
  <c r="F70" i="3"/>
  <c r="F392" i="3"/>
  <c r="F236" i="3"/>
  <c r="F154" i="3"/>
  <c r="F924" i="3"/>
  <c r="F617" i="3"/>
  <c r="F275" i="3"/>
  <c r="F516" i="3"/>
  <c r="F492" i="3"/>
  <c r="F250" i="3"/>
  <c r="F949" i="3"/>
  <c r="F252" i="3"/>
  <c r="F604" i="3"/>
  <c r="F982" i="3"/>
  <c r="F262" i="3"/>
  <c r="F62" i="3"/>
  <c r="F546" i="3"/>
  <c r="F837" i="3"/>
  <c r="F426" i="3"/>
  <c r="F452" i="3"/>
  <c r="F570" i="3"/>
  <c r="F240" i="3"/>
  <c r="F628" i="3"/>
  <c r="F605" i="3"/>
  <c r="F761" i="3"/>
  <c r="F358" i="3"/>
  <c r="F18" i="3"/>
  <c r="F324" i="3"/>
  <c r="F896" i="3"/>
  <c r="F643" i="3"/>
  <c r="F644" i="3"/>
  <c r="F803" i="3"/>
  <c r="F622" i="3"/>
  <c r="F420" i="3"/>
  <c r="F415" i="3"/>
  <c r="F529" i="3"/>
  <c r="F178" i="3"/>
  <c r="F656" i="3"/>
  <c r="F821" i="3"/>
  <c r="F669" i="3"/>
  <c r="F887" i="3"/>
  <c r="F91" i="3"/>
  <c r="F813" i="3"/>
  <c r="F856" i="3"/>
  <c r="F688" i="3"/>
  <c r="F448" i="3"/>
  <c r="F757" i="3"/>
  <c r="F667" i="3"/>
  <c r="F719" i="3"/>
  <c r="F883" i="3"/>
  <c r="F664" i="3"/>
  <c r="F921" i="3"/>
  <c r="F130" i="3"/>
  <c r="F168" i="3"/>
  <c r="F630" i="3"/>
  <c r="F639" i="3"/>
  <c r="F865" i="3"/>
  <c r="F364" i="3"/>
  <c r="F473" i="3"/>
  <c r="F956" i="3"/>
  <c r="F792" i="3"/>
  <c r="F418" i="3"/>
  <c r="F526" i="3"/>
  <c r="F833" i="3"/>
  <c r="F186" i="3"/>
  <c r="F981" i="3"/>
  <c r="F540" i="3"/>
  <c r="F846" i="3"/>
  <c r="F297" i="3"/>
  <c r="F985" i="3"/>
  <c r="F559" i="3"/>
  <c r="F499" i="3"/>
  <c r="F36" i="3"/>
  <c r="F400" i="3"/>
  <c r="F925" i="3"/>
  <c r="F326" i="3"/>
  <c r="F625" i="3"/>
  <c r="F89" i="3"/>
  <c r="F462" i="3"/>
  <c r="F754" i="3"/>
  <c r="F218" i="3"/>
  <c r="F118" i="3"/>
  <c r="F881" i="3"/>
  <c r="F327" i="3"/>
  <c r="F29" i="3"/>
  <c r="F512" i="3"/>
  <c r="F522" i="3"/>
  <c r="F871" i="3"/>
  <c r="F747" i="3"/>
  <c r="F520" i="3"/>
  <c r="F306" i="3"/>
  <c r="F888" i="3"/>
  <c r="F703" i="3"/>
  <c r="F430" i="3"/>
  <c r="F444" i="3"/>
  <c r="F704" i="3"/>
  <c r="F295" i="3"/>
  <c r="F149" i="3"/>
  <c r="F700" i="3"/>
  <c r="F728" i="3"/>
  <c r="F65" i="3"/>
  <c r="F284" i="3"/>
  <c r="F937" i="3"/>
  <c r="F547" i="3"/>
  <c r="F139" i="3"/>
  <c r="F731" i="3"/>
  <c r="F951" i="3"/>
  <c r="F911" i="3"/>
  <c r="F969" i="3"/>
  <c r="F749" i="3"/>
  <c r="F952" i="3"/>
  <c r="F697" i="3"/>
  <c r="F87" i="3"/>
  <c r="F204" i="3"/>
  <c r="F958" i="3"/>
  <c r="F615" i="3"/>
  <c r="F711" i="3"/>
  <c r="F169" i="3"/>
  <c r="F717" i="3"/>
  <c r="F624" i="3"/>
  <c r="F621" i="3"/>
  <c r="F435" i="3"/>
  <c r="F215" i="3"/>
  <c r="F815" i="3"/>
  <c r="F336" i="3"/>
  <c r="F782" i="3"/>
  <c r="F637" i="3"/>
  <c r="F404" i="3"/>
  <c r="F253" i="3"/>
  <c r="F385" i="3"/>
  <c r="F572" i="3"/>
  <c r="F845" i="3"/>
  <c r="F536" i="3"/>
  <c r="F608" i="3"/>
  <c r="F816" i="3"/>
  <c r="F329" i="3"/>
  <c r="F940" i="3"/>
  <c r="F505" i="3"/>
  <c r="F588" i="3"/>
  <c r="F745" i="3"/>
  <c r="F780" i="3"/>
  <c r="F242" i="3"/>
  <c r="F953" i="3"/>
  <c r="F979" i="3"/>
  <c r="F775" i="3"/>
  <c r="F502" i="3"/>
  <c r="F941" i="3"/>
  <c r="F407" i="3"/>
  <c r="F929" i="3"/>
  <c r="F991" i="3"/>
  <c r="F983" i="3"/>
  <c r="F968" i="3"/>
  <c r="F926" i="3"/>
  <c r="F810" i="3"/>
  <c r="F28" i="3"/>
  <c r="F809" i="3"/>
  <c r="F534" i="3"/>
  <c r="F100" i="3"/>
  <c r="F341" i="3"/>
  <c r="F312" i="3"/>
  <c r="F814" i="3"/>
  <c r="F515" i="3"/>
  <c r="F84" i="3"/>
  <c r="F19" i="3"/>
  <c r="F322" i="3"/>
  <c r="F895" i="3"/>
  <c r="F699" i="3"/>
  <c r="F989" i="3"/>
  <c r="F33" i="3"/>
  <c r="F470" i="3"/>
  <c r="F938" i="3"/>
  <c r="F500" i="3"/>
  <c r="F863" i="3"/>
  <c r="F576" i="3"/>
  <c r="F431" i="3"/>
  <c r="F173" i="3"/>
  <c r="F751" i="3"/>
  <c r="F104" i="3"/>
  <c r="F363" i="3"/>
  <c r="F15" i="3"/>
  <c r="F808" i="3"/>
  <c r="F436" i="3"/>
  <c r="F498" i="3"/>
  <c r="F484" i="3"/>
  <c r="F545" i="3"/>
  <c r="F403" i="3"/>
  <c r="F347" i="3"/>
  <c r="F691" i="3"/>
  <c r="F339" i="3"/>
  <c r="F722" i="3"/>
  <c r="F806" i="3"/>
  <c r="F730" i="3"/>
  <c r="F301" i="3"/>
  <c r="F626" i="3"/>
  <c r="F38" i="3"/>
  <c r="F212" i="3"/>
  <c r="F880" i="3"/>
  <c r="F849" i="3"/>
  <c r="F135" i="3"/>
  <c r="F121" i="3"/>
  <c r="F633" i="3"/>
  <c r="F331" i="3"/>
  <c r="F141" i="3"/>
  <c r="F128" i="3"/>
  <c r="F804" i="3"/>
  <c r="F20" i="3"/>
  <c r="F684" i="3"/>
  <c r="F579" i="3"/>
  <c r="F239" i="3"/>
  <c r="F960" i="3"/>
  <c r="F665" i="3"/>
  <c r="F832" i="3"/>
  <c r="F471" i="3"/>
  <c r="F205" i="3"/>
  <c r="F182" i="3"/>
  <c r="F172" i="3"/>
  <c r="F247" i="3"/>
  <c r="F772" i="3"/>
  <c r="F393" i="3"/>
  <c r="F80" i="3"/>
  <c r="F580" i="3"/>
  <c r="F468" i="3"/>
  <c r="F768" i="3"/>
  <c r="F443" i="3"/>
  <c r="F918" i="3"/>
  <c r="F96" i="3"/>
  <c r="F416" i="3"/>
  <c r="F366" i="3"/>
  <c r="F487" i="3"/>
  <c r="F681" i="3"/>
  <c r="F365" i="3"/>
  <c r="F935" i="3"/>
  <c r="F915" i="3"/>
  <c r="F2" i="3"/>
  <c r="F998" i="3"/>
  <c r="F514" i="3"/>
  <c r="F882" i="3"/>
  <c r="F427" i="3"/>
  <c r="F209" i="3"/>
  <c r="F647" i="3"/>
  <c r="F885" i="3"/>
  <c r="F361" i="3"/>
  <c r="F77" i="3"/>
  <c r="F293" i="3"/>
  <c r="F489" i="3"/>
  <c r="F927" i="3"/>
  <c r="F265" i="3"/>
  <c r="F81" i="3"/>
  <c r="F333" i="3"/>
  <c r="F890" i="3"/>
  <c r="F482" i="3"/>
  <c r="F266" i="3"/>
  <c r="F369" i="3"/>
  <c r="F230" i="3"/>
  <c r="F255" i="3"/>
  <c r="F823" i="3"/>
  <c r="F466" i="3"/>
  <c r="F860" i="3"/>
  <c r="F737" i="3"/>
  <c r="F30" i="3"/>
  <c r="F47" i="3"/>
  <c r="F802" i="3"/>
  <c r="F72" i="3"/>
  <c r="F119" i="3"/>
  <c r="F629" i="3"/>
  <c r="F217" i="3"/>
  <c r="F450" i="3"/>
  <c r="F44" i="3"/>
  <c r="F712" i="3"/>
  <c r="F148" i="3"/>
  <c r="F345" i="3"/>
  <c r="F788" i="3"/>
  <c r="F778" i="3"/>
  <c r="F858" i="3"/>
  <c r="F812" i="3"/>
  <c r="F789" i="3"/>
  <c r="F771" i="3"/>
  <c r="F340" i="3"/>
  <c r="F694" i="3"/>
  <c r="F401" i="3"/>
  <c r="F109" i="3"/>
  <c r="F302" i="3"/>
  <c r="F315" i="3"/>
  <c r="F790" i="3"/>
  <c r="F291" i="3"/>
  <c r="F934" i="3"/>
  <c r="F214" i="3"/>
  <c r="F16" i="3"/>
  <c r="F698" i="3"/>
  <c r="F219" i="3"/>
  <c r="F862" i="3"/>
  <c r="F715" i="3"/>
  <c r="F709" i="3"/>
  <c r="F216" i="3"/>
  <c r="F999" i="3"/>
  <c r="F442" i="3"/>
  <c r="F740" i="3"/>
  <c r="F797" i="3"/>
  <c r="F193" i="3"/>
  <c r="F571" i="3"/>
  <c r="F793" i="3"/>
  <c r="F456" i="3"/>
  <c r="F151" i="3"/>
  <c r="F115" i="3"/>
  <c r="F350" i="3"/>
  <c r="F398" i="3"/>
  <c r="F389" i="3"/>
  <c r="F646" i="3"/>
  <c r="F241" i="3"/>
  <c r="F680" i="3"/>
  <c r="F237" i="3"/>
  <c r="F58" i="3"/>
  <c r="F631" i="3"/>
  <c r="F488" i="3"/>
  <c r="F120" i="3"/>
  <c r="F71" i="3"/>
  <c r="F50" i="3"/>
  <c r="F152" i="3"/>
  <c r="F200" i="3"/>
  <c r="F438" i="3"/>
  <c r="F409" i="3"/>
  <c r="F689" i="3"/>
  <c r="F826" i="3"/>
  <c r="F261" i="3"/>
  <c r="F222" i="3"/>
  <c r="F99" i="3"/>
  <c r="F196" i="3"/>
  <c r="F233" i="3"/>
  <c r="F589" i="3"/>
  <c r="F532" i="3"/>
  <c r="F12" i="3"/>
  <c r="F10" i="3"/>
  <c r="F179" i="3"/>
  <c r="F987" i="3"/>
  <c r="F463" i="3"/>
  <c r="F973" i="3"/>
  <c r="F556" i="3"/>
  <c r="F734" i="3"/>
  <c r="F645" i="3"/>
  <c r="F663" i="3"/>
  <c r="F902" i="3"/>
  <c r="F843" i="3"/>
  <c r="F686" i="3"/>
  <c r="F685" i="3"/>
  <c r="F82" i="3"/>
  <c r="F383" i="3"/>
  <c r="F137" i="3"/>
  <c r="F738" i="3"/>
  <c r="F191" i="3"/>
  <c r="F26" i="3"/>
  <c r="F423" i="3"/>
  <c r="F650" i="3"/>
  <c r="F465" i="3"/>
  <c r="F56" i="3"/>
  <c r="F513" i="3"/>
  <c r="F541" i="3"/>
  <c r="F900" i="3"/>
  <c r="F231" i="3"/>
  <c r="F454" i="3"/>
  <c r="F857" i="3"/>
  <c r="F298" i="3"/>
  <c r="F600" i="3"/>
  <c r="F744" i="3"/>
  <c r="F249" i="3"/>
  <c r="F14" i="3"/>
  <c r="F238" i="3"/>
  <c r="F590" i="3"/>
  <c r="F201" i="3"/>
  <c r="F825" i="3"/>
  <c r="F310" i="3"/>
  <c r="F939" i="3"/>
  <c r="F313" i="3"/>
  <c r="F162" i="3"/>
  <c r="F203" i="3"/>
  <c r="F548" i="3"/>
  <c r="F160" i="3"/>
  <c r="F942" i="3"/>
  <c r="F791" i="3"/>
  <c r="F901" i="3"/>
  <c r="F69" i="3"/>
  <c r="F116" i="3"/>
  <c r="F305" i="3"/>
  <c r="F742" i="3"/>
  <c r="F412" i="3"/>
  <c r="F464" i="3"/>
  <c r="F35" i="3"/>
  <c r="F525" i="3"/>
  <c r="F975" i="3"/>
  <c r="F185" i="3"/>
  <c r="F657" i="3"/>
  <c r="F874" i="3"/>
  <c r="F909" i="3"/>
  <c r="F106" i="3"/>
  <c r="F760" i="3"/>
  <c r="F889" i="3"/>
  <c r="F648" i="3"/>
  <c r="F990" i="3"/>
  <c r="F848" i="3"/>
  <c r="F153" i="3"/>
  <c r="F183" i="3"/>
  <c r="F708" i="3"/>
  <c r="F440" i="3"/>
  <c r="F603" i="3"/>
  <c r="F55" i="3"/>
  <c r="F550" i="3"/>
  <c r="F447" i="3"/>
  <c r="F519" i="3"/>
  <c r="F245" i="3"/>
  <c r="F906" i="3"/>
  <c r="F741" i="3"/>
  <c r="F421" i="3"/>
  <c r="F110" i="3"/>
  <c r="F314" i="3"/>
  <c r="F375" i="3"/>
  <c r="F970" i="3"/>
  <c r="F223" i="3"/>
  <c r="F558" i="3"/>
  <c r="F762" i="3"/>
  <c r="F916" i="3"/>
  <c r="F585" i="3"/>
  <c r="F413" i="3"/>
  <c r="F175" i="3"/>
  <c r="F919" i="3"/>
  <c r="F518" i="3"/>
  <c r="F289" i="3"/>
  <c r="F774" i="3"/>
  <c r="F594" i="3"/>
  <c r="F943" i="3"/>
  <c r="F1001" i="3"/>
  <c r="F992" i="3"/>
  <c r="F993" i="3"/>
  <c r="F853" i="3"/>
  <c r="F270" i="3"/>
  <c r="F278" i="3"/>
  <c r="F157" i="3"/>
  <c r="F165" i="3"/>
  <c r="F679" i="3"/>
  <c r="F997" i="3"/>
  <c r="F785" i="3"/>
  <c r="F98" i="3"/>
  <c r="F635" i="3"/>
  <c r="F229" i="3"/>
  <c r="F417" i="3"/>
  <c r="F54" i="3"/>
  <c r="F569" i="3"/>
  <c r="F884" i="3"/>
  <c r="F783" i="3"/>
  <c r="F873" i="3"/>
  <c r="F171" i="3"/>
  <c r="F167" i="3"/>
  <c r="F189" i="3"/>
  <c r="F928" i="3"/>
  <c r="F898" i="3"/>
  <c r="F349" i="3"/>
  <c r="F897" i="3"/>
  <c r="F86" i="3"/>
  <c r="F317" i="3"/>
  <c r="F954" i="3"/>
  <c r="F701" i="3"/>
  <c r="F501" i="3"/>
  <c r="F538" i="3"/>
  <c r="F527" i="3"/>
  <c r="F978" i="3"/>
  <c r="F458" i="3"/>
  <c r="F733" i="3"/>
  <c r="F6" i="3"/>
  <c r="F384" i="3"/>
  <c r="F800" i="3"/>
  <c r="F560" i="3"/>
  <c r="F144" i="3"/>
  <c r="F132" i="3"/>
  <c r="F533" i="3"/>
  <c r="F117" i="3"/>
  <c r="F79" i="3"/>
  <c r="F123" i="3"/>
  <c r="F304" i="3"/>
  <c r="F836" i="3"/>
  <c r="F619" i="3"/>
  <c r="F984" i="3"/>
  <c r="F535" i="3"/>
  <c r="F779" i="3"/>
  <c r="F244" i="3"/>
  <c r="F367" i="3"/>
  <c r="F868" i="3"/>
  <c r="F192" i="3"/>
  <c r="F283" i="3"/>
  <c r="F387" i="3"/>
  <c r="F308" i="3"/>
  <c r="F773" i="3"/>
  <c r="F713" i="3"/>
  <c r="F271" i="3"/>
  <c r="F893" i="3"/>
  <c r="F573" i="3"/>
  <c r="F111" i="3"/>
  <c r="F510" i="3"/>
  <c r="F478" i="3"/>
  <c r="F457" i="3"/>
  <c r="F841" i="3"/>
  <c r="F428" i="3"/>
  <c r="F362" i="3"/>
  <c r="F623" i="3"/>
  <c r="F854" i="3"/>
  <c r="F963" i="3"/>
  <c r="F564" i="3"/>
  <c r="F612" i="3"/>
  <c r="F346" i="3"/>
  <c r="F184" i="3"/>
  <c r="F188" i="3"/>
  <c r="F945" i="3"/>
  <c r="F655" i="3"/>
  <c r="F765" i="3"/>
  <c r="F143" i="3"/>
  <c r="F37" i="3"/>
  <c r="F45" i="3"/>
  <c r="F360" i="3"/>
  <c r="F197" i="3"/>
  <c r="F303" i="3"/>
  <c r="F274" i="3"/>
  <c r="F27" i="3"/>
  <c r="F707" i="3"/>
  <c r="F402" i="3"/>
  <c r="F618" i="3"/>
  <c r="F379" i="3"/>
  <c r="F176" i="3"/>
  <c r="F878" i="3"/>
  <c r="F287" i="3"/>
  <c r="F286" i="3"/>
  <c r="F299" i="3"/>
  <c r="F61" i="3"/>
  <c r="F282" i="3"/>
  <c r="F835" i="3"/>
  <c r="F1000" i="3"/>
  <c r="F208" i="3"/>
  <c r="F936" i="3"/>
  <c r="F574" i="3"/>
  <c r="F944" i="3"/>
  <c r="F477" i="3"/>
  <c r="F716" i="3"/>
  <c r="F568" i="3"/>
  <c r="F850" i="3"/>
  <c r="F432" i="3"/>
  <c r="F971" i="3"/>
  <c r="F359" i="3"/>
  <c r="F662" i="3"/>
  <c r="F593" i="3"/>
  <c r="F582" i="3"/>
  <c r="F543" i="3"/>
  <c r="F382" i="3"/>
  <c r="F122" i="3"/>
  <c r="F886" i="3"/>
  <c r="F517" i="3"/>
  <c r="F587" i="3"/>
  <c r="F805" i="3"/>
  <c r="F870" i="3"/>
  <c r="F480" i="3"/>
  <c r="F391" i="3"/>
  <c r="F351" i="3"/>
  <c r="F41" i="3"/>
  <c r="F872" i="3"/>
  <c r="F828" i="3"/>
  <c r="F94" i="3"/>
  <c r="F676" i="3"/>
  <c r="F142" i="3"/>
  <c r="F964" i="3"/>
  <c r="F181" i="3"/>
  <c r="F948" i="3"/>
  <c r="F616" i="3"/>
  <c r="F544" i="3"/>
  <c r="F39" i="3"/>
  <c r="F394" i="3"/>
  <c r="F419" i="3"/>
  <c r="F636" i="3"/>
  <c r="F852" i="3"/>
  <c r="F292" i="3"/>
  <c r="F794" i="3"/>
  <c r="F726" i="3"/>
  <c r="F894" i="3"/>
  <c r="F658" i="3"/>
  <c r="F434" i="3"/>
  <c r="F199" i="3"/>
  <c r="F575" i="3"/>
  <c r="F74" i="3"/>
  <c r="F822" i="3"/>
  <c r="F433" i="3"/>
  <c r="F309" i="3"/>
  <c r="F842" i="3"/>
  <c r="F524" i="3"/>
  <c r="F268" i="3"/>
  <c r="F328" i="3"/>
  <c r="F5" i="3"/>
  <c r="F840" i="3"/>
  <c r="F660" i="3"/>
  <c r="F914" i="3"/>
  <c r="F595" i="3"/>
  <c r="F962" i="3"/>
  <c r="F53" i="3"/>
  <c r="F226" i="3"/>
  <c r="F368" i="3"/>
  <c r="F678" i="3"/>
  <c r="F101" i="3"/>
  <c r="F839" i="3"/>
  <c r="F599" i="3"/>
  <c r="F370" i="3"/>
  <c r="F620" i="3"/>
  <c r="F221" i="3"/>
  <c r="E227" i="3"/>
  <c r="E187" i="3"/>
  <c r="E565" i="3"/>
  <c r="E190" i="3"/>
  <c r="E40" i="3"/>
  <c r="E211" i="3"/>
  <c r="E446" i="3"/>
  <c r="E855" i="3"/>
  <c r="E220" i="3"/>
  <c r="E530" i="3"/>
  <c r="E146" i="3"/>
  <c r="E75" i="3"/>
  <c r="E584" i="3"/>
  <c r="E263" i="3"/>
  <c r="E472" i="3"/>
  <c r="E557" i="3"/>
  <c r="E124" i="3"/>
  <c r="E129" i="3"/>
  <c r="E92" i="3"/>
  <c r="E494" i="3"/>
  <c r="E251" i="3"/>
  <c r="E234" i="3"/>
  <c r="E246" i="3"/>
  <c r="E161" i="3"/>
  <c r="E917" i="3"/>
  <c r="E683" i="3"/>
  <c r="E613" i="3"/>
  <c r="E352" i="3"/>
  <c r="E504" i="3"/>
  <c r="E923" i="3"/>
  <c r="E586" i="3"/>
  <c r="E381" i="3"/>
  <c r="E508" i="3"/>
  <c r="E163" i="3"/>
  <c r="E210" i="3"/>
  <c r="E459" i="3"/>
  <c r="E784" i="3"/>
  <c r="E467" i="3"/>
  <c r="E11" i="3"/>
  <c r="E23" i="3"/>
  <c r="E972" i="3"/>
  <c r="E654" i="3"/>
  <c r="E496" i="3"/>
  <c r="E248" i="3"/>
  <c r="E493" i="3"/>
  <c r="E357" i="3"/>
  <c r="E861" i="3"/>
  <c r="E864" i="3"/>
  <c r="E798" i="3"/>
  <c r="E904" i="3"/>
  <c r="E750" i="3"/>
  <c r="E243" i="3"/>
  <c r="E497" i="3"/>
  <c r="E795" i="3"/>
  <c r="E267" i="3"/>
  <c r="E851" i="3"/>
  <c r="E578" i="3"/>
  <c r="E912" i="3"/>
  <c r="E232" i="3"/>
  <c r="E235" i="3"/>
  <c r="E337" i="3"/>
  <c r="E671" i="3"/>
  <c r="E66" i="3"/>
  <c r="E276" i="3"/>
  <c r="E673" i="3"/>
  <c r="E388" i="3"/>
  <c r="E150" i="3"/>
  <c r="E485" i="3"/>
  <c r="E9" i="3"/>
  <c r="E718" i="3"/>
  <c r="E22" i="3"/>
  <c r="E539" i="3"/>
  <c r="E34" i="3"/>
  <c r="E632" i="3"/>
  <c r="E724" i="3"/>
  <c r="E46" i="3"/>
  <c r="E156" i="3"/>
  <c r="E601" i="3"/>
  <c r="E170" i="3"/>
  <c r="E695" i="3"/>
  <c r="E877" i="3"/>
  <c r="E475" i="3"/>
  <c r="E659" i="3"/>
  <c r="E25" i="3"/>
  <c r="E946" i="3"/>
  <c r="E875" i="3"/>
  <c r="E567" i="3"/>
  <c r="E95" i="3"/>
  <c r="E729" i="3"/>
  <c r="E959" i="3"/>
  <c r="E93" i="3"/>
  <c r="E195" i="3"/>
  <c r="E652" i="3"/>
  <c r="E155" i="3"/>
  <c r="E638" i="3"/>
  <c r="E288" i="3"/>
  <c r="E591" i="3"/>
  <c r="E476" i="3"/>
  <c r="E727" i="3"/>
  <c r="E666" i="3"/>
  <c r="E254" i="3"/>
  <c r="E280" i="3"/>
  <c r="E957" i="3"/>
  <c r="E876" i="3"/>
  <c r="E85" i="3"/>
  <c r="E67" i="3"/>
  <c r="E399" i="3"/>
  <c r="E899" i="3"/>
  <c r="E372" i="3"/>
  <c r="E834" i="3"/>
  <c r="E723" i="3"/>
  <c r="E323" i="3"/>
  <c r="E776" i="3"/>
  <c r="E43" i="3"/>
  <c r="E725" i="3"/>
  <c r="E97" i="3"/>
  <c r="E824" i="3"/>
  <c r="E702" i="3"/>
  <c r="E796" i="3"/>
  <c r="E614" i="3"/>
  <c r="E335" i="3"/>
  <c r="E311" i="3"/>
  <c r="E820" i="3"/>
  <c r="E668" i="3"/>
  <c r="E294" i="3"/>
  <c r="E769" i="3"/>
  <c r="E746" i="3"/>
  <c r="E63" i="3"/>
  <c r="E332" i="3"/>
  <c r="E408" i="3"/>
  <c r="E88" i="3"/>
  <c r="E259" i="3"/>
  <c r="E523" i="3"/>
  <c r="E406" i="3"/>
  <c r="E21" i="3"/>
  <c r="E437" i="3"/>
  <c r="E553" i="3"/>
  <c r="E847" i="3"/>
  <c r="E756" i="3"/>
  <c r="E206" i="3"/>
  <c r="E682" i="3"/>
  <c r="E395" i="3"/>
  <c r="E374" i="3"/>
  <c r="E126" i="3"/>
  <c r="E24" i="3"/>
  <c r="E159" i="3"/>
  <c r="E641" i="3"/>
  <c r="E866" i="3"/>
  <c r="E602" i="3"/>
  <c r="E506" i="3"/>
  <c r="E801" i="3"/>
  <c r="E134" i="3"/>
  <c r="E566" i="3"/>
  <c r="E356" i="3"/>
  <c r="E17" i="3"/>
  <c r="E445" i="3"/>
  <c r="E107" i="3"/>
  <c r="E469" i="3"/>
  <c r="E996" i="3"/>
  <c r="E355" i="3"/>
  <c r="E490" i="3"/>
  <c r="E125" i="3"/>
  <c r="E32" i="3"/>
  <c r="E127" i="3"/>
  <c r="E763" i="3"/>
  <c r="E13" i="3"/>
  <c r="E766" i="3"/>
  <c r="E4" i="3"/>
  <c r="E377" i="3"/>
  <c r="E528" i="3"/>
  <c r="E692" i="3"/>
  <c r="E451" i="3"/>
  <c r="E755" i="3"/>
  <c r="E787" i="3"/>
  <c r="E76" i="3"/>
  <c r="E338" i="3"/>
  <c r="E354" i="3"/>
  <c r="E405" i="3"/>
  <c r="E892" i="3"/>
  <c r="E767" i="3"/>
  <c r="E986" i="3"/>
  <c r="E581" i="3"/>
  <c r="E706" i="3"/>
  <c r="E753" i="3"/>
  <c r="E481" i="3"/>
  <c r="E166" i="3"/>
  <c r="E264" i="3"/>
  <c r="E318" i="3"/>
  <c r="E300" i="3"/>
  <c r="E965" i="3"/>
  <c r="E73" i="3"/>
  <c r="E507" i="3"/>
  <c r="E60" i="3"/>
  <c r="E257" i="3"/>
  <c r="E228" i="3"/>
  <c r="E690" i="3"/>
  <c r="E721" i="3"/>
  <c r="E279" i="3"/>
  <c r="E561" i="3"/>
  <c r="E869" i="3"/>
  <c r="E138" i="3"/>
  <c r="E461" i="3"/>
  <c r="E429" i="3"/>
  <c r="E174" i="3"/>
  <c r="E974" i="3"/>
  <c r="E380" i="3"/>
  <c r="E777" i="3"/>
  <c r="E642" i="3"/>
  <c r="E342" i="3"/>
  <c r="E441" i="3"/>
  <c r="E83" i="3"/>
  <c r="E225" i="3"/>
  <c r="E509" i="3"/>
  <c r="E933" i="3"/>
  <c r="E486" i="3"/>
  <c r="E64" i="3"/>
  <c r="E563" i="3"/>
  <c r="E736" i="3"/>
  <c r="E607" i="3"/>
  <c r="E955" i="3"/>
  <c r="E495" i="3"/>
  <c r="E961" i="3"/>
  <c r="E57" i="3"/>
  <c r="E7" i="3"/>
  <c r="E831" i="3"/>
  <c r="E786" i="3"/>
  <c r="E158" i="3"/>
  <c r="E213" i="3"/>
  <c r="E145" i="3"/>
  <c r="E609" i="3"/>
  <c r="E670" i="3"/>
  <c r="E994" i="3"/>
  <c r="E932" i="3"/>
  <c r="E903" i="3"/>
  <c r="E177" i="3"/>
  <c r="E105" i="3"/>
  <c r="E819" i="3"/>
  <c r="E674" i="3"/>
  <c r="E799" i="3"/>
  <c r="E672" i="3"/>
  <c r="E735" i="3"/>
  <c r="E976" i="3"/>
  <c r="E995" i="3"/>
  <c r="E661" i="3"/>
  <c r="E348" i="3"/>
  <c r="E511" i="3"/>
  <c r="E49" i="3"/>
  <c r="E693" i="3"/>
  <c r="E281" i="3"/>
  <c r="E449" i="3"/>
  <c r="E439" i="3"/>
  <c r="E677" i="3"/>
  <c r="E879" i="3"/>
  <c r="E330" i="3"/>
  <c r="E554" i="3"/>
  <c r="E78" i="3"/>
  <c r="E414" i="3"/>
  <c r="E610" i="3"/>
  <c r="E272" i="3"/>
  <c r="E258" i="3"/>
  <c r="E807" i="3"/>
  <c r="E316" i="3"/>
  <c r="E460" i="3"/>
  <c r="E596" i="3"/>
  <c r="E947" i="3"/>
  <c r="E260" i="3"/>
  <c r="E930" i="3"/>
  <c r="E549" i="3"/>
  <c r="E867" i="3"/>
  <c r="E353" i="3"/>
  <c r="E649" i="3"/>
  <c r="E537" i="3"/>
  <c r="E653" i="3"/>
  <c r="E48" i="3"/>
  <c r="E844" i="3"/>
  <c r="E425" i="3"/>
  <c r="E764" i="3"/>
  <c r="E3" i="3"/>
  <c r="E908" i="3"/>
  <c r="E453" i="3"/>
  <c r="E321" i="3"/>
  <c r="E455" i="3"/>
  <c r="E202" i="3"/>
  <c r="E131" i="3"/>
  <c r="E68" i="3"/>
  <c r="E373" i="3"/>
  <c r="E390" i="3"/>
  <c r="E114" i="3"/>
  <c r="E422" i="3"/>
  <c r="E371" i="3"/>
  <c r="E817" i="3"/>
  <c r="E290" i="3"/>
  <c r="E194" i="3"/>
  <c r="E112" i="3"/>
  <c r="E103" i="3"/>
  <c r="E577" i="3"/>
  <c r="E977" i="3"/>
  <c r="E583" i="3"/>
  <c r="E521" i="3"/>
  <c r="E376" i="3"/>
  <c r="E640" i="3"/>
  <c r="E705" i="3"/>
  <c r="E606" i="3"/>
  <c r="E980" i="3"/>
  <c r="E307" i="3"/>
  <c r="E829" i="3"/>
  <c r="E675" i="3"/>
  <c r="E133" i="3"/>
  <c r="E411" i="3"/>
  <c r="E758" i="3"/>
  <c r="E687" i="3"/>
  <c r="E334" i="3"/>
  <c r="E277" i="3"/>
  <c r="E552" i="3"/>
  <c r="E838" i="3"/>
  <c r="E474" i="3"/>
  <c r="E732" i="3"/>
  <c r="E136" i="3"/>
  <c r="E739" i="3"/>
  <c r="E770" i="3"/>
  <c r="E598" i="3"/>
  <c r="E224" i="3"/>
  <c r="E320" i="3"/>
  <c r="E811" i="3"/>
  <c r="E59" i="3"/>
  <c r="E781" i="3"/>
  <c r="E343" i="3"/>
  <c r="E424" i="3"/>
  <c r="E113" i="3"/>
  <c r="E198" i="3"/>
  <c r="E42" i="3"/>
  <c r="E8" i="3"/>
  <c r="E710" i="3"/>
  <c r="E967" i="3"/>
  <c r="E164" i="3"/>
  <c r="E696" i="3"/>
  <c r="E90" i="3"/>
  <c r="E627" i="3"/>
  <c r="E256" i="3"/>
  <c r="E611" i="3"/>
  <c r="E180" i="3"/>
  <c r="E920" i="3"/>
  <c r="E147" i="3"/>
  <c r="E922" i="3"/>
  <c r="E396" i="3"/>
  <c r="E634" i="3"/>
  <c r="E905" i="3"/>
  <c r="E140" i="3"/>
  <c r="E269" i="3"/>
  <c r="E325" i="3"/>
  <c r="E910" i="3"/>
  <c r="E285" i="3"/>
  <c r="E344" i="3"/>
  <c r="E102" i="3"/>
  <c r="E52" i="3"/>
  <c r="E720" i="3"/>
  <c r="E207" i="3"/>
  <c r="E931" i="3"/>
  <c r="E988" i="3"/>
  <c r="E108" i="3"/>
  <c r="E479" i="3"/>
  <c r="E859" i="3"/>
  <c r="E410" i="3"/>
  <c r="E386" i="3"/>
  <c r="E531" i="3"/>
  <c r="E483" i="3"/>
  <c r="E759" i="3"/>
  <c r="E714" i="3"/>
  <c r="E748" i="3"/>
  <c r="E296" i="3"/>
  <c r="E651" i="3"/>
  <c r="E397" i="3"/>
  <c r="E551" i="3"/>
  <c r="E491" i="3"/>
  <c r="E891" i="3"/>
  <c r="E273" i="3"/>
  <c r="E907" i="3"/>
  <c r="E830" i="3"/>
  <c r="E51" i="3"/>
  <c r="E592" i="3"/>
  <c r="E555" i="3"/>
  <c r="E378" i="3"/>
  <c r="E542" i="3"/>
  <c r="E562" i="3"/>
  <c r="E31" i="3"/>
  <c r="E966" i="3"/>
  <c r="E913" i="3"/>
  <c r="E827" i="3"/>
  <c r="E818" i="3"/>
  <c r="E319" i="3"/>
  <c r="E950" i="3"/>
  <c r="E597" i="3"/>
  <c r="E752" i="3"/>
  <c r="E503" i="3"/>
  <c r="E743" i="3"/>
  <c r="E70" i="3"/>
  <c r="E392" i="3"/>
  <c r="E236" i="3"/>
  <c r="E154" i="3"/>
  <c r="E924" i="3"/>
  <c r="E617" i="3"/>
  <c r="E275" i="3"/>
  <c r="E516" i="3"/>
  <c r="E492" i="3"/>
  <c r="E250" i="3"/>
  <c r="E949" i="3"/>
  <c r="E252" i="3"/>
  <c r="E604" i="3"/>
  <c r="E982" i="3"/>
  <c r="E262" i="3"/>
  <c r="E62" i="3"/>
  <c r="E546" i="3"/>
  <c r="E837" i="3"/>
  <c r="E426" i="3"/>
  <c r="E452" i="3"/>
  <c r="E570" i="3"/>
  <c r="E240" i="3"/>
  <c r="E628" i="3"/>
  <c r="E605" i="3"/>
  <c r="E761" i="3"/>
  <c r="E358" i="3"/>
  <c r="E18" i="3"/>
  <c r="E324" i="3"/>
  <c r="E896" i="3"/>
  <c r="E643" i="3"/>
  <c r="E644" i="3"/>
  <c r="E803" i="3"/>
  <c r="E622" i="3"/>
  <c r="E420" i="3"/>
  <c r="E415" i="3"/>
  <c r="E529" i="3"/>
  <c r="E178" i="3"/>
  <c r="E656" i="3"/>
  <c r="E821" i="3"/>
  <c r="E669" i="3"/>
  <c r="E887" i="3"/>
  <c r="E91" i="3"/>
  <c r="E813" i="3"/>
  <c r="E856" i="3"/>
  <c r="E688" i="3"/>
  <c r="E448" i="3"/>
  <c r="E757" i="3"/>
  <c r="E667" i="3"/>
  <c r="E719" i="3"/>
  <c r="E883" i="3"/>
  <c r="E664" i="3"/>
  <c r="E921" i="3"/>
  <c r="E130" i="3"/>
  <c r="E168" i="3"/>
  <c r="E630" i="3"/>
  <c r="E639" i="3"/>
  <c r="E865" i="3"/>
  <c r="E364" i="3"/>
  <c r="E473" i="3"/>
  <c r="E956" i="3"/>
  <c r="E792" i="3"/>
  <c r="E418" i="3"/>
  <c r="E526" i="3"/>
  <c r="E833" i="3"/>
  <c r="E186" i="3"/>
  <c r="E981" i="3"/>
  <c r="E540" i="3"/>
  <c r="E846" i="3"/>
  <c r="E297" i="3"/>
  <c r="E985" i="3"/>
  <c r="E559" i="3"/>
  <c r="E499" i="3"/>
  <c r="E36" i="3"/>
  <c r="E400" i="3"/>
  <c r="E925" i="3"/>
  <c r="E326" i="3"/>
  <c r="E625" i="3"/>
  <c r="E89" i="3"/>
  <c r="E462" i="3"/>
  <c r="E754" i="3"/>
  <c r="E218" i="3"/>
  <c r="E118" i="3"/>
  <c r="E881" i="3"/>
  <c r="E327" i="3"/>
  <c r="E29" i="3"/>
  <c r="E512" i="3"/>
  <c r="E522" i="3"/>
  <c r="E871" i="3"/>
  <c r="E747" i="3"/>
  <c r="E520" i="3"/>
  <c r="E306" i="3"/>
  <c r="E888" i="3"/>
  <c r="E703" i="3"/>
  <c r="E430" i="3"/>
  <c r="E444" i="3"/>
  <c r="E704" i="3"/>
  <c r="E295" i="3"/>
  <c r="E149" i="3"/>
  <c r="E700" i="3"/>
  <c r="E728" i="3"/>
  <c r="E65" i="3"/>
  <c r="E284" i="3"/>
  <c r="E937" i="3"/>
  <c r="E547" i="3"/>
  <c r="E139" i="3"/>
  <c r="E731" i="3"/>
  <c r="E951" i="3"/>
  <c r="E911" i="3"/>
  <c r="E969" i="3"/>
  <c r="E749" i="3"/>
  <c r="E952" i="3"/>
  <c r="E697" i="3"/>
  <c r="E87" i="3"/>
  <c r="E204" i="3"/>
  <c r="E958" i="3"/>
  <c r="E615" i="3"/>
  <c r="E711" i="3"/>
  <c r="E169" i="3"/>
  <c r="E717" i="3"/>
  <c r="E624" i="3"/>
  <c r="E621" i="3"/>
  <c r="E435" i="3"/>
  <c r="E215" i="3"/>
  <c r="E815" i="3"/>
  <c r="E336" i="3"/>
  <c r="E782" i="3"/>
  <c r="E637" i="3"/>
  <c r="E404" i="3"/>
  <c r="E253" i="3"/>
  <c r="E385" i="3"/>
  <c r="E572" i="3"/>
  <c r="E845" i="3"/>
  <c r="E536" i="3"/>
  <c r="E608" i="3"/>
  <c r="E816" i="3"/>
  <c r="E329" i="3"/>
  <c r="E940" i="3"/>
  <c r="E505" i="3"/>
  <c r="E588" i="3"/>
  <c r="E745" i="3"/>
  <c r="E780" i="3"/>
  <c r="E242" i="3"/>
  <c r="E953" i="3"/>
  <c r="E979" i="3"/>
  <c r="E775" i="3"/>
  <c r="E502" i="3"/>
  <c r="E941" i="3"/>
  <c r="E407" i="3"/>
  <c r="E929" i="3"/>
  <c r="E991" i="3"/>
  <c r="E983" i="3"/>
  <c r="E968" i="3"/>
  <c r="E926" i="3"/>
  <c r="E810" i="3"/>
  <c r="E28" i="3"/>
  <c r="E809" i="3"/>
  <c r="E534" i="3"/>
  <c r="E100" i="3"/>
  <c r="E341" i="3"/>
  <c r="E312" i="3"/>
  <c r="E814" i="3"/>
  <c r="E515" i="3"/>
  <c r="E84" i="3"/>
  <c r="E19" i="3"/>
  <c r="E322" i="3"/>
  <c r="E895" i="3"/>
  <c r="E699" i="3"/>
  <c r="E989" i="3"/>
  <c r="E33" i="3"/>
  <c r="E470" i="3"/>
  <c r="E938" i="3"/>
  <c r="E500" i="3"/>
  <c r="E863" i="3"/>
  <c r="E576" i="3"/>
  <c r="E431" i="3"/>
  <c r="E173" i="3"/>
  <c r="E751" i="3"/>
  <c r="E104" i="3"/>
  <c r="E363" i="3"/>
  <c r="E15" i="3"/>
  <c r="E808" i="3"/>
  <c r="E436" i="3"/>
  <c r="E498" i="3"/>
  <c r="E484" i="3"/>
  <c r="E545" i="3"/>
  <c r="E403" i="3"/>
  <c r="E347" i="3"/>
  <c r="E691" i="3"/>
  <c r="E339" i="3"/>
  <c r="E722" i="3"/>
  <c r="E806" i="3"/>
  <c r="E730" i="3"/>
  <c r="E301" i="3"/>
  <c r="E626" i="3"/>
  <c r="E38" i="3"/>
  <c r="E212" i="3"/>
  <c r="E880" i="3"/>
  <c r="E849" i="3"/>
  <c r="E135" i="3"/>
  <c r="E121" i="3"/>
  <c r="E633" i="3"/>
  <c r="E331" i="3"/>
  <c r="E141" i="3"/>
  <c r="E128" i="3"/>
  <c r="E804" i="3"/>
  <c r="E20" i="3"/>
  <c r="E684" i="3"/>
  <c r="E579" i="3"/>
  <c r="E239" i="3"/>
  <c r="E960" i="3"/>
  <c r="E665" i="3"/>
  <c r="E832" i="3"/>
  <c r="E471" i="3"/>
  <c r="E205" i="3"/>
  <c r="E182" i="3"/>
  <c r="E172" i="3"/>
  <c r="E247" i="3"/>
  <c r="E772" i="3"/>
  <c r="E393" i="3"/>
  <c r="E80" i="3"/>
  <c r="E580" i="3"/>
  <c r="E468" i="3"/>
  <c r="E768" i="3"/>
  <c r="E443" i="3"/>
  <c r="E918" i="3"/>
  <c r="E96" i="3"/>
  <c r="E416" i="3"/>
  <c r="E366" i="3"/>
  <c r="E487" i="3"/>
  <c r="E681" i="3"/>
  <c r="E365" i="3"/>
  <c r="E935" i="3"/>
  <c r="E915" i="3"/>
  <c r="E2" i="3"/>
  <c r="E998" i="3"/>
  <c r="E514" i="3"/>
  <c r="E882" i="3"/>
  <c r="E427" i="3"/>
  <c r="E209" i="3"/>
  <c r="E647" i="3"/>
  <c r="E885" i="3"/>
  <c r="E361" i="3"/>
  <c r="E77" i="3"/>
  <c r="E293" i="3"/>
  <c r="E489" i="3"/>
  <c r="E927" i="3"/>
  <c r="E265" i="3"/>
  <c r="E81" i="3"/>
  <c r="E333" i="3"/>
  <c r="E890" i="3"/>
  <c r="E482" i="3"/>
  <c r="E266" i="3"/>
  <c r="E369" i="3"/>
  <c r="E230" i="3"/>
  <c r="E255" i="3"/>
  <c r="E823" i="3"/>
  <c r="E466" i="3"/>
  <c r="E860" i="3"/>
  <c r="E737" i="3"/>
  <c r="E30" i="3"/>
  <c r="E47" i="3"/>
  <c r="E802" i="3"/>
  <c r="E72" i="3"/>
  <c r="E119" i="3"/>
  <c r="E629" i="3"/>
  <c r="E217" i="3"/>
  <c r="E450" i="3"/>
  <c r="E44" i="3"/>
  <c r="E712" i="3"/>
  <c r="E148" i="3"/>
  <c r="E345" i="3"/>
  <c r="E788" i="3"/>
  <c r="E778" i="3"/>
  <c r="E858" i="3"/>
  <c r="E812" i="3"/>
  <c r="E789" i="3"/>
  <c r="E771" i="3"/>
  <c r="E340" i="3"/>
  <c r="E694" i="3"/>
  <c r="E401" i="3"/>
  <c r="E109" i="3"/>
  <c r="E302" i="3"/>
  <c r="E315" i="3"/>
  <c r="E790" i="3"/>
  <c r="E291" i="3"/>
  <c r="E934" i="3"/>
  <c r="E214" i="3"/>
  <c r="E16" i="3"/>
  <c r="E698" i="3"/>
  <c r="E219" i="3"/>
  <c r="E862" i="3"/>
  <c r="E715" i="3"/>
  <c r="E709" i="3"/>
  <c r="E216" i="3"/>
  <c r="E999" i="3"/>
  <c r="E442" i="3"/>
  <c r="E740" i="3"/>
  <c r="E797" i="3"/>
  <c r="E193" i="3"/>
  <c r="E571" i="3"/>
  <c r="E793" i="3"/>
  <c r="E456" i="3"/>
  <c r="E151" i="3"/>
  <c r="E115" i="3"/>
  <c r="E350" i="3"/>
  <c r="E398" i="3"/>
  <c r="E389" i="3"/>
  <c r="E646" i="3"/>
  <c r="E241" i="3"/>
  <c r="E680" i="3"/>
  <c r="E237" i="3"/>
  <c r="E58" i="3"/>
  <c r="E631" i="3"/>
  <c r="E488" i="3"/>
  <c r="E120" i="3"/>
  <c r="E71" i="3"/>
  <c r="E50" i="3"/>
  <c r="E152" i="3"/>
  <c r="E200" i="3"/>
  <c r="E438" i="3"/>
  <c r="E409" i="3"/>
  <c r="E689" i="3"/>
  <c r="E826" i="3"/>
  <c r="E261" i="3"/>
  <c r="E222" i="3"/>
  <c r="E99" i="3"/>
  <c r="E196" i="3"/>
  <c r="E233" i="3"/>
  <c r="E589" i="3"/>
  <c r="E532" i="3"/>
  <c r="E12" i="3"/>
  <c r="E10" i="3"/>
  <c r="E179" i="3"/>
  <c r="E987" i="3"/>
  <c r="E463" i="3"/>
  <c r="E973" i="3"/>
  <c r="E556" i="3"/>
  <c r="E734" i="3"/>
  <c r="E645" i="3"/>
  <c r="E663" i="3"/>
  <c r="E902" i="3"/>
  <c r="E843" i="3"/>
  <c r="E686" i="3"/>
  <c r="E685" i="3"/>
  <c r="E82" i="3"/>
  <c r="E383" i="3"/>
  <c r="E137" i="3"/>
  <c r="E738" i="3"/>
  <c r="E191" i="3"/>
  <c r="E26" i="3"/>
  <c r="E423" i="3"/>
  <c r="E650" i="3"/>
  <c r="E465" i="3"/>
  <c r="E56" i="3"/>
  <c r="E513" i="3"/>
  <c r="E541" i="3"/>
  <c r="E900" i="3"/>
  <c r="E231" i="3"/>
  <c r="E454" i="3"/>
  <c r="E857" i="3"/>
  <c r="E298" i="3"/>
  <c r="E600" i="3"/>
  <c r="E744" i="3"/>
  <c r="E249" i="3"/>
  <c r="E14" i="3"/>
  <c r="E238" i="3"/>
  <c r="E590" i="3"/>
  <c r="E201" i="3"/>
  <c r="E825" i="3"/>
  <c r="E310" i="3"/>
  <c r="E939" i="3"/>
  <c r="E313" i="3"/>
  <c r="E162" i="3"/>
  <c r="E203" i="3"/>
  <c r="E548" i="3"/>
  <c r="E160" i="3"/>
  <c r="E942" i="3"/>
  <c r="E791" i="3"/>
  <c r="E901" i="3"/>
  <c r="E69" i="3"/>
  <c r="E116" i="3"/>
  <c r="E305" i="3"/>
  <c r="E742" i="3"/>
  <c r="E412" i="3"/>
  <c r="E464" i="3"/>
  <c r="E35" i="3"/>
  <c r="E525" i="3"/>
  <c r="E975" i="3"/>
  <c r="E185" i="3"/>
  <c r="E657" i="3"/>
  <c r="E874" i="3"/>
  <c r="E909" i="3"/>
  <c r="E106" i="3"/>
  <c r="E760" i="3"/>
  <c r="E889" i="3"/>
  <c r="E648" i="3"/>
  <c r="E990" i="3"/>
  <c r="E848" i="3"/>
  <c r="E153" i="3"/>
  <c r="E183" i="3"/>
  <c r="E708" i="3"/>
  <c r="E440" i="3"/>
  <c r="E603" i="3"/>
  <c r="E55" i="3"/>
  <c r="E550" i="3"/>
  <c r="E447" i="3"/>
  <c r="E519" i="3"/>
  <c r="E245" i="3"/>
  <c r="E906" i="3"/>
  <c r="E741" i="3"/>
  <c r="E421" i="3"/>
  <c r="E110" i="3"/>
  <c r="E314" i="3"/>
  <c r="E375" i="3"/>
  <c r="E970" i="3"/>
  <c r="E223" i="3"/>
  <c r="E558" i="3"/>
  <c r="E762" i="3"/>
  <c r="E916" i="3"/>
  <c r="E585" i="3"/>
  <c r="E413" i="3"/>
  <c r="E175" i="3"/>
  <c r="E919" i="3"/>
  <c r="E518" i="3"/>
  <c r="E289" i="3"/>
  <c r="E774" i="3"/>
  <c r="E594" i="3"/>
  <c r="E943" i="3"/>
  <c r="E1001" i="3"/>
  <c r="E992" i="3"/>
  <c r="E993" i="3"/>
  <c r="E853" i="3"/>
  <c r="E270" i="3"/>
  <c r="E278" i="3"/>
  <c r="E157" i="3"/>
  <c r="E165" i="3"/>
  <c r="E679" i="3"/>
  <c r="E997" i="3"/>
  <c r="E785" i="3"/>
  <c r="E98" i="3"/>
  <c r="E635" i="3"/>
  <c r="E229" i="3"/>
  <c r="E417" i="3"/>
  <c r="E54" i="3"/>
  <c r="E569" i="3"/>
  <c r="E884" i="3"/>
  <c r="E783" i="3"/>
  <c r="E873" i="3"/>
  <c r="E171" i="3"/>
  <c r="E167" i="3"/>
  <c r="E189" i="3"/>
  <c r="E928" i="3"/>
  <c r="E898" i="3"/>
  <c r="E349" i="3"/>
  <c r="E897" i="3"/>
  <c r="E86" i="3"/>
  <c r="E317" i="3"/>
  <c r="E954" i="3"/>
  <c r="E701" i="3"/>
  <c r="E501" i="3"/>
  <c r="E538" i="3"/>
  <c r="E527" i="3"/>
  <c r="E978" i="3"/>
  <c r="E458" i="3"/>
  <c r="E733" i="3"/>
  <c r="E6" i="3"/>
  <c r="E384" i="3"/>
  <c r="E800" i="3"/>
  <c r="E560" i="3"/>
  <c r="E144" i="3"/>
  <c r="E132" i="3"/>
  <c r="E533" i="3"/>
  <c r="E117" i="3"/>
  <c r="E79" i="3"/>
  <c r="E123" i="3"/>
  <c r="E304" i="3"/>
  <c r="E836" i="3"/>
  <c r="E619" i="3"/>
  <c r="E984" i="3"/>
  <c r="E535" i="3"/>
  <c r="E779" i="3"/>
  <c r="E244" i="3"/>
  <c r="E367" i="3"/>
  <c r="E868" i="3"/>
  <c r="E192" i="3"/>
  <c r="E283" i="3"/>
  <c r="E387" i="3"/>
  <c r="E308" i="3"/>
  <c r="E773" i="3"/>
  <c r="E713" i="3"/>
  <c r="E271" i="3"/>
  <c r="E893" i="3"/>
  <c r="E573" i="3"/>
  <c r="E111" i="3"/>
  <c r="E510" i="3"/>
  <c r="E478" i="3"/>
  <c r="E457" i="3"/>
  <c r="E841" i="3"/>
  <c r="E428" i="3"/>
  <c r="E362" i="3"/>
  <c r="E623" i="3"/>
  <c r="E854" i="3"/>
  <c r="E963" i="3"/>
  <c r="E564" i="3"/>
  <c r="E612" i="3"/>
  <c r="E346" i="3"/>
  <c r="E184" i="3"/>
  <c r="E188" i="3"/>
  <c r="E945" i="3"/>
  <c r="E655" i="3"/>
  <c r="E765" i="3"/>
  <c r="E143" i="3"/>
  <c r="E37" i="3"/>
  <c r="E45" i="3"/>
  <c r="E360" i="3"/>
  <c r="E197" i="3"/>
  <c r="E303" i="3"/>
  <c r="E274" i="3"/>
  <c r="E27" i="3"/>
  <c r="E707" i="3"/>
  <c r="E402" i="3"/>
  <c r="E618" i="3"/>
  <c r="E379" i="3"/>
  <c r="E176" i="3"/>
  <c r="E878" i="3"/>
  <c r="E287" i="3"/>
  <c r="E286" i="3"/>
  <c r="E299" i="3"/>
  <c r="E61" i="3"/>
  <c r="E282" i="3"/>
  <c r="E835" i="3"/>
  <c r="E1000" i="3"/>
  <c r="E208" i="3"/>
  <c r="E936" i="3"/>
  <c r="E574" i="3"/>
  <c r="E944" i="3"/>
  <c r="E477" i="3"/>
  <c r="E716" i="3"/>
  <c r="E568" i="3"/>
  <c r="E850" i="3"/>
  <c r="E432" i="3"/>
  <c r="E971" i="3"/>
  <c r="E359" i="3"/>
  <c r="E662" i="3"/>
  <c r="E593" i="3"/>
  <c r="E582" i="3"/>
  <c r="E543" i="3"/>
  <c r="E382" i="3"/>
  <c r="E122" i="3"/>
  <c r="E886" i="3"/>
  <c r="E517" i="3"/>
  <c r="E587" i="3"/>
  <c r="E805" i="3"/>
  <c r="E870" i="3"/>
  <c r="E480" i="3"/>
  <c r="E391" i="3"/>
  <c r="E351" i="3"/>
  <c r="E41" i="3"/>
  <c r="E872" i="3"/>
  <c r="E828" i="3"/>
  <c r="E94" i="3"/>
  <c r="E676" i="3"/>
  <c r="E142" i="3"/>
  <c r="E964" i="3"/>
  <c r="E181" i="3"/>
  <c r="E948" i="3"/>
  <c r="E616" i="3"/>
  <c r="E544" i="3"/>
  <c r="E39" i="3"/>
  <c r="E394" i="3"/>
  <c r="E419" i="3"/>
  <c r="E636" i="3"/>
  <c r="E852" i="3"/>
  <c r="E292" i="3"/>
  <c r="E794" i="3"/>
  <c r="E726" i="3"/>
  <c r="E894" i="3"/>
  <c r="E658" i="3"/>
  <c r="E434" i="3"/>
  <c r="E199" i="3"/>
  <c r="E575" i="3"/>
  <c r="E74" i="3"/>
  <c r="E822" i="3"/>
  <c r="E433" i="3"/>
  <c r="E309" i="3"/>
  <c r="E842" i="3"/>
  <c r="E524" i="3"/>
  <c r="E268" i="3"/>
  <c r="E328" i="3"/>
  <c r="E5" i="3"/>
  <c r="E840" i="3"/>
  <c r="E660" i="3"/>
  <c r="E914" i="3"/>
  <c r="E595" i="3"/>
  <c r="E962" i="3"/>
  <c r="E53" i="3"/>
  <c r="E226" i="3"/>
  <c r="E368" i="3"/>
  <c r="E678" i="3"/>
  <c r="E101" i="3"/>
  <c r="E839" i="3"/>
  <c r="E599" i="3"/>
  <c r="E370" i="3"/>
  <c r="E620" i="3"/>
  <c r="E221" i="3"/>
  <c r="E3" i="1"/>
  <c r="E4" i="1"/>
  <c r="E5" i="1"/>
  <c r="E6" i="1"/>
  <c r="E7" i="1"/>
  <c r="E8" i="1"/>
  <c r="E9" i="1"/>
  <c r="E10" i="1"/>
  <c r="F10" i="1" s="1"/>
  <c r="E11" i="1"/>
  <c r="E12" i="1"/>
  <c r="E13" i="1"/>
  <c r="E14" i="1"/>
  <c r="E15" i="1"/>
  <c r="E16" i="1"/>
  <c r="E17" i="1"/>
  <c r="E18" i="1"/>
  <c r="F18" i="1" s="1"/>
  <c r="E19" i="1"/>
  <c r="E20" i="1"/>
  <c r="E21" i="1"/>
  <c r="E22" i="1"/>
  <c r="E23" i="1"/>
  <c r="E24" i="1"/>
  <c r="E25" i="1"/>
  <c r="E26" i="1"/>
  <c r="F26" i="1" s="1"/>
  <c r="E27" i="1"/>
  <c r="E28" i="1"/>
  <c r="E29" i="1"/>
  <c r="E30" i="1"/>
  <c r="E31" i="1"/>
  <c r="E32" i="1"/>
  <c r="E33" i="1"/>
  <c r="E34" i="1"/>
  <c r="F34" i="1" s="1"/>
  <c r="E35" i="1"/>
  <c r="E36" i="1"/>
  <c r="E37" i="1"/>
  <c r="E38" i="1"/>
  <c r="E39" i="1"/>
  <c r="E40" i="1"/>
  <c r="E41" i="1"/>
  <c r="E42" i="1"/>
  <c r="F42" i="1" s="1"/>
  <c r="E43" i="1"/>
  <c r="E44" i="1"/>
  <c r="E45" i="1"/>
  <c r="E46" i="1"/>
  <c r="E47" i="1"/>
  <c r="E48" i="1"/>
  <c r="E49" i="1"/>
  <c r="E50" i="1"/>
  <c r="F50" i="1" s="1"/>
  <c r="E51" i="1"/>
  <c r="E52" i="1"/>
  <c r="E53" i="1"/>
  <c r="E54" i="1"/>
  <c r="E55" i="1"/>
  <c r="E56" i="1"/>
  <c r="E57" i="1"/>
  <c r="E58" i="1"/>
  <c r="F58" i="1" s="1"/>
  <c r="E59" i="1"/>
  <c r="E60" i="1"/>
  <c r="E61" i="1"/>
  <c r="E62" i="1"/>
  <c r="E63" i="1"/>
  <c r="E64" i="1"/>
  <c r="E65" i="1"/>
  <c r="E66" i="1"/>
  <c r="F66" i="1" s="1"/>
  <c r="E67" i="1"/>
  <c r="E68" i="1"/>
  <c r="E69" i="1"/>
  <c r="E70" i="1"/>
  <c r="E71" i="1"/>
  <c r="E72" i="1"/>
  <c r="E73" i="1"/>
  <c r="E74" i="1"/>
  <c r="F74" i="1" s="1"/>
  <c r="E75" i="1"/>
  <c r="E76" i="1"/>
  <c r="E77" i="1"/>
  <c r="E78" i="1"/>
  <c r="E79" i="1"/>
  <c r="E80" i="1"/>
  <c r="E81" i="1"/>
  <c r="E82" i="1"/>
  <c r="F82" i="1" s="1"/>
  <c r="E83" i="1"/>
  <c r="E84" i="1"/>
  <c r="E85" i="1"/>
  <c r="E86" i="1"/>
  <c r="E87" i="1"/>
  <c r="E88" i="1"/>
  <c r="E89" i="1"/>
  <c r="E90" i="1"/>
  <c r="F90" i="1" s="1"/>
  <c r="E91" i="1"/>
  <c r="E92" i="1"/>
  <c r="E93" i="1"/>
  <c r="E94" i="1"/>
  <c r="E95" i="1"/>
  <c r="E96" i="1"/>
  <c r="E97" i="1"/>
  <c r="E98" i="1"/>
  <c r="F98" i="1" s="1"/>
  <c r="E99" i="1"/>
  <c r="E100" i="1"/>
  <c r="E101" i="1"/>
  <c r="E102" i="1"/>
  <c r="E103" i="1"/>
  <c r="E104" i="1"/>
  <c r="E105" i="1"/>
  <c r="E106" i="1"/>
  <c r="F106" i="1" s="1"/>
  <c r="E107" i="1"/>
  <c r="E108" i="1"/>
  <c r="E109" i="1"/>
  <c r="E110" i="1"/>
  <c r="E111" i="1"/>
  <c r="E112" i="1"/>
  <c r="E113" i="1"/>
  <c r="E114" i="1"/>
  <c r="F114" i="1" s="1"/>
  <c r="E115" i="1"/>
  <c r="E116" i="1"/>
  <c r="E117" i="1"/>
  <c r="E118" i="1"/>
  <c r="E119" i="1"/>
  <c r="E120" i="1"/>
  <c r="E121" i="1"/>
  <c r="E122" i="1"/>
  <c r="F122" i="1" s="1"/>
  <c r="E123" i="1"/>
  <c r="F123" i="1" s="1"/>
  <c r="E124" i="1"/>
  <c r="E125" i="1"/>
  <c r="E126" i="1"/>
  <c r="E127" i="1"/>
  <c r="E128" i="1"/>
  <c r="E129" i="1"/>
  <c r="E130" i="1"/>
  <c r="F130" i="1" s="1"/>
  <c r="E131" i="1"/>
  <c r="E132" i="1"/>
  <c r="E133" i="1"/>
  <c r="E134" i="1"/>
  <c r="E135" i="1"/>
  <c r="E136" i="1"/>
  <c r="E137" i="1"/>
  <c r="E138" i="1"/>
  <c r="F138" i="1" s="1"/>
  <c r="E139" i="1"/>
  <c r="E140" i="1"/>
  <c r="E141" i="1"/>
  <c r="E142" i="1"/>
  <c r="E143" i="1"/>
  <c r="E144" i="1"/>
  <c r="E145" i="1"/>
  <c r="E146" i="1"/>
  <c r="F146" i="1" s="1"/>
  <c r="E147" i="1"/>
  <c r="E148" i="1"/>
  <c r="E149" i="1"/>
  <c r="E150" i="1"/>
  <c r="E151" i="1"/>
  <c r="E152" i="1"/>
  <c r="E153" i="1"/>
  <c r="E154" i="1"/>
  <c r="F154" i="1" s="1"/>
  <c r="E155" i="1"/>
  <c r="E156" i="1"/>
  <c r="E157" i="1"/>
  <c r="E158" i="1"/>
  <c r="E159" i="1"/>
  <c r="E160" i="1"/>
  <c r="E161" i="1"/>
  <c r="E162" i="1"/>
  <c r="F162" i="1" s="1"/>
  <c r="E163" i="1"/>
  <c r="E164" i="1"/>
  <c r="E165" i="1"/>
  <c r="E166" i="1"/>
  <c r="E167" i="1"/>
  <c r="E168" i="1"/>
  <c r="E169" i="1"/>
  <c r="E170" i="1"/>
  <c r="F170" i="1" s="1"/>
  <c r="E171" i="1"/>
  <c r="E172" i="1"/>
  <c r="E173" i="1"/>
  <c r="E174" i="1"/>
  <c r="E175" i="1"/>
  <c r="E176" i="1"/>
  <c r="E177" i="1"/>
  <c r="E178" i="1"/>
  <c r="F178" i="1" s="1"/>
  <c r="E179" i="1"/>
  <c r="E180" i="1"/>
  <c r="E181" i="1"/>
  <c r="E182" i="1"/>
  <c r="E183" i="1"/>
  <c r="E184" i="1"/>
  <c r="E185" i="1"/>
  <c r="E186" i="1"/>
  <c r="F186" i="1" s="1"/>
  <c r="E187" i="1"/>
  <c r="E188" i="1"/>
  <c r="E189" i="1"/>
  <c r="E190" i="1"/>
  <c r="E191" i="1"/>
  <c r="E192" i="1"/>
  <c r="E193" i="1"/>
  <c r="E194" i="1"/>
  <c r="F194" i="1" s="1"/>
  <c r="E195" i="1"/>
  <c r="E196" i="1"/>
  <c r="E197" i="1"/>
  <c r="E198" i="1"/>
  <c r="E199" i="1"/>
  <c r="E200" i="1"/>
  <c r="E201" i="1"/>
  <c r="E202" i="1"/>
  <c r="F202" i="1" s="1"/>
  <c r="E203" i="1"/>
  <c r="E204" i="1"/>
  <c r="E205" i="1"/>
  <c r="E206" i="1"/>
  <c r="E207" i="1"/>
  <c r="E208" i="1"/>
  <c r="E209" i="1"/>
  <c r="E2" i="1"/>
  <c r="F2" i="1" s="1"/>
  <c r="X3" i="1"/>
  <c r="J227" i="3" s="1"/>
  <c r="X4" i="1"/>
  <c r="J187" i="3" s="1"/>
  <c r="X5" i="1"/>
  <c r="J565" i="3" s="1"/>
  <c r="X6" i="1"/>
  <c r="J190" i="3" s="1"/>
  <c r="X7" i="1"/>
  <c r="J40" i="3" s="1"/>
  <c r="X8" i="1"/>
  <c r="J211" i="3" s="1"/>
  <c r="X9" i="1"/>
  <c r="J446" i="3" s="1"/>
  <c r="X10" i="1"/>
  <c r="J855" i="3" s="1"/>
  <c r="X11" i="1"/>
  <c r="J220" i="3" s="1"/>
  <c r="X12" i="1"/>
  <c r="J530" i="3" s="1"/>
  <c r="X13" i="1"/>
  <c r="J146" i="3" s="1"/>
  <c r="X14" i="1"/>
  <c r="J75" i="3" s="1"/>
  <c r="X15" i="1"/>
  <c r="J584" i="3" s="1"/>
  <c r="X16" i="1"/>
  <c r="J263" i="3" s="1"/>
  <c r="X17" i="1"/>
  <c r="J472" i="3" s="1"/>
  <c r="X18" i="1"/>
  <c r="J557" i="3" s="1"/>
  <c r="X19" i="1"/>
  <c r="J124" i="3" s="1"/>
  <c r="X20" i="1"/>
  <c r="J129" i="3" s="1"/>
  <c r="X21" i="1"/>
  <c r="J92" i="3" s="1"/>
  <c r="X22" i="1"/>
  <c r="J494" i="3" s="1"/>
  <c r="X23" i="1"/>
  <c r="J251" i="3" s="1"/>
  <c r="X24" i="1"/>
  <c r="J234" i="3" s="1"/>
  <c r="X25" i="1"/>
  <c r="J246" i="3" s="1"/>
  <c r="X26" i="1"/>
  <c r="J161" i="3" s="1"/>
  <c r="X27" i="1"/>
  <c r="J917" i="3" s="1"/>
  <c r="X28" i="1"/>
  <c r="J683" i="3" s="1"/>
  <c r="X29" i="1"/>
  <c r="J613" i="3" s="1"/>
  <c r="X30" i="1"/>
  <c r="J352" i="3" s="1"/>
  <c r="X31" i="1"/>
  <c r="J504" i="3" s="1"/>
  <c r="X32" i="1"/>
  <c r="J923" i="3" s="1"/>
  <c r="X33" i="1"/>
  <c r="J586" i="3" s="1"/>
  <c r="X34" i="1"/>
  <c r="J381" i="3" s="1"/>
  <c r="X35" i="1"/>
  <c r="J508" i="3" s="1"/>
  <c r="X36" i="1"/>
  <c r="J163" i="3" s="1"/>
  <c r="X37" i="1"/>
  <c r="J210" i="3" s="1"/>
  <c r="X38" i="1"/>
  <c r="J459" i="3" s="1"/>
  <c r="X39" i="1"/>
  <c r="J784" i="3" s="1"/>
  <c r="X40" i="1"/>
  <c r="J467" i="3" s="1"/>
  <c r="X41" i="1"/>
  <c r="J11" i="3" s="1"/>
  <c r="X42" i="1"/>
  <c r="J23" i="3" s="1"/>
  <c r="X43" i="1"/>
  <c r="J972" i="3" s="1"/>
  <c r="X44" i="1"/>
  <c r="J654" i="3" s="1"/>
  <c r="X45" i="1"/>
  <c r="J496" i="3" s="1"/>
  <c r="X46" i="1"/>
  <c r="J248" i="3" s="1"/>
  <c r="X47" i="1"/>
  <c r="J493" i="3" s="1"/>
  <c r="X48" i="1"/>
  <c r="J357" i="3" s="1"/>
  <c r="X49" i="1"/>
  <c r="J861" i="3" s="1"/>
  <c r="X50" i="1"/>
  <c r="J864" i="3" s="1"/>
  <c r="X51" i="1"/>
  <c r="J798" i="3" s="1"/>
  <c r="X52" i="1"/>
  <c r="J904" i="3" s="1"/>
  <c r="X53" i="1"/>
  <c r="J750" i="3" s="1"/>
  <c r="X54" i="1"/>
  <c r="J243" i="3" s="1"/>
  <c r="X55" i="1"/>
  <c r="J497" i="3" s="1"/>
  <c r="X56" i="1"/>
  <c r="J795" i="3" s="1"/>
  <c r="X57" i="1"/>
  <c r="J267" i="3" s="1"/>
  <c r="X58" i="1"/>
  <c r="J851" i="3" s="1"/>
  <c r="X59" i="1"/>
  <c r="J578" i="3" s="1"/>
  <c r="X60" i="1"/>
  <c r="J912" i="3" s="1"/>
  <c r="X61" i="1"/>
  <c r="J232" i="3" s="1"/>
  <c r="X62" i="1"/>
  <c r="J235" i="3" s="1"/>
  <c r="X63" i="1"/>
  <c r="J337" i="3" s="1"/>
  <c r="X64" i="1"/>
  <c r="J671" i="3" s="1"/>
  <c r="X65" i="1"/>
  <c r="J66" i="3" s="1"/>
  <c r="X66" i="1"/>
  <c r="J276" i="3" s="1"/>
  <c r="X67" i="1"/>
  <c r="J673" i="3" s="1"/>
  <c r="X68" i="1"/>
  <c r="J388" i="3" s="1"/>
  <c r="X69" i="1"/>
  <c r="J150" i="3" s="1"/>
  <c r="X70" i="1"/>
  <c r="J485" i="3" s="1"/>
  <c r="X71" i="1"/>
  <c r="J9" i="3" s="1"/>
  <c r="X72" i="1"/>
  <c r="J718" i="3" s="1"/>
  <c r="X73" i="1"/>
  <c r="J22" i="3" s="1"/>
  <c r="X74" i="1"/>
  <c r="J539" i="3" s="1"/>
  <c r="X75" i="1"/>
  <c r="J34" i="3" s="1"/>
  <c r="X76" i="1"/>
  <c r="J632" i="3" s="1"/>
  <c r="X77" i="1"/>
  <c r="J724" i="3" s="1"/>
  <c r="X78" i="1"/>
  <c r="J46" i="3" s="1"/>
  <c r="X79" i="1"/>
  <c r="J156" i="3" s="1"/>
  <c r="X80" i="1"/>
  <c r="J601" i="3" s="1"/>
  <c r="X81" i="1"/>
  <c r="J170" i="3" s="1"/>
  <c r="X82" i="1"/>
  <c r="J695" i="3" s="1"/>
  <c r="X83" i="1"/>
  <c r="J877" i="3" s="1"/>
  <c r="X84" i="1"/>
  <c r="J475" i="3" s="1"/>
  <c r="X85" i="1"/>
  <c r="J659" i="3" s="1"/>
  <c r="X86" i="1"/>
  <c r="J25" i="3" s="1"/>
  <c r="X87" i="1"/>
  <c r="J946" i="3" s="1"/>
  <c r="X88" i="1"/>
  <c r="J875" i="3" s="1"/>
  <c r="X89" i="1"/>
  <c r="J567" i="3" s="1"/>
  <c r="X90" i="1"/>
  <c r="J95" i="3" s="1"/>
  <c r="X91" i="1"/>
  <c r="J729" i="3" s="1"/>
  <c r="X92" i="1"/>
  <c r="J959" i="3" s="1"/>
  <c r="X93" i="1"/>
  <c r="J93" i="3" s="1"/>
  <c r="X94" i="1"/>
  <c r="J195" i="3" s="1"/>
  <c r="X95" i="1"/>
  <c r="J652" i="3" s="1"/>
  <c r="X96" i="1"/>
  <c r="J155" i="3" s="1"/>
  <c r="X97" i="1"/>
  <c r="J638" i="3" s="1"/>
  <c r="X98" i="1"/>
  <c r="J288" i="3" s="1"/>
  <c r="X99" i="1"/>
  <c r="J591" i="3" s="1"/>
  <c r="X100" i="1"/>
  <c r="J476" i="3" s="1"/>
  <c r="X101" i="1"/>
  <c r="J727" i="3" s="1"/>
  <c r="X102" i="1"/>
  <c r="J666" i="3" s="1"/>
  <c r="X103" i="1"/>
  <c r="J254" i="3" s="1"/>
  <c r="X104" i="1"/>
  <c r="J280" i="3" s="1"/>
  <c r="X105" i="1"/>
  <c r="J957" i="3" s="1"/>
  <c r="X106" i="1"/>
  <c r="J876" i="3" s="1"/>
  <c r="X107" i="1"/>
  <c r="J85" i="3" s="1"/>
  <c r="X108" i="1"/>
  <c r="J67" i="3" s="1"/>
  <c r="X109" i="1"/>
  <c r="J399" i="3" s="1"/>
  <c r="X110" i="1"/>
  <c r="J899" i="3" s="1"/>
  <c r="X111" i="1"/>
  <c r="J372" i="3" s="1"/>
  <c r="X112" i="1"/>
  <c r="J834" i="3" s="1"/>
  <c r="X113" i="1"/>
  <c r="J723" i="3" s="1"/>
  <c r="X114" i="1"/>
  <c r="J323" i="3" s="1"/>
  <c r="X115" i="1"/>
  <c r="J776" i="3" s="1"/>
  <c r="X116" i="1"/>
  <c r="J43" i="3" s="1"/>
  <c r="X117" i="1"/>
  <c r="J725" i="3" s="1"/>
  <c r="X118" i="1"/>
  <c r="J97" i="3" s="1"/>
  <c r="X119" i="1"/>
  <c r="J824" i="3" s="1"/>
  <c r="X120" i="1"/>
  <c r="J702" i="3" s="1"/>
  <c r="X121" i="1"/>
  <c r="J796" i="3" s="1"/>
  <c r="X122" i="1"/>
  <c r="J614" i="3" s="1"/>
  <c r="X123" i="1"/>
  <c r="J335" i="3" s="1"/>
  <c r="X124" i="1"/>
  <c r="J311" i="3" s="1"/>
  <c r="X125" i="1"/>
  <c r="J820" i="3" s="1"/>
  <c r="X126" i="1"/>
  <c r="J668" i="3" s="1"/>
  <c r="X127" i="1"/>
  <c r="J294" i="3" s="1"/>
  <c r="X128" i="1"/>
  <c r="J769" i="3" s="1"/>
  <c r="X129" i="1"/>
  <c r="J746" i="3" s="1"/>
  <c r="X130" i="1"/>
  <c r="J63" i="3" s="1"/>
  <c r="X131" i="1"/>
  <c r="J332" i="3" s="1"/>
  <c r="X132" i="1"/>
  <c r="J408" i="3" s="1"/>
  <c r="X133" i="1"/>
  <c r="J88" i="3" s="1"/>
  <c r="X134" i="1"/>
  <c r="J259" i="3" s="1"/>
  <c r="X135" i="1"/>
  <c r="J523" i="3" s="1"/>
  <c r="X136" i="1"/>
  <c r="J406" i="3" s="1"/>
  <c r="X137" i="1"/>
  <c r="J21" i="3" s="1"/>
  <c r="X138" i="1"/>
  <c r="J437" i="3" s="1"/>
  <c r="X139" i="1"/>
  <c r="J553" i="3" s="1"/>
  <c r="X140" i="1"/>
  <c r="J847" i="3" s="1"/>
  <c r="X141" i="1"/>
  <c r="J756" i="3" s="1"/>
  <c r="X142" i="1"/>
  <c r="J206" i="3" s="1"/>
  <c r="X143" i="1"/>
  <c r="J682" i="3" s="1"/>
  <c r="X144" i="1"/>
  <c r="J395" i="3" s="1"/>
  <c r="X145" i="1"/>
  <c r="J374" i="3" s="1"/>
  <c r="X146" i="1"/>
  <c r="J126" i="3" s="1"/>
  <c r="X147" i="1"/>
  <c r="J24" i="3" s="1"/>
  <c r="X148" i="1"/>
  <c r="J159" i="3" s="1"/>
  <c r="X149" i="1"/>
  <c r="J641" i="3" s="1"/>
  <c r="X150" i="1"/>
  <c r="J866" i="3" s="1"/>
  <c r="X151" i="1"/>
  <c r="J602" i="3" s="1"/>
  <c r="X152" i="1"/>
  <c r="J506" i="3" s="1"/>
  <c r="X153" i="1"/>
  <c r="J801" i="3" s="1"/>
  <c r="X154" i="1"/>
  <c r="J134" i="3" s="1"/>
  <c r="X155" i="1"/>
  <c r="J566" i="3" s="1"/>
  <c r="X156" i="1"/>
  <c r="J356" i="3" s="1"/>
  <c r="X157" i="1"/>
  <c r="J17" i="3" s="1"/>
  <c r="X158" i="1"/>
  <c r="J445" i="3" s="1"/>
  <c r="X159" i="1"/>
  <c r="J107" i="3" s="1"/>
  <c r="X160" i="1"/>
  <c r="J469" i="3" s="1"/>
  <c r="X161" i="1"/>
  <c r="J996" i="3" s="1"/>
  <c r="X162" i="1"/>
  <c r="J355" i="3" s="1"/>
  <c r="X163" i="1"/>
  <c r="J490" i="3" s="1"/>
  <c r="X164" i="1"/>
  <c r="J125" i="3" s="1"/>
  <c r="X165" i="1"/>
  <c r="J32" i="3" s="1"/>
  <c r="X166" i="1"/>
  <c r="J127" i="3" s="1"/>
  <c r="X167" i="1"/>
  <c r="J763" i="3" s="1"/>
  <c r="X168" i="1"/>
  <c r="J13" i="3" s="1"/>
  <c r="X169" i="1"/>
  <c r="J766" i="3" s="1"/>
  <c r="X170" i="1"/>
  <c r="J4" i="3" s="1"/>
  <c r="X171" i="1"/>
  <c r="J377" i="3" s="1"/>
  <c r="X172" i="1"/>
  <c r="J528" i="3" s="1"/>
  <c r="X173" i="1"/>
  <c r="J692" i="3" s="1"/>
  <c r="X174" i="1"/>
  <c r="J451" i="3" s="1"/>
  <c r="X175" i="1"/>
  <c r="J755" i="3" s="1"/>
  <c r="X176" i="1"/>
  <c r="J787" i="3" s="1"/>
  <c r="X177" i="1"/>
  <c r="J76" i="3" s="1"/>
  <c r="X178" i="1"/>
  <c r="J338" i="3" s="1"/>
  <c r="X179" i="1"/>
  <c r="J354" i="3" s="1"/>
  <c r="X180" i="1"/>
  <c r="J405" i="3" s="1"/>
  <c r="X181" i="1"/>
  <c r="J892" i="3" s="1"/>
  <c r="X182" i="1"/>
  <c r="J767" i="3" s="1"/>
  <c r="X183" i="1"/>
  <c r="J986" i="3" s="1"/>
  <c r="X184" i="1"/>
  <c r="J581" i="3" s="1"/>
  <c r="X185" i="1"/>
  <c r="J706" i="3" s="1"/>
  <c r="X186" i="1"/>
  <c r="J753" i="3" s="1"/>
  <c r="X187" i="1"/>
  <c r="J481" i="3" s="1"/>
  <c r="X188" i="1"/>
  <c r="J166" i="3" s="1"/>
  <c r="X189" i="1"/>
  <c r="J264" i="3" s="1"/>
  <c r="X190" i="1"/>
  <c r="J318" i="3" s="1"/>
  <c r="X191" i="1"/>
  <c r="J300" i="3" s="1"/>
  <c r="X192" i="1"/>
  <c r="J965" i="3" s="1"/>
  <c r="X193" i="1"/>
  <c r="J73" i="3" s="1"/>
  <c r="X194" i="1"/>
  <c r="J507" i="3" s="1"/>
  <c r="X195" i="1"/>
  <c r="J60" i="3" s="1"/>
  <c r="X196" i="1"/>
  <c r="J257" i="3" s="1"/>
  <c r="X197" i="1"/>
  <c r="J228" i="3" s="1"/>
  <c r="X198" i="1"/>
  <c r="J690" i="3" s="1"/>
  <c r="X199" i="1"/>
  <c r="J721" i="3" s="1"/>
  <c r="X200" i="1"/>
  <c r="J279" i="3" s="1"/>
  <c r="X201" i="1"/>
  <c r="J561" i="3" s="1"/>
  <c r="X202" i="1"/>
  <c r="J869" i="3" s="1"/>
  <c r="X203" i="1"/>
  <c r="J138" i="3" s="1"/>
  <c r="X204" i="1"/>
  <c r="J461" i="3" s="1"/>
  <c r="X205" i="1"/>
  <c r="J429" i="3" s="1"/>
  <c r="X206" i="1"/>
  <c r="J174" i="3" s="1"/>
  <c r="X207" i="1"/>
  <c r="J974" i="3" s="1"/>
  <c r="X208" i="1"/>
  <c r="J380" i="3" s="1"/>
  <c r="X209" i="1"/>
  <c r="J777" i="3" s="1"/>
  <c r="X210" i="1"/>
  <c r="J642" i="3" s="1"/>
  <c r="X211" i="1"/>
  <c r="J342" i="3" s="1"/>
  <c r="X212" i="1"/>
  <c r="J441" i="3" s="1"/>
  <c r="X213" i="1"/>
  <c r="J83" i="3" s="1"/>
  <c r="X214" i="1"/>
  <c r="J225" i="3" s="1"/>
  <c r="X215" i="1"/>
  <c r="J509" i="3" s="1"/>
  <c r="X216" i="1"/>
  <c r="J933" i="3" s="1"/>
  <c r="X217" i="1"/>
  <c r="J486" i="3" s="1"/>
  <c r="X218" i="1"/>
  <c r="J64" i="3" s="1"/>
  <c r="X219" i="1"/>
  <c r="J563" i="3" s="1"/>
  <c r="X220" i="1"/>
  <c r="J736" i="3" s="1"/>
  <c r="X221" i="1"/>
  <c r="J607" i="3" s="1"/>
  <c r="X222" i="1"/>
  <c r="J955" i="3" s="1"/>
  <c r="X223" i="1"/>
  <c r="J495" i="3" s="1"/>
  <c r="X224" i="1"/>
  <c r="J961" i="3" s="1"/>
  <c r="X225" i="1"/>
  <c r="J57" i="3" s="1"/>
  <c r="X226" i="1"/>
  <c r="J7" i="3" s="1"/>
  <c r="X227" i="1"/>
  <c r="J831" i="3" s="1"/>
  <c r="X228" i="1"/>
  <c r="J786" i="3" s="1"/>
  <c r="X229" i="1"/>
  <c r="J158" i="3" s="1"/>
  <c r="X230" i="1"/>
  <c r="J213" i="3" s="1"/>
  <c r="X231" i="1"/>
  <c r="J145" i="3" s="1"/>
  <c r="X232" i="1"/>
  <c r="J609" i="3" s="1"/>
  <c r="X233" i="1"/>
  <c r="J670" i="3" s="1"/>
  <c r="X234" i="1"/>
  <c r="J994" i="3" s="1"/>
  <c r="X235" i="1"/>
  <c r="J932" i="3" s="1"/>
  <c r="X236" i="1"/>
  <c r="J903" i="3" s="1"/>
  <c r="X237" i="1"/>
  <c r="J177" i="3" s="1"/>
  <c r="X238" i="1"/>
  <c r="J105" i="3" s="1"/>
  <c r="X239" i="1"/>
  <c r="J819" i="3" s="1"/>
  <c r="X240" i="1"/>
  <c r="J674" i="3" s="1"/>
  <c r="X241" i="1"/>
  <c r="J799" i="3" s="1"/>
  <c r="X242" i="1"/>
  <c r="J672" i="3" s="1"/>
  <c r="X243" i="1"/>
  <c r="J735" i="3" s="1"/>
  <c r="X244" i="1"/>
  <c r="J976" i="3" s="1"/>
  <c r="X245" i="1"/>
  <c r="J995" i="3" s="1"/>
  <c r="X246" i="1"/>
  <c r="J661" i="3" s="1"/>
  <c r="X247" i="1"/>
  <c r="J348" i="3" s="1"/>
  <c r="X248" i="1"/>
  <c r="J511" i="3" s="1"/>
  <c r="X249" i="1"/>
  <c r="J49" i="3" s="1"/>
  <c r="X250" i="1"/>
  <c r="J693" i="3" s="1"/>
  <c r="X251" i="1"/>
  <c r="J281" i="3" s="1"/>
  <c r="X252" i="1"/>
  <c r="J449" i="3" s="1"/>
  <c r="X253" i="1"/>
  <c r="J439" i="3" s="1"/>
  <c r="X254" i="1"/>
  <c r="J677" i="3" s="1"/>
  <c r="X255" i="1"/>
  <c r="J879" i="3" s="1"/>
  <c r="X256" i="1"/>
  <c r="J330" i="3" s="1"/>
  <c r="X257" i="1"/>
  <c r="J554" i="3" s="1"/>
  <c r="X258" i="1"/>
  <c r="J78" i="3" s="1"/>
  <c r="X259" i="1"/>
  <c r="J414" i="3" s="1"/>
  <c r="X260" i="1"/>
  <c r="J610" i="3" s="1"/>
  <c r="X261" i="1"/>
  <c r="J272" i="3" s="1"/>
  <c r="X262" i="1"/>
  <c r="J258" i="3" s="1"/>
  <c r="X263" i="1"/>
  <c r="J807" i="3" s="1"/>
  <c r="X264" i="1"/>
  <c r="J316" i="3" s="1"/>
  <c r="X265" i="1"/>
  <c r="J460" i="3" s="1"/>
  <c r="X266" i="1"/>
  <c r="J596" i="3" s="1"/>
  <c r="X267" i="1"/>
  <c r="J947" i="3" s="1"/>
  <c r="X268" i="1"/>
  <c r="J260" i="3" s="1"/>
  <c r="X269" i="1"/>
  <c r="J930" i="3" s="1"/>
  <c r="X270" i="1"/>
  <c r="J549" i="3" s="1"/>
  <c r="X271" i="1"/>
  <c r="J867" i="3" s="1"/>
  <c r="X272" i="1"/>
  <c r="J353" i="3" s="1"/>
  <c r="X273" i="1"/>
  <c r="J649" i="3" s="1"/>
  <c r="X274" i="1"/>
  <c r="J537" i="3" s="1"/>
  <c r="X275" i="1"/>
  <c r="J653" i="3" s="1"/>
  <c r="X276" i="1"/>
  <c r="J48" i="3" s="1"/>
  <c r="X277" i="1"/>
  <c r="J844" i="3" s="1"/>
  <c r="X278" i="1"/>
  <c r="J425" i="3" s="1"/>
  <c r="X279" i="1"/>
  <c r="J764" i="3" s="1"/>
  <c r="X280" i="1"/>
  <c r="J3" i="3" s="1"/>
  <c r="X281" i="1"/>
  <c r="J908" i="3" s="1"/>
  <c r="X282" i="1"/>
  <c r="J453" i="3" s="1"/>
  <c r="X283" i="1"/>
  <c r="J321" i="3" s="1"/>
  <c r="X284" i="1"/>
  <c r="J455" i="3" s="1"/>
  <c r="X285" i="1"/>
  <c r="J202" i="3" s="1"/>
  <c r="X286" i="1"/>
  <c r="J131" i="3" s="1"/>
  <c r="X287" i="1"/>
  <c r="J68" i="3" s="1"/>
  <c r="X288" i="1"/>
  <c r="J373" i="3" s="1"/>
  <c r="X289" i="1"/>
  <c r="J390" i="3" s="1"/>
  <c r="X290" i="1"/>
  <c r="J114" i="3" s="1"/>
  <c r="X291" i="1"/>
  <c r="J422" i="3" s="1"/>
  <c r="X292" i="1"/>
  <c r="J371" i="3" s="1"/>
  <c r="X293" i="1"/>
  <c r="J817" i="3" s="1"/>
  <c r="X294" i="1"/>
  <c r="J290" i="3" s="1"/>
  <c r="X295" i="1"/>
  <c r="J194" i="3" s="1"/>
  <c r="X296" i="1"/>
  <c r="J112" i="3" s="1"/>
  <c r="X297" i="1"/>
  <c r="J103" i="3" s="1"/>
  <c r="X298" i="1"/>
  <c r="J577" i="3" s="1"/>
  <c r="X299" i="1"/>
  <c r="J977" i="3" s="1"/>
  <c r="X300" i="1"/>
  <c r="J583" i="3" s="1"/>
  <c r="X301" i="1"/>
  <c r="J521" i="3" s="1"/>
  <c r="X302" i="1"/>
  <c r="J376" i="3" s="1"/>
  <c r="X303" i="1"/>
  <c r="J640" i="3" s="1"/>
  <c r="X304" i="1"/>
  <c r="J705" i="3" s="1"/>
  <c r="X305" i="1"/>
  <c r="J606" i="3" s="1"/>
  <c r="X306" i="1"/>
  <c r="J980" i="3" s="1"/>
  <c r="X307" i="1"/>
  <c r="J307" i="3" s="1"/>
  <c r="X308" i="1"/>
  <c r="J829" i="3" s="1"/>
  <c r="X309" i="1"/>
  <c r="J675" i="3" s="1"/>
  <c r="X310" i="1"/>
  <c r="J133" i="3" s="1"/>
  <c r="X311" i="1"/>
  <c r="J411" i="3" s="1"/>
  <c r="X312" i="1"/>
  <c r="J758" i="3" s="1"/>
  <c r="X313" i="1"/>
  <c r="J687" i="3" s="1"/>
  <c r="X314" i="1"/>
  <c r="J334" i="3" s="1"/>
  <c r="X315" i="1"/>
  <c r="J277" i="3" s="1"/>
  <c r="X316" i="1"/>
  <c r="J552" i="3" s="1"/>
  <c r="X317" i="1"/>
  <c r="J838" i="3" s="1"/>
  <c r="X318" i="1"/>
  <c r="J474" i="3" s="1"/>
  <c r="X319" i="1"/>
  <c r="J732" i="3" s="1"/>
  <c r="X320" i="1"/>
  <c r="J136" i="3" s="1"/>
  <c r="X321" i="1"/>
  <c r="J739" i="3" s="1"/>
  <c r="X322" i="1"/>
  <c r="J770" i="3" s="1"/>
  <c r="X323" i="1"/>
  <c r="J598" i="3" s="1"/>
  <c r="X324" i="1"/>
  <c r="J224" i="3" s="1"/>
  <c r="X325" i="1"/>
  <c r="J320" i="3" s="1"/>
  <c r="X326" i="1"/>
  <c r="J811" i="3" s="1"/>
  <c r="X327" i="1"/>
  <c r="J59" i="3" s="1"/>
  <c r="X328" i="1"/>
  <c r="J781" i="3" s="1"/>
  <c r="X329" i="1"/>
  <c r="J343" i="3" s="1"/>
  <c r="X330" i="1"/>
  <c r="J424" i="3" s="1"/>
  <c r="X331" i="1"/>
  <c r="J113" i="3" s="1"/>
  <c r="X332" i="1"/>
  <c r="J198" i="3" s="1"/>
  <c r="X333" i="1"/>
  <c r="J42" i="3" s="1"/>
  <c r="X334" i="1"/>
  <c r="J8" i="3" s="1"/>
  <c r="X335" i="1"/>
  <c r="J710" i="3" s="1"/>
  <c r="X336" i="1"/>
  <c r="J967" i="3" s="1"/>
  <c r="X337" i="1"/>
  <c r="J164" i="3" s="1"/>
  <c r="X338" i="1"/>
  <c r="J696" i="3" s="1"/>
  <c r="X339" i="1"/>
  <c r="J90" i="3" s="1"/>
  <c r="X340" i="1"/>
  <c r="J627" i="3" s="1"/>
  <c r="X341" i="1"/>
  <c r="J256" i="3" s="1"/>
  <c r="X342" i="1"/>
  <c r="J611" i="3" s="1"/>
  <c r="X343" i="1"/>
  <c r="J180" i="3" s="1"/>
  <c r="X344" i="1"/>
  <c r="J920" i="3" s="1"/>
  <c r="X345" i="1"/>
  <c r="J147" i="3" s="1"/>
  <c r="X346" i="1"/>
  <c r="J922" i="3" s="1"/>
  <c r="X347" i="1"/>
  <c r="J396" i="3" s="1"/>
  <c r="X348" i="1"/>
  <c r="J634" i="3" s="1"/>
  <c r="X349" i="1"/>
  <c r="J905" i="3" s="1"/>
  <c r="X350" i="1"/>
  <c r="J140" i="3" s="1"/>
  <c r="X351" i="1"/>
  <c r="J269" i="3" s="1"/>
  <c r="X352" i="1"/>
  <c r="J325" i="3" s="1"/>
  <c r="X353" i="1"/>
  <c r="J910" i="3" s="1"/>
  <c r="X354" i="1"/>
  <c r="J285" i="3" s="1"/>
  <c r="X355" i="1"/>
  <c r="J344" i="3" s="1"/>
  <c r="X356" i="1"/>
  <c r="J102" i="3" s="1"/>
  <c r="X357" i="1"/>
  <c r="J52" i="3" s="1"/>
  <c r="X358" i="1"/>
  <c r="J720" i="3" s="1"/>
  <c r="X359" i="1"/>
  <c r="J207" i="3" s="1"/>
  <c r="X360" i="1"/>
  <c r="J931" i="3" s="1"/>
  <c r="X361" i="1"/>
  <c r="J988" i="3" s="1"/>
  <c r="X362" i="1"/>
  <c r="J108" i="3" s="1"/>
  <c r="X363" i="1"/>
  <c r="J479" i="3" s="1"/>
  <c r="X364" i="1"/>
  <c r="J859" i="3" s="1"/>
  <c r="X365" i="1"/>
  <c r="J410" i="3" s="1"/>
  <c r="X366" i="1"/>
  <c r="J386" i="3" s="1"/>
  <c r="X367" i="1"/>
  <c r="J531" i="3" s="1"/>
  <c r="X368" i="1"/>
  <c r="J483" i="3" s="1"/>
  <c r="X369" i="1"/>
  <c r="J759" i="3" s="1"/>
  <c r="X370" i="1"/>
  <c r="J714" i="3" s="1"/>
  <c r="X371" i="1"/>
  <c r="J748" i="3" s="1"/>
  <c r="X372" i="1"/>
  <c r="J296" i="3" s="1"/>
  <c r="X373" i="1"/>
  <c r="J651" i="3" s="1"/>
  <c r="X374" i="1"/>
  <c r="J397" i="3" s="1"/>
  <c r="X375" i="1"/>
  <c r="J551" i="3" s="1"/>
  <c r="X376" i="1"/>
  <c r="J491" i="3" s="1"/>
  <c r="X377" i="1"/>
  <c r="J891" i="3" s="1"/>
  <c r="X378" i="1"/>
  <c r="J273" i="3" s="1"/>
  <c r="X379" i="1"/>
  <c r="J907" i="3" s="1"/>
  <c r="X380" i="1"/>
  <c r="J830" i="3" s="1"/>
  <c r="X381" i="1"/>
  <c r="J51" i="3" s="1"/>
  <c r="X382" i="1"/>
  <c r="J592" i="3" s="1"/>
  <c r="X383" i="1"/>
  <c r="J555" i="3" s="1"/>
  <c r="X384" i="1"/>
  <c r="J378" i="3" s="1"/>
  <c r="X385" i="1"/>
  <c r="J542" i="3" s="1"/>
  <c r="X386" i="1"/>
  <c r="J562" i="3" s="1"/>
  <c r="X387" i="1"/>
  <c r="J31" i="3" s="1"/>
  <c r="X388" i="1"/>
  <c r="J966" i="3" s="1"/>
  <c r="X389" i="1"/>
  <c r="J913" i="3" s="1"/>
  <c r="X390" i="1"/>
  <c r="J827" i="3" s="1"/>
  <c r="X391" i="1"/>
  <c r="J818" i="3" s="1"/>
  <c r="X392" i="1"/>
  <c r="J319" i="3" s="1"/>
  <c r="X393" i="1"/>
  <c r="J950" i="3" s="1"/>
  <c r="X394" i="1"/>
  <c r="J597" i="3" s="1"/>
  <c r="X395" i="1"/>
  <c r="J752" i="3" s="1"/>
  <c r="X396" i="1"/>
  <c r="J503" i="3" s="1"/>
  <c r="X397" i="1"/>
  <c r="J743" i="3" s="1"/>
  <c r="X398" i="1"/>
  <c r="J70" i="3" s="1"/>
  <c r="X399" i="1"/>
  <c r="J392" i="3" s="1"/>
  <c r="X400" i="1"/>
  <c r="J236" i="3" s="1"/>
  <c r="X401" i="1"/>
  <c r="J154" i="3" s="1"/>
  <c r="X402" i="1"/>
  <c r="J924" i="3" s="1"/>
  <c r="X403" i="1"/>
  <c r="J617" i="3" s="1"/>
  <c r="X404" i="1"/>
  <c r="J275" i="3" s="1"/>
  <c r="X405" i="1"/>
  <c r="J516" i="3" s="1"/>
  <c r="X406" i="1"/>
  <c r="J492" i="3" s="1"/>
  <c r="X407" i="1"/>
  <c r="J250" i="3" s="1"/>
  <c r="X408" i="1"/>
  <c r="J949" i="3" s="1"/>
  <c r="X409" i="1"/>
  <c r="J252" i="3" s="1"/>
  <c r="X410" i="1"/>
  <c r="J604" i="3" s="1"/>
  <c r="X411" i="1"/>
  <c r="J982" i="3" s="1"/>
  <c r="X412" i="1"/>
  <c r="J262" i="3" s="1"/>
  <c r="X413" i="1"/>
  <c r="J62" i="3" s="1"/>
  <c r="X414" i="1"/>
  <c r="J546" i="3" s="1"/>
  <c r="X415" i="1"/>
  <c r="J837" i="3" s="1"/>
  <c r="X416" i="1"/>
  <c r="J426" i="3" s="1"/>
  <c r="X417" i="1"/>
  <c r="J452" i="3" s="1"/>
  <c r="X418" i="1"/>
  <c r="J570" i="3" s="1"/>
  <c r="X419" i="1"/>
  <c r="J240" i="3" s="1"/>
  <c r="X420" i="1"/>
  <c r="J628" i="3" s="1"/>
  <c r="X421" i="1"/>
  <c r="J605" i="3" s="1"/>
  <c r="X422" i="1"/>
  <c r="J761" i="3" s="1"/>
  <c r="X423" i="1"/>
  <c r="J358" i="3" s="1"/>
  <c r="X424" i="1"/>
  <c r="J18" i="3" s="1"/>
  <c r="X425" i="1"/>
  <c r="J324" i="3" s="1"/>
  <c r="X426" i="1"/>
  <c r="J896" i="3" s="1"/>
  <c r="X427" i="1"/>
  <c r="J643" i="3" s="1"/>
  <c r="X428" i="1"/>
  <c r="J644" i="3" s="1"/>
  <c r="X429" i="1"/>
  <c r="J803" i="3" s="1"/>
  <c r="X430" i="1"/>
  <c r="J622" i="3" s="1"/>
  <c r="X431" i="1"/>
  <c r="J420" i="3" s="1"/>
  <c r="X432" i="1"/>
  <c r="J415" i="3" s="1"/>
  <c r="X433" i="1"/>
  <c r="J529" i="3" s="1"/>
  <c r="X434" i="1"/>
  <c r="J178" i="3" s="1"/>
  <c r="X435" i="1"/>
  <c r="J656" i="3" s="1"/>
  <c r="X436" i="1"/>
  <c r="J821" i="3" s="1"/>
  <c r="X437" i="1"/>
  <c r="J669" i="3" s="1"/>
  <c r="X438" i="1"/>
  <c r="J887" i="3" s="1"/>
  <c r="X439" i="1"/>
  <c r="J91" i="3" s="1"/>
  <c r="X440" i="1"/>
  <c r="J813" i="3" s="1"/>
  <c r="X441" i="1"/>
  <c r="J856" i="3" s="1"/>
  <c r="X442" i="1"/>
  <c r="J688" i="3" s="1"/>
  <c r="X443" i="1"/>
  <c r="J448" i="3" s="1"/>
  <c r="X444" i="1"/>
  <c r="J757" i="3" s="1"/>
  <c r="X445" i="1"/>
  <c r="J667" i="3" s="1"/>
  <c r="X446" i="1"/>
  <c r="J719" i="3" s="1"/>
  <c r="X447" i="1"/>
  <c r="J883" i="3" s="1"/>
  <c r="X448" i="1"/>
  <c r="J664" i="3" s="1"/>
  <c r="X449" i="1"/>
  <c r="J921" i="3" s="1"/>
  <c r="X450" i="1"/>
  <c r="J130" i="3" s="1"/>
  <c r="X451" i="1"/>
  <c r="J168" i="3" s="1"/>
  <c r="X452" i="1"/>
  <c r="J630" i="3" s="1"/>
  <c r="X453" i="1"/>
  <c r="J639" i="3" s="1"/>
  <c r="X454" i="1"/>
  <c r="J865" i="3" s="1"/>
  <c r="X455" i="1"/>
  <c r="J364" i="3" s="1"/>
  <c r="X456" i="1"/>
  <c r="J473" i="3" s="1"/>
  <c r="X457" i="1"/>
  <c r="J956" i="3" s="1"/>
  <c r="X458" i="1"/>
  <c r="J792" i="3" s="1"/>
  <c r="X459" i="1"/>
  <c r="J418" i="3" s="1"/>
  <c r="X460" i="1"/>
  <c r="J526" i="3" s="1"/>
  <c r="X461" i="1"/>
  <c r="J833" i="3" s="1"/>
  <c r="X462" i="1"/>
  <c r="J186" i="3" s="1"/>
  <c r="X463" i="1"/>
  <c r="J981" i="3" s="1"/>
  <c r="X464" i="1"/>
  <c r="J540" i="3" s="1"/>
  <c r="X465" i="1"/>
  <c r="J846" i="3" s="1"/>
  <c r="X466" i="1"/>
  <c r="J297" i="3" s="1"/>
  <c r="X467" i="1"/>
  <c r="J985" i="3" s="1"/>
  <c r="X468" i="1"/>
  <c r="J559" i="3" s="1"/>
  <c r="X469" i="1"/>
  <c r="J499" i="3" s="1"/>
  <c r="X470" i="1"/>
  <c r="J36" i="3" s="1"/>
  <c r="X471" i="1"/>
  <c r="J400" i="3" s="1"/>
  <c r="X472" i="1"/>
  <c r="J925" i="3" s="1"/>
  <c r="X473" i="1"/>
  <c r="J326" i="3" s="1"/>
  <c r="X474" i="1"/>
  <c r="J625" i="3" s="1"/>
  <c r="X475" i="1"/>
  <c r="J89" i="3" s="1"/>
  <c r="X476" i="1"/>
  <c r="J462" i="3" s="1"/>
  <c r="X477" i="1"/>
  <c r="J754" i="3" s="1"/>
  <c r="X478" i="1"/>
  <c r="J218" i="3" s="1"/>
  <c r="X479" i="1"/>
  <c r="J118" i="3" s="1"/>
  <c r="X480" i="1"/>
  <c r="J881" i="3" s="1"/>
  <c r="X481" i="1"/>
  <c r="J327" i="3" s="1"/>
  <c r="X482" i="1"/>
  <c r="J29" i="3" s="1"/>
  <c r="X483" i="1"/>
  <c r="J512" i="3" s="1"/>
  <c r="X484" i="1"/>
  <c r="J522" i="3" s="1"/>
  <c r="X485" i="1"/>
  <c r="J871" i="3" s="1"/>
  <c r="X486" i="1"/>
  <c r="J747" i="3" s="1"/>
  <c r="X487" i="1"/>
  <c r="J520" i="3" s="1"/>
  <c r="X488" i="1"/>
  <c r="J306" i="3" s="1"/>
  <c r="X489" i="1"/>
  <c r="J888" i="3" s="1"/>
  <c r="X490" i="1"/>
  <c r="J703" i="3" s="1"/>
  <c r="X491" i="1"/>
  <c r="J430" i="3" s="1"/>
  <c r="X492" i="1"/>
  <c r="J444" i="3" s="1"/>
  <c r="X493" i="1"/>
  <c r="J704" i="3" s="1"/>
  <c r="X494" i="1"/>
  <c r="J295" i="3" s="1"/>
  <c r="X495" i="1"/>
  <c r="J149" i="3" s="1"/>
  <c r="X496" i="1"/>
  <c r="J700" i="3" s="1"/>
  <c r="X497" i="1"/>
  <c r="J728" i="3" s="1"/>
  <c r="X498" i="1"/>
  <c r="J65" i="3" s="1"/>
  <c r="X499" i="1"/>
  <c r="J284" i="3" s="1"/>
  <c r="X500" i="1"/>
  <c r="J937" i="3" s="1"/>
  <c r="X501" i="1"/>
  <c r="J547" i="3" s="1"/>
  <c r="X502" i="1"/>
  <c r="J139" i="3" s="1"/>
  <c r="X503" i="1"/>
  <c r="J731" i="3" s="1"/>
  <c r="X504" i="1"/>
  <c r="J951" i="3" s="1"/>
  <c r="X505" i="1"/>
  <c r="J911" i="3" s="1"/>
  <c r="X506" i="1"/>
  <c r="J969" i="3" s="1"/>
  <c r="X507" i="1"/>
  <c r="J749" i="3" s="1"/>
  <c r="X508" i="1"/>
  <c r="J952" i="3" s="1"/>
  <c r="X509" i="1"/>
  <c r="J697" i="3" s="1"/>
  <c r="X510" i="1"/>
  <c r="J87" i="3" s="1"/>
  <c r="X511" i="1"/>
  <c r="J204" i="3" s="1"/>
  <c r="X512" i="1"/>
  <c r="J958" i="3" s="1"/>
  <c r="X513" i="1"/>
  <c r="J615" i="3" s="1"/>
  <c r="X514" i="1"/>
  <c r="J711" i="3" s="1"/>
  <c r="X515" i="1"/>
  <c r="J169" i="3" s="1"/>
  <c r="X516" i="1"/>
  <c r="J717" i="3" s="1"/>
  <c r="X517" i="1"/>
  <c r="J624" i="3" s="1"/>
  <c r="X518" i="1"/>
  <c r="J621" i="3" s="1"/>
  <c r="X519" i="1"/>
  <c r="J435" i="3" s="1"/>
  <c r="X520" i="1"/>
  <c r="J215" i="3" s="1"/>
  <c r="X521" i="1"/>
  <c r="J815" i="3" s="1"/>
  <c r="X522" i="1"/>
  <c r="J336" i="3" s="1"/>
  <c r="X523" i="1"/>
  <c r="J782" i="3" s="1"/>
  <c r="X524" i="1"/>
  <c r="J637" i="3" s="1"/>
  <c r="X525" i="1"/>
  <c r="J404" i="3" s="1"/>
  <c r="X526" i="1"/>
  <c r="J253" i="3" s="1"/>
  <c r="X527" i="1"/>
  <c r="J385" i="3" s="1"/>
  <c r="X528" i="1"/>
  <c r="J572" i="3" s="1"/>
  <c r="X529" i="1"/>
  <c r="J845" i="3" s="1"/>
  <c r="X530" i="1"/>
  <c r="J536" i="3" s="1"/>
  <c r="X531" i="1"/>
  <c r="J608" i="3" s="1"/>
  <c r="X532" i="1"/>
  <c r="J816" i="3" s="1"/>
  <c r="X533" i="1"/>
  <c r="J329" i="3" s="1"/>
  <c r="X534" i="1"/>
  <c r="J940" i="3" s="1"/>
  <c r="X535" i="1"/>
  <c r="J505" i="3" s="1"/>
  <c r="X536" i="1"/>
  <c r="J588" i="3" s="1"/>
  <c r="X537" i="1"/>
  <c r="J745" i="3" s="1"/>
  <c r="X538" i="1"/>
  <c r="J780" i="3" s="1"/>
  <c r="X539" i="1"/>
  <c r="J242" i="3" s="1"/>
  <c r="X540" i="1"/>
  <c r="J953" i="3" s="1"/>
  <c r="X541" i="1"/>
  <c r="J979" i="3" s="1"/>
  <c r="X542" i="1"/>
  <c r="J775" i="3" s="1"/>
  <c r="X543" i="1"/>
  <c r="J502" i="3" s="1"/>
  <c r="X544" i="1"/>
  <c r="J941" i="3" s="1"/>
  <c r="X545" i="1"/>
  <c r="J407" i="3" s="1"/>
  <c r="X546" i="1"/>
  <c r="J929" i="3" s="1"/>
  <c r="X547" i="1"/>
  <c r="J991" i="3" s="1"/>
  <c r="X548" i="1"/>
  <c r="J983" i="3" s="1"/>
  <c r="X549" i="1"/>
  <c r="J968" i="3" s="1"/>
  <c r="X550" i="1"/>
  <c r="J926" i="3" s="1"/>
  <c r="X551" i="1"/>
  <c r="J810" i="3" s="1"/>
  <c r="X552" i="1"/>
  <c r="J28" i="3" s="1"/>
  <c r="X553" i="1"/>
  <c r="J809" i="3" s="1"/>
  <c r="X554" i="1"/>
  <c r="J534" i="3" s="1"/>
  <c r="X555" i="1"/>
  <c r="J100" i="3" s="1"/>
  <c r="X556" i="1"/>
  <c r="J341" i="3" s="1"/>
  <c r="X557" i="1"/>
  <c r="J312" i="3" s="1"/>
  <c r="X558" i="1"/>
  <c r="J814" i="3" s="1"/>
  <c r="X559" i="1"/>
  <c r="J515" i="3" s="1"/>
  <c r="X560" i="1"/>
  <c r="J84" i="3" s="1"/>
  <c r="X561" i="1"/>
  <c r="J19" i="3" s="1"/>
  <c r="X562" i="1"/>
  <c r="J322" i="3" s="1"/>
  <c r="X563" i="1"/>
  <c r="J895" i="3" s="1"/>
  <c r="X564" i="1"/>
  <c r="J699" i="3" s="1"/>
  <c r="X565" i="1"/>
  <c r="J989" i="3" s="1"/>
  <c r="X566" i="1"/>
  <c r="J33" i="3" s="1"/>
  <c r="X567" i="1"/>
  <c r="J470" i="3" s="1"/>
  <c r="X568" i="1"/>
  <c r="J938" i="3" s="1"/>
  <c r="X569" i="1"/>
  <c r="J500" i="3" s="1"/>
  <c r="X570" i="1"/>
  <c r="J863" i="3" s="1"/>
  <c r="X571" i="1"/>
  <c r="J576" i="3" s="1"/>
  <c r="X572" i="1"/>
  <c r="J431" i="3" s="1"/>
  <c r="X573" i="1"/>
  <c r="J173" i="3" s="1"/>
  <c r="X574" i="1"/>
  <c r="J751" i="3" s="1"/>
  <c r="X575" i="1"/>
  <c r="J104" i="3" s="1"/>
  <c r="X576" i="1"/>
  <c r="J363" i="3" s="1"/>
  <c r="X577" i="1"/>
  <c r="J15" i="3" s="1"/>
  <c r="X578" i="1"/>
  <c r="J808" i="3" s="1"/>
  <c r="X579" i="1"/>
  <c r="J436" i="3" s="1"/>
  <c r="X580" i="1"/>
  <c r="J498" i="3" s="1"/>
  <c r="X581" i="1"/>
  <c r="J484" i="3" s="1"/>
  <c r="X582" i="1"/>
  <c r="J545" i="3" s="1"/>
  <c r="X583" i="1"/>
  <c r="J403" i="3" s="1"/>
  <c r="X584" i="1"/>
  <c r="J347" i="3" s="1"/>
  <c r="X585" i="1"/>
  <c r="J691" i="3" s="1"/>
  <c r="X586" i="1"/>
  <c r="J339" i="3" s="1"/>
  <c r="X587" i="1"/>
  <c r="J722" i="3" s="1"/>
  <c r="X588" i="1"/>
  <c r="J806" i="3" s="1"/>
  <c r="X589" i="1"/>
  <c r="J730" i="3" s="1"/>
  <c r="X590" i="1"/>
  <c r="J301" i="3" s="1"/>
  <c r="X591" i="1"/>
  <c r="J626" i="3" s="1"/>
  <c r="X592" i="1"/>
  <c r="J38" i="3" s="1"/>
  <c r="X593" i="1"/>
  <c r="J212" i="3" s="1"/>
  <c r="X594" i="1"/>
  <c r="J880" i="3" s="1"/>
  <c r="X595" i="1"/>
  <c r="J849" i="3" s="1"/>
  <c r="X596" i="1"/>
  <c r="J135" i="3" s="1"/>
  <c r="X597" i="1"/>
  <c r="J121" i="3" s="1"/>
  <c r="X598" i="1"/>
  <c r="J633" i="3" s="1"/>
  <c r="X599" i="1"/>
  <c r="J331" i="3" s="1"/>
  <c r="X600" i="1"/>
  <c r="J141" i="3" s="1"/>
  <c r="X601" i="1"/>
  <c r="J128" i="3" s="1"/>
  <c r="X602" i="1"/>
  <c r="J804" i="3" s="1"/>
  <c r="X603" i="1"/>
  <c r="J20" i="3" s="1"/>
  <c r="X604" i="1"/>
  <c r="J684" i="3" s="1"/>
  <c r="X605" i="1"/>
  <c r="J579" i="3" s="1"/>
  <c r="X606" i="1"/>
  <c r="J239" i="3" s="1"/>
  <c r="X607" i="1"/>
  <c r="J960" i="3" s="1"/>
  <c r="X608" i="1"/>
  <c r="J665" i="3" s="1"/>
  <c r="X609" i="1"/>
  <c r="J832" i="3" s="1"/>
  <c r="X610" i="1"/>
  <c r="J471" i="3" s="1"/>
  <c r="X611" i="1"/>
  <c r="J205" i="3" s="1"/>
  <c r="X612" i="1"/>
  <c r="J182" i="3" s="1"/>
  <c r="X613" i="1"/>
  <c r="J172" i="3" s="1"/>
  <c r="X614" i="1"/>
  <c r="J247" i="3" s="1"/>
  <c r="X615" i="1"/>
  <c r="J772" i="3" s="1"/>
  <c r="X616" i="1"/>
  <c r="J393" i="3" s="1"/>
  <c r="X617" i="1"/>
  <c r="J80" i="3" s="1"/>
  <c r="X618" i="1"/>
  <c r="J580" i="3" s="1"/>
  <c r="X619" i="1"/>
  <c r="J468" i="3" s="1"/>
  <c r="X620" i="1"/>
  <c r="J768" i="3" s="1"/>
  <c r="X621" i="1"/>
  <c r="J443" i="3" s="1"/>
  <c r="X622" i="1"/>
  <c r="J918" i="3" s="1"/>
  <c r="X623" i="1"/>
  <c r="J96" i="3" s="1"/>
  <c r="X624" i="1"/>
  <c r="J416" i="3" s="1"/>
  <c r="X625" i="1"/>
  <c r="J366" i="3" s="1"/>
  <c r="X626" i="1"/>
  <c r="J487" i="3" s="1"/>
  <c r="X627" i="1"/>
  <c r="J681" i="3" s="1"/>
  <c r="X628" i="1"/>
  <c r="J365" i="3" s="1"/>
  <c r="X629" i="1"/>
  <c r="J935" i="3" s="1"/>
  <c r="X630" i="1"/>
  <c r="J915" i="3" s="1"/>
  <c r="X631" i="1"/>
  <c r="J2" i="3" s="1"/>
  <c r="X632" i="1"/>
  <c r="J998" i="3" s="1"/>
  <c r="X633" i="1"/>
  <c r="J514" i="3" s="1"/>
  <c r="X634" i="1"/>
  <c r="J882" i="3" s="1"/>
  <c r="X635" i="1"/>
  <c r="J427" i="3" s="1"/>
  <c r="X636" i="1"/>
  <c r="J209" i="3" s="1"/>
  <c r="X637" i="1"/>
  <c r="J647" i="3" s="1"/>
  <c r="X638" i="1"/>
  <c r="J885" i="3" s="1"/>
  <c r="X639" i="1"/>
  <c r="J361" i="3" s="1"/>
  <c r="X640" i="1"/>
  <c r="J77" i="3" s="1"/>
  <c r="X641" i="1"/>
  <c r="J293" i="3" s="1"/>
  <c r="X642" i="1"/>
  <c r="J489" i="3" s="1"/>
  <c r="X643" i="1"/>
  <c r="J927" i="3" s="1"/>
  <c r="X644" i="1"/>
  <c r="J265" i="3" s="1"/>
  <c r="X645" i="1"/>
  <c r="J81" i="3" s="1"/>
  <c r="X646" i="1"/>
  <c r="J333" i="3" s="1"/>
  <c r="X647" i="1"/>
  <c r="J890" i="3" s="1"/>
  <c r="X648" i="1"/>
  <c r="J482" i="3" s="1"/>
  <c r="X649" i="1"/>
  <c r="J266" i="3" s="1"/>
  <c r="X650" i="1"/>
  <c r="J369" i="3" s="1"/>
  <c r="X651" i="1"/>
  <c r="J230" i="3" s="1"/>
  <c r="X652" i="1"/>
  <c r="J255" i="3" s="1"/>
  <c r="X653" i="1"/>
  <c r="J823" i="3" s="1"/>
  <c r="X654" i="1"/>
  <c r="J466" i="3" s="1"/>
  <c r="X655" i="1"/>
  <c r="J860" i="3" s="1"/>
  <c r="X656" i="1"/>
  <c r="J737" i="3" s="1"/>
  <c r="X657" i="1"/>
  <c r="J30" i="3" s="1"/>
  <c r="X658" i="1"/>
  <c r="J47" i="3" s="1"/>
  <c r="X659" i="1"/>
  <c r="J802" i="3" s="1"/>
  <c r="X660" i="1"/>
  <c r="J72" i="3" s="1"/>
  <c r="X661" i="1"/>
  <c r="J119" i="3" s="1"/>
  <c r="X662" i="1"/>
  <c r="J629" i="3" s="1"/>
  <c r="X663" i="1"/>
  <c r="J217" i="3" s="1"/>
  <c r="X664" i="1"/>
  <c r="J450" i="3" s="1"/>
  <c r="X665" i="1"/>
  <c r="J44" i="3" s="1"/>
  <c r="X666" i="1"/>
  <c r="J712" i="3" s="1"/>
  <c r="X667" i="1"/>
  <c r="J148" i="3" s="1"/>
  <c r="X668" i="1"/>
  <c r="J345" i="3" s="1"/>
  <c r="X669" i="1"/>
  <c r="J788" i="3" s="1"/>
  <c r="X670" i="1"/>
  <c r="J778" i="3" s="1"/>
  <c r="X671" i="1"/>
  <c r="J858" i="3" s="1"/>
  <c r="X672" i="1"/>
  <c r="J812" i="3" s="1"/>
  <c r="X673" i="1"/>
  <c r="J789" i="3" s="1"/>
  <c r="X674" i="1"/>
  <c r="J771" i="3" s="1"/>
  <c r="X675" i="1"/>
  <c r="J340" i="3" s="1"/>
  <c r="X676" i="1"/>
  <c r="J694" i="3" s="1"/>
  <c r="X677" i="1"/>
  <c r="J401" i="3" s="1"/>
  <c r="X678" i="1"/>
  <c r="J109" i="3" s="1"/>
  <c r="X679" i="1"/>
  <c r="J302" i="3" s="1"/>
  <c r="X680" i="1"/>
  <c r="J315" i="3" s="1"/>
  <c r="X681" i="1"/>
  <c r="J790" i="3" s="1"/>
  <c r="X682" i="1"/>
  <c r="J291" i="3" s="1"/>
  <c r="X683" i="1"/>
  <c r="J934" i="3" s="1"/>
  <c r="X684" i="1"/>
  <c r="J214" i="3" s="1"/>
  <c r="X685" i="1"/>
  <c r="J16" i="3" s="1"/>
  <c r="X686" i="1"/>
  <c r="J698" i="3" s="1"/>
  <c r="X687" i="1"/>
  <c r="J219" i="3" s="1"/>
  <c r="X688" i="1"/>
  <c r="J862" i="3" s="1"/>
  <c r="X689" i="1"/>
  <c r="J715" i="3" s="1"/>
  <c r="X690" i="1"/>
  <c r="J709" i="3" s="1"/>
  <c r="X691" i="1"/>
  <c r="J216" i="3" s="1"/>
  <c r="X692" i="1"/>
  <c r="J999" i="3" s="1"/>
  <c r="X693" i="1"/>
  <c r="J442" i="3" s="1"/>
  <c r="X694" i="1"/>
  <c r="J740" i="3" s="1"/>
  <c r="X695" i="1"/>
  <c r="J797" i="3" s="1"/>
  <c r="X696" i="1"/>
  <c r="J193" i="3" s="1"/>
  <c r="X697" i="1"/>
  <c r="J571" i="3" s="1"/>
  <c r="X698" i="1"/>
  <c r="J793" i="3" s="1"/>
  <c r="X699" i="1"/>
  <c r="J456" i="3" s="1"/>
  <c r="X700" i="1"/>
  <c r="J151" i="3" s="1"/>
  <c r="X701" i="1"/>
  <c r="J115" i="3" s="1"/>
  <c r="X702" i="1"/>
  <c r="J350" i="3" s="1"/>
  <c r="X703" i="1"/>
  <c r="J398" i="3" s="1"/>
  <c r="X704" i="1"/>
  <c r="J389" i="3" s="1"/>
  <c r="X705" i="1"/>
  <c r="J646" i="3" s="1"/>
  <c r="X706" i="1"/>
  <c r="J241" i="3" s="1"/>
  <c r="X707" i="1"/>
  <c r="J680" i="3" s="1"/>
  <c r="X708" i="1"/>
  <c r="J237" i="3" s="1"/>
  <c r="X709" i="1"/>
  <c r="J58" i="3" s="1"/>
  <c r="X710" i="1"/>
  <c r="J631" i="3" s="1"/>
  <c r="X711" i="1"/>
  <c r="J488" i="3" s="1"/>
  <c r="X712" i="1"/>
  <c r="J120" i="3" s="1"/>
  <c r="X713" i="1"/>
  <c r="J71" i="3" s="1"/>
  <c r="X714" i="1"/>
  <c r="J50" i="3" s="1"/>
  <c r="X715" i="1"/>
  <c r="J152" i="3" s="1"/>
  <c r="X716" i="1"/>
  <c r="J200" i="3" s="1"/>
  <c r="X717" i="1"/>
  <c r="J438" i="3" s="1"/>
  <c r="X718" i="1"/>
  <c r="J409" i="3" s="1"/>
  <c r="X719" i="1"/>
  <c r="J689" i="3" s="1"/>
  <c r="X720" i="1"/>
  <c r="J826" i="3" s="1"/>
  <c r="X721" i="1"/>
  <c r="J261" i="3" s="1"/>
  <c r="X722" i="1"/>
  <c r="J222" i="3" s="1"/>
  <c r="X723" i="1"/>
  <c r="J99" i="3" s="1"/>
  <c r="X724" i="1"/>
  <c r="J196" i="3" s="1"/>
  <c r="X725" i="1"/>
  <c r="J233" i="3" s="1"/>
  <c r="X726" i="1"/>
  <c r="J589" i="3" s="1"/>
  <c r="X727" i="1"/>
  <c r="J532" i="3" s="1"/>
  <c r="X728" i="1"/>
  <c r="J12" i="3" s="1"/>
  <c r="X729" i="1"/>
  <c r="J10" i="3" s="1"/>
  <c r="X730" i="1"/>
  <c r="J179" i="3" s="1"/>
  <c r="X731" i="1"/>
  <c r="J987" i="3" s="1"/>
  <c r="X732" i="1"/>
  <c r="J463" i="3" s="1"/>
  <c r="X733" i="1"/>
  <c r="J973" i="3" s="1"/>
  <c r="X734" i="1"/>
  <c r="J556" i="3" s="1"/>
  <c r="X735" i="1"/>
  <c r="J734" i="3" s="1"/>
  <c r="X736" i="1"/>
  <c r="J645" i="3" s="1"/>
  <c r="X737" i="1"/>
  <c r="J663" i="3" s="1"/>
  <c r="X738" i="1"/>
  <c r="J902" i="3" s="1"/>
  <c r="X739" i="1"/>
  <c r="J843" i="3" s="1"/>
  <c r="X740" i="1"/>
  <c r="J686" i="3" s="1"/>
  <c r="X741" i="1"/>
  <c r="J685" i="3" s="1"/>
  <c r="X742" i="1"/>
  <c r="J82" i="3" s="1"/>
  <c r="X743" i="1"/>
  <c r="J383" i="3" s="1"/>
  <c r="X744" i="1"/>
  <c r="J137" i="3" s="1"/>
  <c r="X745" i="1"/>
  <c r="J738" i="3" s="1"/>
  <c r="X746" i="1"/>
  <c r="J191" i="3" s="1"/>
  <c r="X747" i="1"/>
  <c r="J26" i="3" s="1"/>
  <c r="X748" i="1"/>
  <c r="J423" i="3" s="1"/>
  <c r="X749" i="1"/>
  <c r="J650" i="3" s="1"/>
  <c r="X750" i="1"/>
  <c r="J465" i="3" s="1"/>
  <c r="X751" i="1"/>
  <c r="J56" i="3" s="1"/>
  <c r="X752" i="1"/>
  <c r="J513" i="3" s="1"/>
  <c r="X753" i="1"/>
  <c r="J541" i="3" s="1"/>
  <c r="X754" i="1"/>
  <c r="J900" i="3" s="1"/>
  <c r="X755" i="1"/>
  <c r="J231" i="3" s="1"/>
  <c r="X756" i="1"/>
  <c r="J454" i="3" s="1"/>
  <c r="X757" i="1"/>
  <c r="J857" i="3" s="1"/>
  <c r="X758" i="1"/>
  <c r="J298" i="3" s="1"/>
  <c r="X759" i="1"/>
  <c r="J600" i="3" s="1"/>
  <c r="X760" i="1"/>
  <c r="J744" i="3" s="1"/>
  <c r="X761" i="1"/>
  <c r="J249" i="3" s="1"/>
  <c r="X762" i="1"/>
  <c r="J14" i="3" s="1"/>
  <c r="X763" i="1"/>
  <c r="J238" i="3" s="1"/>
  <c r="X764" i="1"/>
  <c r="J590" i="3" s="1"/>
  <c r="X765" i="1"/>
  <c r="J201" i="3" s="1"/>
  <c r="X766" i="1"/>
  <c r="J825" i="3" s="1"/>
  <c r="X767" i="1"/>
  <c r="J310" i="3" s="1"/>
  <c r="X768" i="1"/>
  <c r="J939" i="3" s="1"/>
  <c r="X769" i="1"/>
  <c r="J313" i="3" s="1"/>
  <c r="X770" i="1"/>
  <c r="J162" i="3" s="1"/>
  <c r="X771" i="1"/>
  <c r="J203" i="3" s="1"/>
  <c r="X772" i="1"/>
  <c r="J548" i="3" s="1"/>
  <c r="X773" i="1"/>
  <c r="J160" i="3" s="1"/>
  <c r="X774" i="1"/>
  <c r="J942" i="3" s="1"/>
  <c r="X775" i="1"/>
  <c r="J791" i="3" s="1"/>
  <c r="X776" i="1"/>
  <c r="J901" i="3" s="1"/>
  <c r="X777" i="1"/>
  <c r="J69" i="3" s="1"/>
  <c r="X778" i="1"/>
  <c r="J116" i="3" s="1"/>
  <c r="X779" i="1"/>
  <c r="J305" i="3" s="1"/>
  <c r="X780" i="1"/>
  <c r="J742" i="3" s="1"/>
  <c r="X781" i="1"/>
  <c r="J412" i="3" s="1"/>
  <c r="X782" i="1"/>
  <c r="J464" i="3" s="1"/>
  <c r="X783" i="1"/>
  <c r="J35" i="3" s="1"/>
  <c r="X784" i="1"/>
  <c r="J525" i="3" s="1"/>
  <c r="X785" i="1"/>
  <c r="J975" i="3" s="1"/>
  <c r="X786" i="1"/>
  <c r="J185" i="3" s="1"/>
  <c r="X787" i="1"/>
  <c r="J657" i="3" s="1"/>
  <c r="X788" i="1"/>
  <c r="J874" i="3" s="1"/>
  <c r="X789" i="1"/>
  <c r="J909" i="3" s="1"/>
  <c r="X790" i="1"/>
  <c r="J106" i="3" s="1"/>
  <c r="X791" i="1"/>
  <c r="J760" i="3" s="1"/>
  <c r="X792" i="1"/>
  <c r="J889" i="3" s="1"/>
  <c r="X793" i="1"/>
  <c r="J648" i="3" s="1"/>
  <c r="X794" i="1"/>
  <c r="J990" i="3" s="1"/>
  <c r="X795" i="1"/>
  <c r="J848" i="3" s="1"/>
  <c r="X796" i="1"/>
  <c r="J153" i="3" s="1"/>
  <c r="X797" i="1"/>
  <c r="J183" i="3" s="1"/>
  <c r="X798" i="1"/>
  <c r="J708" i="3" s="1"/>
  <c r="X799" i="1"/>
  <c r="J440" i="3" s="1"/>
  <c r="X800" i="1"/>
  <c r="J603" i="3" s="1"/>
  <c r="X801" i="1"/>
  <c r="J55" i="3" s="1"/>
  <c r="X802" i="1"/>
  <c r="J550" i="3" s="1"/>
  <c r="X803" i="1"/>
  <c r="J447" i="3" s="1"/>
  <c r="X804" i="1"/>
  <c r="J519" i="3" s="1"/>
  <c r="X805" i="1"/>
  <c r="J245" i="3" s="1"/>
  <c r="X806" i="1"/>
  <c r="J906" i="3" s="1"/>
  <c r="X807" i="1"/>
  <c r="J741" i="3" s="1"/>
  <c r="X808" i="1"/>
  <c r="J421" i="3" s="1"/>
  <c r="X809" i="1"/>
  <c r="J110" i="3" s="1"/>
  <c r="X810" i="1"/>
  <c r="J314" i="3" s="1"/>
  <c r="X811" i="1"/>
  <c r="J375" i="3" s="1"/>
  <c r="X812" i="1"/>
  <c r="J970" i="3" s="1"/>
  <c r="X813" i="1"/>
  <c r="J223" i="3" s="1"/>
  <c r="X814" i="1"/>
  <c r="J558" i="3" s="1"/>
  <c r="X815" i="1"/>
  <c r="J762" i="3" s="1"/>
  <c r="X816" i="1"/>
  <c r="J916" i="3" s="1"/>
  <c r="X817" i="1"/>
  <c r="J585" i="3" s="1"/>
  <c r="X818" i="1"/>
  <c r="J413" i="3" s="1"/>
  <c r="X819" i="1"/>
  <c r="J175" i="3" s="1"/>
  <c r="X820" i="1"/>
  <c r="J919" i="3" s="1"/>
  <c r="X821" i="1"/>
  <c r="J518" i="3" s="1"/>
  <c r="X822" i="1"/>
  <c r="J289" i="3" s="1"/>
  <c r="X823" i="1"/>
  <c r="J774" i="3" s="1"/>
  <c r="X824" i="1"/>
  <c r="J594" i="3" s="1"/>
  <c r="X825" i="1"/>
  <c r="J943" i="3" s="1"/>
  <c r="X826" i="1"/>
  <c r="J1001" i="3" s="1"/>
  <c r="X827" i="1"/>
  <c r="J992" i="3" s="1"/>
  <c r="X828" i="1"/>
  <c r="J993" i="3" s="1"/>
  <c r="X829" i="1"/>
  <c r="J853" i="3" s="1"/>
  <c r="X830" i="1"/>
  <c r="J270" i="3" s="1"/>
  <c r="X831" i="1"/>
  <c r="J278" i="3" s="1"/>
  <c r="X832" i="1"/>
  <c r="J157" i="3" s="1"/>
  <c r="X833" i="1"/>
  <c r="J165" i="3" s="1"/>
  <c r="X834" i="1"/>
  <c r="J679" i="3" s="1"/>
  <c r="X835" i="1"/>
  <c r="J997" i="3" s="1"/>
  <c r="X836" i="1"/>
  <c r="J785" i="3" s="1"/>
  <c r="X837" i="1"/>
  <c r="J98" i="3" s="1"/>
  <c r="X838" i="1"/>
  <c r="J635" i="3" s="1"/>
  <c r="X839" i="1"/>
  <c r="J229" i="3" s="1"/>
  <c r="X840" i="1"/>
  <c r="J417" i="3" s="1"/>
  <c r="X841" i="1"/>
  <c r="J54" i="3" s="1"/>
  <c r="X842" i="1"/>
  <c r="J569" i="3" s="1"/>
  <c r="X843" i="1"/>
  <c r="J884" i="3" s="1"/>
  <c r="X844" i="1"/>
  <c r="J783" i="3" s="1"/>
  <c r="X845" i="1"/>
  <c r="J873" i="3" s="1"/>
  <c r="X846" i="1"/>
  <c r="J171" i="3" s="1"/>
  <c r="X847" i="1"/>
  <c r="J167" i="3" s="1"/>
  <c r="X848" i="1"/>
  <c r="J189" i="3" s="1"/>
  <c r="X849" i="1"/>
  <c r="J928" i="3" s="1"/>
  <c r="X850" i="1"/>
  <c r="J898" i="3" s="1"/>
  <c r="X851" i="1"/>
  <c r="J349" i="3" s="1"/>
  <c r="X852" i="1"/>
  <c r="J897" i="3" s="1"/>
  <c r="X853" i="1"/>
  <c r="J86" i="3" s="1"/>
  <c r="X854" i="1"/>
  <c r="J317" i="3" s="1"/>
  <c r="X855" i="1"/>
  <c r="J954" i="3" s="1"/>
  <c r="X856" i="1"/>
  <c r="J701" i="3" s="1"/>
  <c r="X857" i="1"/>
  <c r="J501" i="3" s="1"/>
  <c r="X858" i="1"/>
  <c r="J538" i="3" s="1"/>
  <c r="X859" i="1"/>
  <c r="J527" i="3" s="1"/>
  <c r="X860" i="1"/>
  <c r="J978" i="3" s="1"/>
  <c r="X861" i="1"/>
  <c r="J458" i="3" s="1"/>
  <c r="X862" i="1"/>
  <c r="J733" i="3" s="1"/>
  <c r="X863" i="1"/>
  <c r="J6" i="3" s="1"/>
  <c r="X864" i="1"/>
  <c r="J384" i="3" s="1"/>
  <c r="X865" i="1"/>
  <c r="J800" i="3" s="1"/>
  <c r="X866" i="1"/>
  <c r="J560" i="3" s="1"/>
  <c r="X867" i="1"/>
  <c r="J144" i="3" s="1"/>
  <c r="X868" i="1"/>
  <c r="J132" i="3" s="1"/>
  <c r="X869" i="1"/>
  <c r="J533" i="3" s="1"/>
  <c r="X870" i="1"/>
  <c r="J117" i="3" s="1"/>
  <c r="X871" i="1"/>
  <c r="J79" i="3" s="1"/>
  <c r="X872" i="1"/>
  <c r="J123" i="3" s="1"/>
  <c r="X873" i="1"/>
  <c r="J304" i="3" s="1"/>
  <c r="X874" i="1"/>
  <c r="J836" i="3" s="1"/>
  <c r="X875" i="1"/>
  <c r="J619" i="3" s="1"/>
  <c r="X876" i="1"/>
  <c r="J984" i="3" s="1"/>
  <c r="X877" i="1"/>
  <c r="J535" i="3" s="1"/>
  <c r="X878" i="1"/>
  <c r="J779" i="3" s="1"/>
  <c r="X879" i="1"/>
  <c r="J244" i="3" s="1"/>
  <c r="X880" i="1"/>
  <c r="J367" i="3" s="1"/>
  <c r="X881" i="1"/>
  <c r="J868" i="3" s="1"/>
  <c r="X882" i="1"/>
  <c r="J192" i="3" s="1"/>
  <c r="X883" i="1"/>
  <c r="J283" i="3" s="1"/>
  <c r="X884" i="1"/>
  <c r="J387" i="3" s="1"/>
  <c r="X885" i="1"/>
  <c r="J308" i="3" s="1"/>
  <c r="X886" i="1"/>
  <c r="J773" i="3" s="1"/>
  <c r="X887" i="1"/>
  <c r="J713" i="3" s="1"/>
  <c r="X888" i="1"/>
  <c r="J271" i="3" s="1"/>
  <c r="X889" i="1"/>
  <c r="J893" i="3" s="1"/>
  <c r="X890" i="1"/>
  <c r="J573" i="3" s="1"/>
  <c r="X891" i="1"/>
  <c r="J111" i="3" s="1"/>
  <c r="X892" i="1"/>
  <c r="J510" i="3" s="1"/>
  <c r="X893" i="1"/>
  <c r="J478" i="3" s="1"/>
  <c r="X894" i="1"/>
  <c r="J457" i="3" s="1"/>
  <c r="X895" i="1"/>
  <c r="J841" i="3" s="1"/>
  <c r="X896" i="1"/>
  <c r="J428" i="3" s="1"/>
  <c r="X897" i="1"/>
  <c r="J362" i="3" s="1"/>
  <c r="X898" i="1"/>
  <c r="J623" i="3" s="1"/>
  <c r="X899" i="1"/>
  <c r="J854" i="3" s="1"/>
  <c r="X900" i="1"/>
  <c r="J963" i="3" s="1"/>
  <c r="X901" i="1"/>
  <c r="J564" i="3" s="1"/>
  <c r="X902" i="1"/>
  <c r="J612" i="3" s="1"/>
  <c r="X903" i="1"/>
  <c r="J346" i="3" s="1"/>
  <c r="X904" i="1"/>
  <c r="J184" i="3" s="1"/>
  <c r="X905" i="1"/>
  <c r="J188" i="3" s="1"/>
  <c r="X906" i="1"/>
  <c r="J945" i="3" s="1"/>
  <c r="X907" i="1"/>
  <c r="J655" i="3" s="1"/>
  <c r="X908" i="1"/>
  <c r="J765" i="3" s="1"/>
  <c r="X909" i="1"/>
  <c r="J143" i="3" s="1"/>
  <c r="X910" i="1"/>
  <c r="J37" i="3" s="1"/>
  <c r="X911" i="1"/>
  <c r="J45" i="3" s="1"/>
  <c r="X912" i="1"/>
  <c r="J360" i="3" s="1"/>
  <c r="X913" i="1"/>
  <c r="J197" i="3" s="1"/>
  <c r="X914" i="1"/>
  <c r="J303" i="3" s="1"/>
  <c r="X915" i="1"/>
  <c r="J274" i="3" s="1"/>
  <c r="X916" i="1"/>
  <c r="J27" i="3" s="1"/>
  <c r="X917" i="1"/>
  <c r="J707" i="3" s="1"/>
  <c r="X918" i="1"/>
  <c r="J402" i="3" s="1"/>
  <c r="X919" i="1"/>
  <c r="J618" i="3" s="1"/>
  <c r="X920" i="1"/>
  <c r="J379" i="3" s="1"/>
  <c r="X921" i="1"/>
  <c r="J176" i="3" s="1"/>
  <c r="X922" i="1"/>
  <c r="J878" i="3" s="1"/>
  <c r="X923" i="1"/>
  <c r="J287" i="3" s="1"/>
  <c r="X924" i="1"/>
  <c r="J286" i="3" s="1"/>
  <c r="X925" i="1"/>
  <c r="J299" i="3" s="1"/>
  <c r="X926" i="1"/>
  <c r="J61" i="3" s="1"/>
  <c r="X927" i="1"/>
  <c r="J282" i="3" s="1"/>
  <c r="X928" i="1"/>
  <c r="J835" i="3" s="1"/>
  <c r="X929" i="1"/>
  <c r="J1000" i="3" s="1"/>
  <c r="X930" i="1"/>
  <c r="J208" i="3" s="1"/>
  <c r="X931" i="1"/>
  <c r="J936" i="3" s="1"/>
  <c r="X932" i="1"/>
  <c r="J574" i="3" s="1"/>
  <c r="X933" i="1"/>
  <c r="J944" i="3" s="1"/>
  <c r="X934" i="1"/>
  <c r="J477" i="3" s="1"/>
  <c r="X935" i="1"/>
  <c r="J716" i="3" s="1"/>
  <c r="X936" i="1"/>
  <c r="J568" i="3" s="1"/>
  <c r="X937" i="1"/>
  <c r="J850" i="3" s="1"/>
  <c r="X938" i="1"/>
  <c r="J432" i="3" s="1"/>
  <c r="X939" i="1"/>
  <c r="J971" i="3" s="1"/>
  <c r="X940" i="1"/>
  <c r="J359" i="3" s="1"/>
  <c r="X941" i="1"/>
  <c r="J662" i="3" s="1"/>
  <c r="X942" i="1"/>
  <c r="J593" i="3" s="1"/>
  <c r="X943" i="1"/>
  <c r="J582" i="3" s="1"/>
  <c r="X944" i="1"/>
  <c r="J543" i="3" s="1"/>
  <c r="X945" i="1"/>
  <c r="J382" i="3" s="1"/>
  <c r="X946" i="1"/>
  <c r="J122" i="3" s="1"/>
  <c r="X947" i="1"/>
  <c r="J886" i="3" s="1"/>
  <c r="X948" i="1"/>
  <c r="J517" i="3" s="1"/>
  <c r="X949" i="1"/>
  <c r="J587" i="3" s="1"/>
  <c r="X950" i="1"/>
  <c r="J805" i="3" s="1"/>
  <c r="X951" i="1"/>
  <c r="J870" i="3" s="1"/>
  <c r="X952" i="1"/>
  <c r="J480" i="3" s="1"/>
  <c r="X953" i="1"/>
  <c r="J391" i="3" s="1"/>
  <c r="X954" i="1"/>
  <c r="J351" i="3" s="1"/>
  <c r="X955" i="1"/>
  <c r="J41" i="3" s="1"/>
  <c r="X956" i="1"/>
  <c r="J872" i="3" s="1"/>
  <c r="X957" i="1"/>
  <c r="J828" i="3" s="1"/>
  <c r="X958" i="1"/>
  <c r="J94" i="3" s="1"/>
  <c r="X959" i="1"/>
  <c r="J676" i="3" s="1"/>
  <c r="X960" i="1"/>
  <c r="J142" i="3" s="1"/>
  <c r="X961" i="1"/>
  <c r="J964" i="3" s="1"/>
  <c r="X962" i="1"/>
  <c r="J181" i="3" s="1"/>
  <c r="X963" i="1"/>
  <c r="J948" i="3" s="1"/>
  <c r="X964" i="1"/>
  <c r="J616" i="3" s="1"/>
  <c r="X965" i="1"/>
  <c r="J544" i="3" s="1"/>
  <c r="X966" i="1"/>
  <c r="J39" i="3" s="1"/>
  <c r="X967" i="1"/>
  <c r="J394" i="3" s="1"/>
  <c r="X968" i="1"/>
  <c r="J419" i="3" s="1"/>
  <c r="X969" i="1"/>
  <c r="J636" i="3" s="1"/>
  <c r="X970" i="1"/>
  <c r="J852" i="3" s="1"/>
  <c r="X971" i="1"/>
  <c r="J292" i="3" s="1"/>
  <c r="X972" i="1"/>
  <c r="J794" i="3" s="1"/>
  <c r="X973" i="1"/>
  <c r="J726" i="3" s="1"/>
  <c r="X974" i="1"/>
  <c r="J894" i="3" s="1"/>
  <c r="X975" i="1"/>
  <c r="J658" i="3" s="1"/>
  <c r="X976" i="1"/>
  <c r="J434" i="3" s="1"/>
  <c r="X977" i="1"/>
  <c r="J199" i="3" s="1"/>
  <c r="X978" i="1"/>
  <c r="J575" i="3" s="1"/>
  <c r="X979" i="1"/>
  <c r="J74" i="3" s="1"/>
  <c r="X980" i="1"/>
  <c r="J822" i="3" s="1"/>
  <c r="X981" i="1"/>
  <c r="J433" i="3" s="1"/>
  <c r="X982" i="1"/>
  <c r="J309" i="3" s="1"/>
  <c r="X983" i="1"/>
  <c r="J842" i="3" s="1"/>
  <c r="X984" i="1"/>
  <c r="J524" i="3" s="1"/>
  <c r="X985" i="1"/>
  <c r="J268" i="3" s="1"/>
  <c r="X986" i="1"/>
  <c r="J328" i="3" s="1"/>
  <c r="X987" i="1"/>
  <c r="J5" i="3" s="1"/>
  <c r="X988" i="1"/>
  <c r="J840" i="3" s="1"/>
  <c r="X989" i="1"/>
  <c r="J660" i="3" s="1"/>
  <c r="X990" i="1"/>
  <c r="J914" i="3" s="1"/>
  <c r="X991" i="1"/>
  <c r="J595" i="3" s="1"/>
  <c r="X992" i="1"/>
  <c r="J962" i="3" s="1"/>
  <c r="X993" i="1"/>
  <c r="J53" i="3" s="1"/>
  <c r="X994" i="1"/>
  <c r="J226" i="3" s="1"/>
  <c r="X995" i="1"/>
  <c r="J368" i="3" s="1"/>
  <c r="X996" i="1"/>
  <c r="J678" i="3" s="1"/>
  <c r="X997" i="1"/>
  <c r="J101" i="3" s="1"/>
  <c r="X998" i="1"/>
  <c r="J839" i="3" s="1"/>
  <c r="X999" i="1"/>
  <c r="J599" i="3" s="1"/>
  <c r="X1000" i="1"/>
  <c r="J370" i="3" s="1"/>
  <c r="X1001" i="1"/>
  <c r="J620" i="3" s="1"/>
  <c r="L227" i="3"/>
  <c r="L187" i="3"/>
  <c r="L565" i="3"/>
  <c r="L190" i="3"/>
  <c r="L40" i="3"/>
  <c r="L211" i="3"/>
  <c r="L855" i="3"/>
  <c r="L220" i="3"/>
  <c r="L530" i="3"/>
  <c r="L146" i="3"/>
  <c r="L75" i="3"/>
  <c r="L584" i="3"/>
  <c r="L263" i="3"/>
  <c r="L472" i="3"/>
  <c r="L124" i="3"/>
  <c r="L129" i="3"/>
  <c r="L92" i="3"/>
  <c r="L494" i="3"/>
  <c r="L251" i="3"/>
  <c r="L234" i="3"/>
  <c r="L246" i="3"/>
  <c r="L917" i="3"/>
  <c r="L683" i="3"/>
  <c r="L613" i="3"/>
  <c r="L352" i="3"/>
  <c r="L504" i="3"/>
  <c r="L923" i="3"/>
  <c r="L586" i="3"/>
  <c r="L508" i="3"/>
  <c r="L163" i="3"/>
  <c r="L210" i="3"/>
  <c r="L459" i="3"/>
  <c r="L784" i="3"/>
  <c r="L467" i="3"/>
  <c r="L11" i="3"/>
  <c r="L972" i="3"/>
  <c r="L654" i="3"/>
  <c r="L496" i="3"/>
  <c r="L248" i="3"/>
  <c r="L493" i="3"/>
  <c r="L357" i="3"/>
  <c r="L861" i="3"/>
  <c r="L798" i="3"/>
  <c r="L904" i="3"/>
  <c r="L750" i="3"/>
  <c r="L243" i="3"/>
  <c r="L497" i="3"/>
  <c r="L795" i="3"/>
  <c r="L267" i="3"/>
  <c r="L578" i="3"/>
  <c r="L912" i="3"/>
  <c r="L232" i="3"/>
  <c r="L235" i="3"/>
  <c r="L337" i="3"/>
  <c r="L671" i="3"/>
  <c r="L66" i="3"/>
  <c r="L673" i="3"/>
  <c r="L388" i="3"/>
  <c r="L150" i="3"/>
  <c r="L485" i="3"/>
  <c r="L9" i="3"/>
  <c r="L718" i="3"/>
  <c r="L22" i="3"/>
  <c r="L34" i="3"/>
  <c r="L632" i="3"/>
  <c r="L724" i="3"/>
  <c r="L46" i="3"/>
  <c r="L156" i="3"/>
  <c r="L601" i="3"/>
  <c r="L170" i="3"/>
  <c r="L877" i="3"/>
  <c r="L475" i="3"/>
  <c r="L659" i="3"/>
  <c r="L25" i="3"/>
  <c r="L946" i="3"/>
  <c r="L875" i="3"/>
  <c r="L567" i="3"/>
  <c r="L729" i="3"/>
  <c r="L959" i="3"/>
  <c r="L93" i="3"/>
  <c r="L195" i="3"/>
  <c r="L652" i="3"/>
  <c r="L155" i="3"/>
  <c r="L638" i="3"/>
  <c r="L591" i="3"/>
  <c r="L476" i="3"/>
  <c r="L727" i="3"/>
  <c r="L666" i="3"/>
  <c r="L254" i="3"/>
  <c r="L280" i="3"/>
  <c r="L957" i="3"/>
  <c r="L85" i="3"/>
  <c r="L67" i="3"/>
  <c r="L399" i="3"/>
  <c r="L899" i="3"/>
  <c r="L372" i="3"/>
  <c r="L834" i="3"/>
  <c r="L723" i="3"/>
  <c r="L776" i="3"/>
  <c r="L43" i="3"/>
  <c r="L725" i="3"/>
  <c r="L97" i="3"/>
  <c r="L824" i="3"/>
  <c r="L702" i="3"/>
  <c r="L796" i="3"/>
  <c r="L335" i="3"/>
  <c r="L311" i="3"/>
  <c r="L820" i="3"/>
  <c r="L668" i="3"/>
  <c r="L294" i="3"/>
  <c r="L769" i="3"/>
  <c r="L746" i="3"/>
  <c r="L332" i="3"/>
  <c r="L408" i="3"/>
  <c r="L88" i="3"/>
  <c r="L259" i="3"/>
  <c r="L523" i="3"/>
  <c r="L406" i="3"/>
  <c r="L21" i="3"/>
  <c r="L553" i="3"/>
  <c r="L847" i="3"/>
  <c r="L756" i="3"/>
  <c r="L206" i="3"/>
  <c r="L682" i="3"/>
  <c r="L395" i="3"/>
  <c r="L374" i="3"/>
  <c r="L24" i="3"/>
  <c r="L159" i="3"/>
  <c r="L641" i="3"/>
  <c r="L866" i="3"/>
  <c r="L602" i="3"/>
  <c r="L506" i="3"/>
  <c r="L801" i="3"/>
  <c r="L566" i="3"/>
  <c r="L356" i="3"/>
  <c r="L17" i="3"/>
  <c r="L445" i="3"/>
  <c r="L107" i="3"/>
  <c r="L469" i="3"/>
  <c r="L996" i="3"/>
  <c r="L490" i="3"/>
  <c r="L125" i="3"/>
  <c r="L32" i="3"/>
  <c r="L127" i="3"/>
  <c r="L763" i="3"/>
  <c r="L13" i="3"/>
  <c r="L766" i="3"/>
  <c r="L377" i="3"/>
  <c r="L528" i="3"/>
  <c r="L692" i="3"/>
  <c r="L451" i="3"/>
  <c r="L755" i="3"/>
  <c r="L787" i="3"/>
  <c r="L76" i="3"/>
  <c r="L354" i="3"/>
  <c r="L405" i="3"/>
  <c r="L892" i="3"/>
  <c r="L767" i="3"/>
  <c r="L986" i="3"/>
  <c r="L581" i="3"/>
  <c r="L706" i="3"/>
  <c r="L481" i="3"/>
  <c r="L166" i="3"/>
  <c r="L264" i="3"/>
  <c r="L318" i="3"/>
  <c r="L300" i="3"/>
  <c r="L965" i="3"/>
  <c r="L73" i="3"/>
  <c r="L60" i="3"/>
  <c r="L257" i="3"/>
  <c r="L228" i="3"/>
  <c r="L690" i="3"/>
  <c r="L721" i="3"/>
  <c r="L279" i="3"/>
  <c r="L561" i="3"/>
  <c r="L138" i="3"/>
  <c r="L461" i="3"/>
  <c r="L429" i="3"/>
  <c r="L174" i="3"/>
  <c r="L974" i="3"/>
  <c r="L380" i="3"/>
  <c r="L777" i="3"/>
  <c r="L342" i="3"/>
  <c r="L441" i="3"/>
  <c r="L83" i="3"/>
  <c r="L225" i="3"/>
  <c r="L509" i="3"/>
  <c r="L933" i="3"/>
  <c r="L486" i="3"/>
  <c r="L563" i="3"/>
  <c r="L736" i="3"/>
  <c r="L607" i="3"/>
  <c r="L955" i="3"/>
  <c r="L495" i="3"/>
  <c r="L961" i="3"/>
  <c r="L57" i="3"/>
  <c r="L831" i="3"/>
  <c r="L786" i="3"/>
  <c r="L158" i="3"/>
  <c r="L213" i="3"/>
  <c r="L145" i="3"/>
  <c r="L609" i="3"/>
  <c r="L670" i="3"/>
  <c r="L932" i="3"/>
  <c r="L903" i="3"/>
  <c r="L177" i="3"/>
  <c r="L105" i="3"/>
  <c r="L819" i="3"/>
  <c r="L674" i="3"/>
  <c r="L799" i="3"/>
  <c r="L735" i="3"/>
  <c r="L976" i="3"/>
  <c r="L995" i="3"/>
  <c r="L661" i="3"/>
  <c r="L348" i="3"/>
  <c r="L511" i="3"/>
  <c r="L49" i="3"/>
  <c r="L281" i="3"/>
  <c r="L449" i="3"/>
  <c r="L439" i="3"/>
  <c r="L677" i="3"/>
  <c r="L879" i="3"/>
  <c r="L330" i="3"/>
  <c r="L554" i="3"/>
  <c r="L414" i="3"/>
  <c r="L610" i="3"/>
  <c r="L272" i="3"/>
  <c r="L258" i="3"/>
  <c r="L807" i="3"/>
  <c r="L316" i="3"/>
  <c r="L460" i="3"/>
  <c r="L947" i="3"/>
  <c r="L260" i="3"/>
  <c r="L930" i="3"/>
  <c r="L549" i="3"/>
  <c r="L867" i="3"/>
  <c r="L353" i="3"/>
  <c r="L649" i="3"/>
  <c r="L653" i="3"/>
  <c r="L48" i="3"/>
  <c r="L844" i="3"/>
  <c r="L425" i="3"/>
  <c r="L764" i="3"/>
  <c r="L3" i="3"/>
  <c r="L908" i="3"/>
  <c r="L321" i="3"/>
  <c r="L455" i="3"/>
  <c r="L202" i="3"/>
  <c r="L131" i="3"/>
  <c r="L68" i="3"/>
  <c r="L373" i="3"/>
  <c r="L390" i="3"/>
  <c r="L422" i="3"/>
  <c r="L371" i="3"/>
  <c r="L817" i="3"/>
  <c r="L290" i="3"/>
  <c r="L194" i="3"/>
  <c r="L112" i="3"/>
  <c r="L103" i="3"/>
  <c r="L977" i="3"/>
  <c r="L583" i="3"/>
  <c r="L521" i="3"/>
  <c r="L376" i="3"/>
  <c r="L640" i="3"/>
  <c r="L705" i="3"/>
  <c r="L606" i="3"/>
  <c r="L307" i="3"/>
  <c r="L829" i="3"/>
  <c r="L675" i="3"/>
  <c r="L133" i="3"/>
  <c r="L411" i="3"/>
  <c r="L758" i="3"/>
  <c r="L687" i="3"/>
  <c r="L277" i="3"/>
  <c r="L552" i="3"/>
  <c r="L838" i="3"/>
  <c r="L474" i="3"/>
  <c r="L732" i="3"/>
  <c r="L136" i="3"/>
  <c r="L739" i="3"/>
  <c r="L598" i="3"/>
  <c r="L224" i="3"/>
  <c r="L320" i="3"/>
  <c r="L811" i="3"/>
  <c r="L59" i="3"/>
  <c r="L781" i="3"/>
  <c r="L343" i="3"/>
  <c r="L113" i="3"/>
  <c r="L198" i="3"/>
  <c r="L42" i="3"/>
  <c r="L8" i="3"/>
  <c r="L710" i="3"/>
  <c r="L967" i="3"/>
  <c r="L164" i="3"/>
  <c r="L90" i="3"/>
  <c r="L627" i="3"/>
  <c r="L256" i="3"/>
  <c r="L611" i="3"/>
  <c r="L180" i="3"/>
  <c r="L920" i="3"/>
  <c r="L147" i="3"/>
  <c r="L396" i="3"/>
  <c r="L634" i="3"/>
  <c r="L905" i="3"/>
  <c r="L140" i="3"/>
  <c r="L269" i="3"/>
  <c r="L325" i="3"/>
  <c r="L910" i="3"/>
  <c r="L344" i="3"/>
  <c r="L102" i="3"/>
  <c r="L52" i="3"/>
  <c r="L720" i="3"/>
  <c r="L207" i="3"/>
  <c r="L931" i="3"/>
  <c r="L988" i="3"/>
  <c r="L479" i="3"/>
  <c r="L859" i="3"/>
  <c r="L410" i="3"/>
  <c r="L386" i="3"/>
  <c r="L531" i="3"/>
  <c r="L483" i="3"/>
  <c r="L759" i="3"/>
  <c r="L748" i="3"/>
  <c r="L296" i="3"/>
  <c r="L651" i="3"/>
  <c r="L397" i="3"/>
  <c r="L551" i="3"/>
  <c r="L491" i="3"/>
  <c r="L891" i="3"/>
  <c r="L907" i="3"/>
  <c r="L830" i="3"/>
  <c r="L51" i="3"/>
  <c r="L592" i="3"/>
  <c r="L555" i="3"/>
  <c r="L378" i="3"/>
  <c r="L542" i="3"/>
  <c r="L31" i="3"/>
  <c r="L966" i="3"/>
  <c r="L913" i="3"/>
  <c r="L827" i="3"/>
  <c r="L818" i="3"/>
  <c r="L319" i="3"/>
  <c r="L950" i="3"/>
  <c r="L752" i="3"/>
  <c r="L503" i="3"/>
  <c r="L743" i="3"/>
  <c r="L70" i="3"/>
  <c r="L392" i="3"/>
  <c r="L236" i="3"/>
  <c r="L154" i="3"/>
  <c r="L617" i="3"/>
  <c r="L275" i="3"/>
  <c r="L516" i="3"/>
  <c r="L492" i="3"/>
  <c r="L250" i="3"/>
  <c r="L949" i="3"/>
  <c r="L252" i="3"/>
  <c r="L982" i="3"/>
  <c r="L262" i="3"/>
  <c r="L62" i="3"/>
  <c r="L546" i="3"/>
  <c r="L837" i="3"/>
  <c r="L426" i="3"/>
  <c r="L452" i="3"/>
  <c r="L240" i="3"/>
  <c r="L628" i="3"/>
  <c r="L605" i="3"/>
  <c r="L761" i="3"/>
  <c r="L358" i="3"/>
  <c r="L18" i="3"/>
  <c r="L324" i="3"/>
  <c r="L643" i="3"/>
  <c r="L644" i="3"/>
  <c r="L803" i="3"/>
  <c r="L622" i="3"/>
  <c r="L420" i="3"/>
  <c r="L415" i="3"/>
  <c r="L529" i="3"/>
  <c r="L656" i="3"/>
  <c r="L821" i="3"/>
  <c r="L669" i="3"/>
  <c r="L887" i="3"/>
  <c r="L91" i="3"/>
  <c r="L813" i="3"/>
  <c r="L856" i="3"/>
  <c r="L448" i="3"/>
  <c r="L757" i="3"/>
  <c r="L667" i="3"/>
  <c r="L719" i="3"/>
  <c r="L883" i="3"/>
  <c r="L664" i="3"/>
  <c r="L921" i="3"/>
  <c r="L168" i="3"/>
  <c r="L630" i="3"/>
  <c r="L639" i="3"/>
  <c r="L865" i="3"/>
  <c r="L364" i="3"/>
  <c r="L473" i="3"/>
  <c r="L956" i="3"/>
  <c r="L418" i="3"/>
  <c r="L526" i="3"/>
  <c r="L833" i="3"/>
  <c r="L186" i="3"/>
  <c r="L981" i="3"/>
  <c r="L540" i="3"/>
  <c r="L846" i="3"/>
  <c r="L985" i="3"/>
  <c r="L559" i="3"/>
  <c r="L499" i="3"/>
  <c r="L36" i="3"/>
  <c r="L400" i="3"/>
  <c r="L925" i="3"/>
  <c r="L326" i="3"/>
  <c r="L89" i="3"/>
  <c r="L462" i="3"/>
  <c r="L754" i="3"/>
  <c r="L218" i="3"/>
  <c r="L118" i="3"/>
  <c r="L881" i="3"/>
  <c r="L327" i="3"/>
  <c r="L512" i="3"/>
  <c r="L522" i="3"/>
  <c r="L871" i="3"/>
  <c r="L747" i="3"/>
  <c r="L520" i="3"/>
  <c r="L306" i="3"/>
  <c r="L888" i="3"/>
  <c r="L430" i="3"/>
  <c r="L444" i="3"/>
  <c r="L704" i="3"/>
  <c r="L295" i="3"/>
  <c r="L149" i="3"/>
  <c r="L700" i="3"/>
  <c r="L728" i="3"/>
  <c r="L284" i="3"/>
  <c r="L937" i="3"/>
  <c r="L547" i="3"/>
  <c r="L139" i="3"/>
  <c r="L731" i="3"/>
  <c r="L951" i="3"/>
  <c r="L911" i="3"/>
  <c r="L749" i="3"/>
  <c r="L952" i="3"/>
  <c r="L697" i="3"/>
  <c r="L87" i="3"/>
  <c r="L204" i="3"/>
  <c r="L958" i="3"/>
  <c r="L615" i="3"/>
  <c r="L169" i="3"/>
  <c r="L717" i="3"/>
  <c r="L624" i="3"/>
  <c r="L621" i="3"/>
  <c r="L435" i="3"/>
  <c r="L215" i="3"/>
  <c r="L815" i="3"/>
  <c r="L782" i="3"/>
  <c r="L637" i="3"/>
  <c r="L404" i="3"/>
  <c r="L253" i="3"/>
  <c r="L385" i="3"/>
  <c r="L572" i="3"/>
  <c r="L845" i="3"/>
  <c r="L608" i="3"/>
  <c r="L816" i="3"/>
  <c r="L329" i="3"/>
  <c r="L940" i="3"/>
  <c r="L505" i="3"/>
  <c r="L588" i="3"/>
  <c r="L745" i="3"/>
  <c r="L242" i="3"/>
  <c r="L953" i="3"/>
  <c r="L979" i="3"/>
  <c r="L775" i="3"/>
  <c r="L502" i="3"/>
  <c r="L941" i="3"/>
  <c r="L407" i="3"/>
  <c r="L991" i="3"/>
  <c r="L983" i="3"/>
  <c r="L968" i="3"/>
  <c r="L926" i="3"/>
  <c r="L810" i="3"/>
  <c r="L28" i="3"/>
  <c r="L809" i="3"/>
  <c r="L100" i="3"/>
  <c r="L341" i="3"/>
  <c r="L312" i="3"/>
  <c r="L814" i="3"/>
  <c r="L515" i="3"/>
  <c r="L84" i="3"/>
  <c r="L19" i="3"/>
  <c r="L895" i="3"/>
  <c r="L699" i="3"/>
  <c r="L989" i="3"/>
  <c r="L33" i="3"/>
  <c r="L470" i="3"/>
  <c r="L938" i="3"/>
  <c r="L500" i="3"/>
  <c r="L576" i="3"/>
  <c r="L431" i="3"/>
  <c r="L173" i="3"/>
  <c r="L751" i="3"/>
  <c r="L104" i="3"/>
  <c r="L363" i="3"/>
  <c r="L15" i="3"/>
  <c r="L436" i="3"/>
  <c r="L498" i="3"/>
  <c r="L484" i="3"/>
  <c r="L545" i="3"/>
  <c r="L403" i="3"/>
  <c r="L347" i="3"/>
  <c r="L691" i="3"/>
  <c r="L722" i="3"/>
  <c r="L806" i="3"/>
  <c r="L730" i="3"/>
  <c r="L301" i="3"/>
  <c r="L626" i="3"/>
  <c r="L38" i="3"/>
  <c r="L212" i="3"/>
  <c r="L849" i="3"/>
  <c r="L135" i="3"/>
  <c r="L121" i="3"/>
  <c r="L633" i="3"/>
  <c r="L331" i="3"/>
  <c r="L141" i="3"/>
  <c r="L128" i="3"/>
  <c r="L20" i="3"/>
  <c r="L684" i="3"/>
  <c r="L579" i="3"/>
  <c r="L239" i="3"/>
  <c r="L960" i="3"/>
  <c r="L665" i="3"/>
  <c r="L832" i="3"/>
  <c r="L205" i="3"/>
  <c r="L182" i="3"/>
  <c r="L172" i="3"/>
  <c r="L247" i="3"/>
  <c r="L772" i="3"/>
  <c r="L393" i="3"/>
  <c r="L80" i="3"/>
  <c r="L468" i="3"/>
  <c r="L768" i="3"/>
  <c r="L443" i="3"/>
  <c r="L918" i="3"/>
  <c r="L96" i="3"/>
  <c r="L416" i="3"/>
  <c r="L366" i="3"/>
  <c r="L681" i="3"/>
  <c r="L365" i="3"/>
  <c r="L935" i="3"/>
  <c r="L915" i="3"/>
  <c r="L2" i="3"/>
  <c r="L998" i="3"/>
  <c r="L514" i="3"/>
  <c r="L427" i="3"/>
  <c r="L209" i="3"/>
  <c r="L647" i="3"/>
  <c r="L885" i="3"/>
  <c r="L361" i="3"/>
  <c r="L77" i="3"/>
  <c r="L293" i="3"/>
  <c r="L927" i="3"/>
  <c r="L265" i="3"/>
  <c r="L81" i="3"/>
  <c r="L333" i="3"/>
  <c r="L890" i="3"/>
  <c r="L482" i="3"/>
  <c r="L266" i="3"/>
  <c r="L230" i="3"/>
  <c r="L255" i="3"/>
  <c r="L823" i="3"/>
  <c r="L466" i="3"/>
  <c r="L860" i="3"/>
  <c r="L737" i="3"/>
  <c r="L30" i="3"/>
  <c r="L802" i="3"/>
  <c r="L72" i="3"/>
  <c r="L119" i="3"/>
  <c r="L629" i="3"/>
  <c r="L217" i="3"/>
  <c r="L450" i="3"/>
  <c r="L44" i="3"/>
  <c r="L148" i="3"/>
  <c r="L345" i="3"/>
  <c r="L788" i="3"/>
  <c r="L778" i="3"/>
  <c r="L858" i="3"/>
  <c r="L812" i="3"/>
  <c r="L789" i="3"/>
  <c r="L340" i="3"/>
  <c r="L694" i="3"/>
  <c r="L401" i="3"/>
  <c r="L109" i="3"/>
  <c r="L302" i="3"/>
  <c r="L315" i="3"/>
  <c r="L790" i="3"/>
  <c r="L934" i="3"/>
  <c r="L214" i="3"/>
  <c r="L16" i="3"/>
  <c r="L698" i="3"/>
  <c r="L219" i="3"/>
  <c r="L862" i="3"/>
  <c r="L715" i="3"/>
  <c r="L216" i="3"/>
  <c r="L999" i="3"/>
  <c r="L442" i="3"/>
  <c r="L740" i="3"/>
  <c r="L797" i="3"/>
  <c r="L193" i="3"/>
  <c r="L571" i="3"/>
  <c r="L456" i="3"/>
  <c r="L151" i="3"/>
  <c r="L115" i="3"/>
  <c r="L350" i="3"/>
  <c r="L398" i="3"/>
  <c r="L389" i="3"/>
  <c r="L646" i="3"/>
  <c r="L680" i="3"/>
  <c r="L237" i="3"/>
  <c r="L58" i="3"/>
  <c r="L631" i="3"/>
  <c r="L488" i="3"/>
  <c r="L120" i="3"/>
  <c r="L71" i="3"/>
  <c r="L152" i="3"/>
  <c r="L200" i="3"/>
  <c r="L438" i="3"/>
  <c r="L409" i="3"/>
  <c r="L689" i="3"/>
  <c r="L826" i="3"/>
  <c r="L261" i="3"/>
  <c r="L99" i="3"/>
  <c r="L196" i="3"/>
  <c r="L233" i="3"/>
  <c r="L589" i="3"/>
  <c r="L532" i="3"/>
  <c r="L12" i="3"/>
  <c r="L10" i="3"/>
  <c r="L987" i="3"/>
  <c r="L463" i="3"/>
  <c r="L973" i="3"/>
  <c r="L556" i="3"/>
  <c r="L734" i="3"/>
  <c r="L645" i="3"/>
  <c r="L663" i="3"/>
  <c r="L843" i="3"/>
  <c r="L686" i="3"/>
  <c r="L685" i="3"/>
  <c r="L82" i="3"/>
  <c r="L383" i="3"/>
  <c r="L137" i="3"/>
  <c r="L738" i="3"/>
  <c r="L26" i="3"/>
  <c r="L423" i="3"/>
  <c r="L650" i="3"/>
  <c r="L465" i="3"/>
  <c r="L56" i="3"/>
  <c r="L513" i="3"/>
  <c r="L541" i="3"/>
  <c r="L231" i="3"/>
  <c r="L454" i="3"/>
  <c r="L857" i="3"/>
  <c r="L298" i="3"/>
  <c r="L600" i="3"/>
  <c r="L744" i="3"/>
  <c r="L249" i="3"/>
  <c r="L238" i="3"/>
  <c r="L590" i="3"/>
  <c r="L201" i="3"/>
  <c r="L825" i="3"/>
  <c r="L310" i="3"/>
  <c r="L939" i="3"/>
  <c r="L313" i="3"/>
  <c r="L203" i="3"/>
  <c r="L548" i="3"/>
  <c r="L160" i="3"/>
  <c r="L942" i="3"/>
  <c r="L791" i="3"/>
  <c r="L901" i="3"/>
  <c r="L69" i="3"/>
  <c r="L305" i="3"/>
  <c r="L742" i="3"/>
  <c r="L412" i="3"/>
  <c r="L464" i="3"/>
  <c r="L35" i="3"/>
  <c r="L525" i="3"/>
  <c r="L975" i="3"/>
  <c r="L657" i="3"/>
  <c r="L874" i="3"/>
  <c r="L909" i="3"/>
  <c r="L106" i="3"/>
  <c r="L760" i="3"/>
  <c r="L889" i="3"/>
  <c r="L648" i="3"/>
  <c r="L848" i="3"/>
  <c r="L153" i="3"/>
  <c r="L183" i="3"/>
  <c r="L708" i="3"/>
  <c r="L440" i="3"/>
  <c r="L603" i="3"/>
  <c r="L55" i="3"/>
  <c r="L447" i="3"/>
  <c r="L519" i="3"/>
  <c r="L245" i="3"/>
  <c r="L906" i="3"/>
  <c r="L741" i="3"/>
  <c r="L421" i="3"/>
  <c r="L110" i="3"/>
  <c r="L375" i="3"/>
  <c r="L970" i="3"/>
  <c r="L223" i="3"/>
  <c r="L558" i="3"/>
  <c r="L762" i="3"/>
  <c r="L916" i="3"/>
  <c r="L585" i="3"/>
  <c r="L175" i="3"/>
  <c r="L919" i="3"/>
  <c r="L518" i="3"/>
  <c r="L289" i="3"/>
  <c r="L774" i="3"/>
  <c r="L594" i="3"/>
  <c r="L943" i="3"/>
  <c r="L992" i="3"/>
  <c r="L993" i="3"/>
  <c r="L853" i="3"/>
  <c r="L270" i="3"/>
  <c r="L278" i="3"/>
  <c r="L157" i="3"/>
  <c r="L165" i="3"/>
  <c r="L997" i="3"/>
  <c r="L785" i="3"/>
  <c r="L98" i="3"/>
  <c r="L635" i="3"/>
  <c r="L229" i="3"/>
  <c r="L417" i="3"/>
  <c r="L54" i="3"/>
  <c r="L884" i="3"/>
  <c r="L783" i="3"/>
  <c r="L873" i="3"/>
  <c r="L171" i="3"/>
  <c r="L167" i="3"/>
  <c r="L189" i="3"/>
  <c r="L928" i="3"/>
  <c r="L349" i="3"/>
  <c r="L897" i="3"/>
  <c r="L86" i="3"/>
  <c r="L317" i="3"/>
  <c r="L954" i="3"/>
  <c r="L701" i="3"/>
  <c r="L501" i="3"/>
  <c r="L527" i="3"/>
  <c r="L978" i="3"/>
  <c r="L458" i="3"/>
  <c r="L733" i="3"/>
  <c r="L6" i="3"/>
  <c r="L384" i="3"/>
  <c r="L800" i="3"/>
  <c r="L144" i="3"/>
  <c r="L132" i="3"/>
  <c r="L533" i="3"/>
  <c r="L117" i="3"/>
  <c r="L79" i="3"/>
  <c r="L123" i="3"/>
  <c r="L304" i="3"/>
  <c r="L619" i="3"/>
  <c r="L984" i="3"/>
  <c r="L535" i="3"/>
  <c r="L779" i="3"/>
  <c r="L244" i="3"/>
  <c r="L367" i="3"/>
  <c r="L868" i="3"/>
  <c r="L283" i="3"/>
  <c r="L387" i="3"/>
  <c r="L308" i="3"/>
  <c r="L773" i="3"/>
  <c r="L713" i="3"/>
  <c r="L271" i="3"/>
  <c r="L893" i="3"/>
  <c r="L111" i="3"/>
  <c r="L510" i="3"/>
  <c r="L478" i="3"/>
  <c r="L457" i="3"/>
  <c r="L841" i="3"/>
  <c r="L428" i="3"/>
  <c r="L362" i="3"/>
  <c r="L854" i="3"/>
  <c r="L963" i="3"/>
  <c r="L564" i="3"/>
  <c r="L612" i="3"/>
  <c r="L346" i="3"/>
  <c r="L184" i="3"/>
  <c r="L188" i="3"/>
  <c r="L655" i="3"/>
  <c r="L765" i="3"/>
  <c r="L143" i="3"/>
  <c r="L37" i="3"/>
  <c r="L45" i="3"/>
  <c r="L360" i="3"/>
  <c r="L197" i="3"/>
  <c r="L274" i="3"/>
  <c r="L27" i="3"/>
  <c r="L707" i="3"/>
  <c r="L402" i="3"/>
  <c r="L618" i="3"/>
  <c r="L379" i="3"/>
  <c r="L176" i="3"/>
  <c r="L287" i="3"/>
  <c r="L286" i="3"/>
  <c r="L299" i="3"/>
  <c r="L61" i="3"/>
  <c r="L282" i="3"/>
  <c r="L835" i="3"/>
  <c r="L1000" i="3"/>
  <c r="L936" i="3"/>
  <c r="L574" i="3"/>
  <c r="L944" i="3"/>
  <c r="L477" i="3"/>
  <c r="L716" i="3"/>
  <c r="L568" i="3"/>
  <c r="L850" i="3"/>
  <c r="L971" i="3"/>
  <c r="L359" i="3"/>
  <c r="L662" i="3"/>
  <c r="L593" i="3"/>
  <c r="L582" i="3"/>
  <c r="L543" i="3"/>
  <c r="L382" i="3"/>
  <c r="L886" i="3"/>
  <c r="L517" i="3"/>
  <c r="L587" i="3"/>
  <c r="L805" i="3"/>
  <c r="L870" i="3"/>
  <c r="L480" i="3"/>
  <c r="L391" i="3"/>
  <c r="L41" i="3"/>
  <c r="L872" i="3"/>
  <c r="L828" i="3"/>
  <c r="L94" i="3"/>
  <c r="L676" i="3"/>
  <c r="L142" i="3"/>
  <c r="L964" i="3"/>
  <c r="L948" i="3"/>
  <c r="L616" i="3"/>
  <c r="L544" i="3"/>
  <c r="L39" i="3"/>
  <c r="L394" i="3"/>
  <c r="L419" i="3"/>
  <c r="L636" i="3"/>
  <c r="L292" i="3"/>
  <c r="L794" i="3"/>
  <c r="L726" i="3"/>
  <c r="L894" i="3"/>
  <c r="L658" i="3"/>
  <c r="L434" i="3"/>
  <c r="L199" i="3"/>
  <c r="L74" i="3"/>
  <c r="L822" i="3"/>
  <c r="L433" i="3"/>
  <c r="L309" i="3"/>
  <c r="L842" i="3"/>
  <c r="L524" i="3"/>
  <c r="L268" i="3"/>
  <c r="L5" i="3"/>
  <c r="L840" i="3"/>
  <c r="L660" i="3"/>
  <c r="L914" i="3"/>
  <c r="L595" i="3"/>
  <c r="L962" i="3"/>
  <c r="L53" i="3"/>
  <c r="L368" i="3"/>
  <c r="L678" i="3"/>
  <c r="L101" i="3"/>
  <c r="L839" i="3"/>
  <c r="L599" i="3"/>
  <c r="L370" i="3"/>
  <c r="L620" i="3"/>
  <c r="Z3" i="1"/>
  <c r="AA3" i="1" s="1"/>
  <c r="AB3" i="1" s="1"/>
  <c r="K227" i="3" s="1"/>
  <c r="Z4" i="1"/>
  <c r="AA4" i="1" s="1"/>
  <c r="AB4" i="1" s="1"/>
  <c r="K187" i="3" s="1"/>
  <c r="Z5" i="1"/>
  <c r="AA5" i="1" s="1"/>
  <c r="AB5" i="1" s="1"/>
  <c r="K565" i="3" s="1"/>
  <c r="Z6" i="1"/>
  <c r="AA6" i="1" s="1"/>
  <c r="AB6" i="1" s="1"/>
  <c r="K190" i="3" s="1"/>
  <c r="Z7" i="1"/>
  <c r="AA7" i="1" s="1"/>
  <c r="AB7" i="1" s="1"/>
  <c r="K40" i="3" s="1"/>
  <c r="Z8" i="1"/>
  <c r="AA8" i="1" s="1"/>
  <c r="AB8" i="1" s="1"/>
  <c r="K211" i="3" s="1"/>
  <c r="Z9" i="1"/>
  <c r="AA9" i="1" s="1"/>
  <c r="AB9" i="1" s="1"/>
  <c r="K446" i="3" s="1"/>
  <c r="Z10" i="1"/>
  <c r="AA10" i="1" s="1"/>
  <c r="AB10" i="1" s="1"/>
  <c r="K855" i="3" s="1"/>
  <c r="Z11" i="1"/>
  <c r="AA11" i="1" s="1"/>
  <c r="AB11" i="1" s="1"/>
  <c r="K220" i="3" s="1"/>
  <c r="Z12" i="1"/>
  <c r="AA12" i="1" s="1"/>
  <c r="AB12" i="1" s="1"/>
  <c r="K530" i="3" s="1"/>
  <c r="Z13" i="1"/>
  <c r="AA13" i="1" s="1"/>
  <c r="AB13" i="1" s="1"/>
  <c r="K146" i="3" s="1"/>
  <c r="Z14" i="1"/>
  <c r="AA14" i="1" s="1"/>
  <c r="AB14" i="1" s="1"/>
  <c r="K75" i="3" s="1"/>
  <c r="Z15" i="1"/>
  <c r="AA15" i="1" s="1"/>
  <c r="AB15" i="1" s="1"/>
  <c r="K584" i="3" s="1"/>
  <c r="Z16" i="1"/>
  <c r="AA16" i="1" s="1"/>
  <c r="AB16" i="1" s="1"/>
  <c r="K263" i="3" s="1"/>
  <c r="Z17" i="1"/>
  <c r="AA17" i="1" s="1"/>
  <c r="AB17" i="1" s="1"/>
  <c r="K472" i="3" s="1"/>
  <c r="Z18" i="1"/>
  <c r="AA18" i="1" s="1"/>
  <c r="AB18" i="1" s="1"/>
  <c r="K557" i="3" s="1"/>
  <c r="Z20" i="1"/>
  <c r="AA20" i="1" s="1"/>
  <c r="AB20" i="1" s="1"/>
  <c r="K129" i="3" s="1"/>
  <c r="Z21" i="1"/>
  <c r="AA21" i="1" s="1"/>
  <c r="AB21" i="1" s="1"/>
  <c r="K92" i="3" s="1"/>
  <c r="Z22" i="1"/>
  <c r="AA22" i="1" s="1"/>
  <c r="AB22" i="1" s="1"/>
  <c r="K494" i="3" s="1"/>
  <c r="Z23" i="1"/>
  <c r="AA23" i="1" s="1"/>
  <c r="AB23" i="1" s="1"/>
  <c r="K251" i="3" s="1"/>
  <c r="Z24" i="1"/>
  <c r="AA24" i="1" s="1"/>
  <c r="AB24" i="1" s="1"/>
  <c r="K234" i="3" s="1"/>
  <c r="Z25" i="1"/>
  <c r="AA25" i="1" s="1"/>
  <c r="AB25" i="1" s="1"/>
  <c r="K246" i="3" s="1"/>
  <c r="AA26" i="1"/>
  <c r="AB26" i="1" s="1"/>
  <c r="K161" i="3" s="1"/>
  <c r="Z27" i="1"/>
  <c r="AA27" i="1" s="1"/>
  <c r="AB27" i="1" s="1"/>
  <c r="K917" i="3" s="1"/>
  <c r="Z28" i="1"/>
  <c r="AA28" i="1" s="1"/>
  <c r="AB28" i="1" s="1"/>
  <c r="K683" i="3" s="1"/>
  <c r="Z29" i="1"/>
  <c r="AA29" i="1" s="1"/>
  <c r="AB29" i="1" s="1"/>
  <c r="K613" i="3" s="1"/>
  <c r="Z30" i="1"/>
  <c r="AA30" i="1" s="1"/>
  <c r="AB30" i="1" s="1"/>
  <c r="K352" i="3" s="1"/>
  <c r="Z31" i="1"/>
  <c r="AA31" i="1" s="1"/>
  <c r="AB31" i="1" s="1"/>
  <c r="K504" i="3" s="1"/>
  <c r="Z32" i="1"/>
  <c r="AA32" i="1" s="1"/>
  <c r="AB32" i="1" s="1"/>
  <c r="K923" i="3" s="1"/>
  <c r="Z33" i="1"/>
  <c r="AA33" i="1" s="1"/>
  <c r="AB33" i="1" s="1"/>
  <c r="K586" i="3" s="1"/>
  <c r="Z34" i="1"/>
  <c r="AA34" i="1" s="1"/>
  <c r="AB34" i="1" s="1"/>
  <c r="K381" i="3" s="1"/>
  <c r="Z35" i="1"/>
  <c r="AA35" i="1" s="1"/>
  <c r="AB35" i="1" s="1"/>
  <c r="K508" i="3" s="1"/>
  <c r="Z36" i="1"/>
  <c r="AA36" i="1" s="1"/>
  <c r="AB36" i="1" s="1"/>
  <c r="K163" i="3" s="1"/>
  <c r="Z37" i="1"/>
  <c r="AA37" i="1" s="1"/>
  <c r="AB37" i="1" s="1"/>
  <c r="K210" i="3" s="1"/>
  <c r="Z38" i="1"/>
  <c r="AA38" i="1" s="1"/>
  <c r="AB38" i="1" s="1"/>
  <c r="K459" i="3" s="1"/>
  <c r="Z39" i="1"/>
  <c r="AA39" i="1" s="1"/>
  <c r="AB39" i="1" s="1"/>
  <c r="K784" i="3" s="1"/>
  <c r="Z40" i="1"/>
  <c r="AA40" i="1" s="1"/>
  <c r="AB40" i="1" s="1"/>
  <c r="K467" i="3" s="1"/>
  <c r="Z41" i="1"/>
  <c r="AA41" i="1" s="1"/>
  <c r="AB41" i="1" s="1"/>
  <c r="K11" i="3" s="1"/>
  <c r="Z42" i="1"/>
  <c r="AA42" i="1" s="1"/>
  <c r="AB42" i="1" s="1"/>
  <c r="K23" i="3" s="1"/>
  <c r="Z43" i="1"/>
  <c r="AA43" i="1" s="1"/>
  <c r="AB43" i="1" s="1"/>
  <c r="K972" i="3" s="1"/>
  <c r="Z44" i="1"/>
  <c r="AA44" i="1" s="1"/>
  <c r="AB44" i="1" s="1"/>
  <c r="K654" i="3" s="1"/>
  <c r="Z45" i="1"/>
  <c r="AA45" i="1" s="1"/>
  <c r="AB45" i="1" s="1"/>
  <c r="K496" i="3" s="1"/>
  <c r="Z46" i="1"/>
  <c r="AA46" i="1" s="1"/>
  <c r="AB46" i="1" s="1"/>
  <c r="K248" i="3" s="1"/>
  <c r="Z47" i="1"/>
  <c r="AA47" i="1" s="1"/>
  <c r="AB47" i="1" s="1"/>
  <c r="K493" i="3" s="1"/>
  <c r="Z48" i="1"/>
  <c r="AA48" i="1" s="1"/>
  <c r="AB48" i="1" s="1"/>
  <c r="K357" i="3" s="1"/>
  <c r="Z49" i="1"/>
  <c r="AA49" i="1" s="1"/>
  <c r="AB49" i="1" s="1"/>
  <c r="K861" i="3" s="1"/>
  <c r="Z50" i="1"/>
  <c r="AA50" i="1" s="1"/>
  <c r="AB50" i="1" s="1"/>
  <c r="K864" i="3" s="1"/>
  <c r="Z51" i="1"/>
  <c r="AA51" i="1" s="1"/>
  <c r="AB51" i="1" s="1"/>
  <c r="K798" i="3" s="1"/>
  <c r="Z52" i="1"/>
  <c r="AA52" i="1" s="1"/>
  <c r="AB52" i="1" s="1"/>
  <c r="K904" i="3" s="1"/>
  <c r="Z53" i="1"/>
  <c r="AA53" i="1" s="1"/>
  <c r="AB53" i="1" s="1"/>
  <c r="K750" i="3" s="1"/>
  <c r="Z55" i="1"/>
  <c r="AA55" i="1" s="1"/>
  <c r="AB55" i="1" s="1"/>
  <c r="K497" i="3" s="1"/>
  <c r="Z56" i="1"/>
  <c r="AA56" i="1" s="1"/>
  <c r="AB56" i="1" s="1"/>
  <c r="K795" i="3" s="1"/>
  <c r="Z57" i="1"/>
  <c r="AA57" i="1" s="1"/>
  <c r="AB57" i="1" s="1"/>
  <c r="K267" i="3" s="1"/>
  <c r="Z58" i="1"/>
  <c r="AA58" i="1" s="1"/>
  <c r="AB58" i="1" s="1"/>
  <c r="K851" i="3" s="1"/>
  <c r="Z59" i="1"/>
  <c r="AA59" i="1" s="1"/>
  <c r="AB59" i="1" s="1"/>
  <c r="K578" i="3" s="1"/>
  <c r="Z60" i="1"/>
  <c r="AA60" i="1" s="1"/>
  <c r="AB60" i="1" s="1"/>
  <c r="K912" i="3" s="1"/>
  <c r="Z61" i="1"/>
  <c r="AA61" i="1" s="1"/>
  <c r="AB61" i="1" s="1"/>
  <c r="K232" i="3" s="1"/>
  <c r="Z62" i="1"/>
  <c r="AA62" i="1" s="1"/>
  <c r="AB62" i="1" s="1"/>
  <c r="K235" i="3" s="1"/>
  <c r="Z63" i="1"/>
  <c r="AA63" i="1" s="1"/>
  <c r="AB63" i="1" s="1"/>
  <c r="K337" i="3" s="1"/>
  <c r="Z64" i="1"/>
  <c r="AA64" i="1" s="1"/>
  <c r="AB64" i="1" s="1"/>
  <c r="K671" i="3" s="1"/>
  <c r="Z65" i="1"/>
  <c r="AA65" i="1" s="1"/>
  <c r="AB65" i="1" s="1"/>
  <c r="K66" i="3" s="1"/>
  <c r="Z66" i="1"/>
  <c r="AA66" i="1" s="1"/>
  <c r="AB66" i="1" s="1"/>
  <c r="K276" i="3" s="1"/>
  <c r="Z67" i="1"/>
  <c r="AA67" i="1" s="1"/>
  <c r="AB67" i="1" s="1"/>
  <c r="K673" i="3" s="1"/>
  <c r="Z68" i="1"/>
  <c r="AA68" i="1" s="1"/>
  <c r="AB68" i="1" s="1"/>
  <c r="K388" i="3" s="1"/>
  <c r="Z69" i="1"/>
  <c r="AA69" i="1" s="1"/>
  <c r="AB69" i="1" s="1"/>
  <c r="K150" i="3" s="1"/>
  <c r="Z70" i="1"/>
  <c r="AA70" i="1" s="1"/>
  <c r="AB70" i="1" s="1"/>
  <c r="K485" i="3" s="1"/>
  <c r="Z71" i="1"/>
  <c r="AA71" i="1" s="1"/>
  <c r="AB71" i="1" s="1"/>
  <c r="K9" i="3" s="1"/>
  <c r="Z72" i="1"/>
  <c r="AA72" i="1" s="1"/>
  <c r="AB72" i="1" s="1"/>
  <c r="K718" i="3" s="1"/>
  <c r="Z73" i="1"/>
  <c r="AA73" i="1" s="1"/>
  <c r="AB73" i="1" s="1"/>
  <c r="K22" i="3" s="1"/>
  <c r="Z74" i="1"/>
  <c r="AA74" i="1" s="1"/>
  <c r="AB74" i="1" s="1"/>
  <c r="K539" i="3" s="1"/>
  <c r="Z75" i="1"/>
  <c r="AA75" i="1" s="1"/>
  <c r="AB75" i="1" s="1"/>
  <c r="K34" i="3" s="1"/>
  <c r="Z76" i="1"/>
  <c r="AA76" i="1" s="1"/>
  <c r="AB76" i="1" s="1"/>
  <c r="K632" i="3" s="1"/>
  <c r="Z77" i="1"/>
  <c r="AA77" i="1" s="1"/>
  <c r="AB77" i="1" s="1"/>
  <c r="K724" i="3" s="1"/>
  <c r="Z78" i="1"/>
  <c r="AA78" i="1" s="1"/>
  <c r="AB78" i="1" s="1"/>
  <c r="K46" i="3" s="1"/>
  <c r="Z79" i="1"/>
  <c r="AA79" i="1" s="1"/>
  <c r="AB79" i="1" s="1"/>
  <c r="K156" i="3" s="1"/>
  <c r="Z80" i="1"/>
  <c r="AA80" i="1" s="1"/>
  <c r="AB80" i="1" s="1"/>
  <c r="K601" i="3" s="1"/>
  <c r="Z81" i="1"/>
  <c r="AA81" i="1" s="1"/>
  <c r="AB81" i="1" s="1"/>
  <c r="K170" i="3" s="1"/>
  <c r="Z82" i="1"/>
  <c r="AA82" i="1" s="1"/>
  <c r="AB82" i="1" s="1"/>
  <c r="K695" i="3" s="1"/>
  <c r="Z2" i="1"/>
  <c r="AA2" i="1" s="1"/>
  <c r="AA19" i="1"/>
  <c r="AB19" i="1" s="1"/>
  <c r="K124" i="3" s="1"/>
  <c r="AA54" i="1"/>
  <c r="AB54" i="1" s="1"/>
  <c r="K243" i="3" s="1"/>
  <c r="AA83" i="1"/>
  <c r="AB83" i="1" s="1"/>
  <c r="K877" i="3" s="1"/>
  <c r="AA188" i="1"/>
  <c r="AB188" i="1" s="1"/>
  <c r="K166" i="3" s="1"/>
  <c r="AA268" i="1"/>
  <c r="AB268" i="1" s="1"/>
  <c r="K260" i="3" s="1"/>
  <c r="AA299" i="1"/>
  <c r="AB299" i="1" s="1"/>
  <c r="K977" i="3" s="1"/>
  <c r="AA300" i="1"/>
  <c r="AB300" i="1" s="1"/>
  <c r="K583" i="3" s="1"/>
  <c r="AA412" i="1"/>
  <c r="AB412" i="1" s="1"/>
  <c r="K262" i="3" s="1"/>
  <c r="AA427" i="1"/>
  <c r="AB427" i="1" s="1"/>
  <c r="K643" i="3" s="1"/>
  <c r="AA443" i="1"/>
  <c r="AB443" i="1" s="1"/>
  <c r="K448" i="3" s="1"/>
  <c r="AA603" i="1"/>
  <c r="AB603" i="1" s="1"/>
  <c r="K20" i="3" s="1"/>
  <c r="AA620" i="1"/>
  <c r="AB620" i="1" s="1"/>
  <c r="K768" i="3" s="1"/>
  <c r="AA676" i="1"/>
  <c r="AB676" i="1" s="1"/>
  <c r="K694" i="3" s="1"/>
  <c r="AA727" i="1"/>
  <c r="AB727" i="1" s="1"/>
  <c r="K532" i="3" s="1"/>
  <c r="AA790" i="1"/>
  <c r="AB790" i="1" s="1"/>
  <c r="K106" i="3" s="1"/>
  <c r="AA801" i="1"/>
  <c r="AB801" i="1" s="1"/>
  <c r="K55" i="3" s="1"/>
  <c r="AA831" i="1"/>
  <c r="AB831" i="1" s="1"/>
  <c r="K278" i="3" s="1"/>
  <c r="AA875" i="1"/>
  <c r="AB875" i="1" s="1"/>
  <c r="K619" i="3" s="1"/>
  <c r="AA886" i="1"/>
  <c r="AB886" i="1" s="1"/>
  <c r="K773" i="3" s="1"/>
  <c r="AA894" i="1"/>
  <c r="AB894" i="1" s="1"/>
  <c r="K457" i="3" s="1"/>
  <c r="AA895" i="1"/>
  <c r="AB895" i="1" s="1"/>
  <c r="K841" i="3" s="1"/>
  <c r="AA923" i="1"/>
  <c r="AB923" i="1" s="1"/>
  <c r="K287" i="3" s="1"/>
  <c r="AA943" i="1"/>
  <c r="AB943" i="1" s="1"/>
  <c r="K582" i="3" s="1"/>
  <c r="AA951" i="1"/>
  <c r="AB951" i="1" s="1"/>
  <c r="K870" i="3" s="1"/>
  <c r="AA966" i="1"/>
  <c r="AB966" i="1" s="1"/>
  <c r="K39" i="3" s="1"/>
  <c r="AA967" i="1"/>
  <c r="AB967" i="1" s="1"/>
  <c r="K394" i="3" s="1"/>
  <c r="AA982" i="1"/>
  <c r="AB982" i="1" s="1"/>
  <c r="K309" i="3" s="1"/>
  <c r="AA995" i="1"/>
  <c r="AB995" i="1" s="1"/>
  <c r="K368" i="3" s="1"/>
  <c r="Z84" i="1"/>
  <c r="AA84" i="1" s="1"/>
  <c r="AB84" i="1" s="1"/>
  <c r="K475" i="3" s="1"/>
  <c r="Z85" i="1"/>
  <c r="AA85" i="1" s="1"/>
  <c r="AB85" i="1" s="1"/>
  <c r="K659" i="3" s="1"/>
  <c r="Z86" i="1"/>
  <c r="AA86" i="1" s="1"/>
  <c r="AB86" i="1" s="1"/>
  <c r="K25" i="3" s="1"/>
  <c r="Z87" i="1"/>
  <c r="AA87" i="1" s="1"/>
  <c r="AB87" i="1" s="1"/>
  <c r="K946" i="3" s="1"/>
  <c r="Z88" i="1"/>
  <c r="AA88" i="1" s="1"/>
  <c r="AB88" i="1" s="1"/>
  <c r="K875" i="3" s="1"/>
  <c r="Z89" i="1"/>
  <c r="AA89" i="1" s="1"/>
  <c r="AB89" i="1" s="1"/>
  <c r="K567" i="3" s="1"/>
  <c r="Z90" i="1"/>
  <c r="AA90" i="1" s="1"/>
  <c r="AB90" i="1" s="1"/>
  <c r="K95" i="3" s="1"/>
  <c r="Z91" i="1"/>
  <c r="AA91" i="1" s="1"/>
  <c r="AB91" i="1" s="1"/>
  <c r="K729" i="3" s="1"/>
  <c r="Z92" i="1"/>
  <c r="AA92" i="1" s="1"/>
  <c r="AB92" i="1" s="1"/>
  <c r="K959" i="3" s="1"/>
  <c r="Z93" i="1"/>
  <c r="AA93" i="1" s="1"/>
  <c r="AB93" i="1" s="1"/>
  <c r="K93" i="3" s="1"/>
  <c r="Z94" i="1"/>
  <c r="AA94" i="1" s="1"/>
  <c r="AB94" i="1" s="1"/>
  <c r="K195" i="3" s="1"/>
  <c r="Z95" i="1"/>
  <c r="AA95" i="1" s="1"/>
  <c r="AB95" i="1" s="1"/>
  <c r="K652" i="3" s="1"/>
  <c r="Z96" i="1"/>
  <c r="AA96" i="1" s="1"/>
  <c r="AB96" i="1" s="1"/>
  <c r="K155" i="3" s="1"/>
  <c r="Z97" i="1"/>
  <c r="AA97" i="1" s="1"/>
  <c r="AB97" i="1" s="1"/>
  <c r="K638" i="3" s="1"/>
  <c r="Z98" i="1"/>
  <c r="AA98" i="1" s="1"/>
  <c r="AB98" i="1" s="1"/>
  <c r="K288" i="3" s="1"/>
  <c r="Z99" i="1"/>
  <c r="AA99" i="1" s="1"/>
  <c r="AB99" i="1" s="1"/>
  <c r="K591" i="3" s="1"/>
  <c r="Z100" i="1"/>
  <c r="AA100" i="1" s="1"/>
  <c r="AB100" i="1" s="1"/>
  <c r="K476" i="3" s="1"/>
  <c r="Z101" i="1"/>
  <c r="AA101" i="1" s="1"/>
  <c r="AB101" i="1" s="1"/>
  <c r="K727" i="3" s="1"/>
  <c r="Z102" i="1"/>
  <c r="AA102" i="1" s="1"/>
  <c r="AB102" i="1" s="1"/>
  <c r="K666" i="3" s="1"/>
  <c r="Z103" i="1"/>
  <c r="AA103" i="1" s="1"/>
  <c r="AB103" i="1" s="1"/>
  <c r="K254" i="3" s="1"/>
  <c r="Z104" i="1"/>
  <c r="AA104" i="1" s="1"/>
  <c r="AB104" i="1" s="1"/>
  <c r="K280" i="3" s="1"/>
  <c r="Z105" i="1"/>
  <c r="AA105" i="1" s="1"/>
  <c r="AB105" i="1" s="1"/>
  <c r="K957" i="3" s="1"/>
  <c r="Z106" i="1"/>
  <c r="AA106" i="1" s="1"/>
  <c r="AB106" i="1" s="1"/>
  <c r="K876" i="3" s="1"/>
  <c r="Z107" i="1"/>
  <c r="AA107" i="1" s="1"/>
  <c r="AB107" i="1" s="1"/>
  <c r="K85" i="3" s="1"/>
  <c r="Z108" i="1"/>
  <c r="AA108" i="1" s="1"/>
  <c r="AB108" i="1" s="1"/>
  <c r="K67" i="3" s="1"/>
  <c r="Z109" i="1"/>
  <c r="AA109" i="1" s="1"/>
  <c r="AB109" i="1" s="1"/>
  <c r="K399" i="3" s="1"/>
  <c r="Z110" i="1"/>
  <c r="AA110" i="1" s="1"/>
  <c r="AB110" i="1" s="1"/>
  <c r="K899" i="3" s="1"/>
  <c r="AA111" i="1"/>
  <c r="AB111" i="1" s="1"/>
  <c r="K372" i="3" s="1"/>
  <c r="Z112" i="1"/>
  <c r="AA112" i="1" s="1"/>
  <c r="AB112" i="1" s="1"/>
  <c r="K834" i="3" s="1"/>
  <c r="Z113" i="1"/>
  <c r="AA113" i="1" s="1"/>
  <c r="AB113" i="1" s="1"/>
  <c r="K723" i="3" s="1"/>
  <c r="AA114" i="1"/>
  <c r="AB114" i="1" s="1"/>
  <c r="K323" i="3" s="1"/>
  <c r="Z115" i="1"/>
  <c r="AA115" i="1" s="1"/>
  <c r="AB115" i="1" s="1"/>
  <c r="K776" i="3" s="1"/>
  <c r="AA116" i="1"/>
  <c r="AB116" i="1" s="1"/>
  <c r="K43" i="3" s="1"/>
  <c r="Z117" i="1"/>
  <c r="AA117" i="1" s="1"/>
  <c r="AB117" i="1" s="1"/>
  <c r="K725" i="3" s="1"/>
  <c r="Z118" i="1"/>
  <c r="AA118" i="1" s="1"/>
  <c r="AB118" i="1" s="1"/>
  <c r="K97" i="3" s="1"/>
  <c r="Z119" i="1"/>
  <c r="AA119" i="1" s="1"/>
  <c r="AB119" i="1" s="1"/>
  <c r="K824" i="3" s="1"/>
  <c r="Z120" i="1"/>
  <c r="AA120" i="1" s="1"/>
  <c r="AB120" i="1" s="1"/>
  <c r="K702" i="3" s="1"/>
  <c r="Z121" i="1"/>
  <c r="AA121" i="1" s="1"/>
  <c r="AB121" i="1" s="1"/>
  <c r="K796" i="3" s="1"/>
  <c r="Z122" i="1"/>
  <c r="AA122" i="1" s="1"/>
  <c r="AB122" i="1" s="1"/>
  <c r="K614" i="3" s="1"/>
  <c r="Z123" i="1"/>
  <c r="AA123" i="1" s="1"/>
  <c r="AB123" i="1" s="1"/>
  <c r="K335" i="3" s="1"/>
  <c r="Z124" i="1"/>
  <c r="AA124" i="1" s="1"/>
  <c r="AB124" i="1" s="1"/>
  <c r="K311" i="3" s="1"/>
  <c r="AA125" i="1"/>
  <c r="AB125" i="1" s="1"/>
  <c r="K820" i="3" s="1"/>
  <c r="Z126" i="1"/>
  <c r="AA126" i="1" s="1"/>
  <c r="AB126" i="1" s="1"/>
  <c r="K668" i="3" s="1"/>
  <c r="Z127" i="1"/>
  <c r="AA127" i="1" s="1"/>
  <c r="AB127" i="1" s="1"/>
  <c r="K294" i="3" s="1"/>
  <c r="Z128" i="1"/>
  <c r="AA128" i="1" s="1"/>
  <c r="AB128" i="1" s="1"/>
  <c r="K769" i="3" s="1"/>
  <c r="Z129" i="1"/>
  <c r="AA129" i="1" s="1"/>
  <c r="AB129" i="1" s="1"/>
  <c r="K746" i="3" s="1"/>
  <c r="Z130" i="1"/>
  <c r="AA130" i="1" s="1"/>
  <c r="AB130" i="1" s="1"/>
  <c r="K63" i="3" s="1"/>
  <c r="AA131" i="1"/>
  <c r="AB131" i="1" s="1"/>
  <c r="K332" i="3" s="1"/>
  <c r="Z132" i="1"/>
  <c r="AA132" i="1" s="1"/>
  <c r="AB132" i="1" s="1"/>
  <c r="K408" i="3" s="1"/>
  <c r="Z133" i="1"/>
  <c r="AA133" i="1" s="1"/>
  <c r="AB133" i="1" s="1"/>
  <c r="K88" i="3" s="1"/>
  <c r="Z134" i="1"/>
  <c r="AA134" i="1" s="1"/>
  <c r="AB134" i="1" s="1"/>
  <c r="K259" i="3" s="1"/>
  <c r="AA135" i="1"/>
  <c r="AB135" i="1" s="1"/>
  <c r="K523" i="3" s="1"/>
  <c r="Z136" i="1"/>
  <c r="AA136" i="1" s="1"/>
  <c r="AB136" i="1" s="1"/>
  <c r="K406" i="3" s="1"/>
  <c r="Z137" i="1"/>
  <c r="AA137" i="1" s="1"/>
  <c r="AB137" i="1" s="1"/>
  <c r="K21" i="3" s="1"/>
  <c r="Z138" i="1"/>
  <c r="AA138" i="1" s="1"/>
  <c r="AB138" i="1" s="1"/>
  <c r="K437" i="3" s="1"/>
  <c r="Z139" i="1"/>
  <c r="AA139" i="1" s="1"/>
  <c r="AB139" i="1" s="1"/>
  <c r="K553" i="3" s="1"/>
  <c r="Z140" i="1"/>
  <c r="AA140" i="1" s="1"/>
  <c r="AB140" i="1" s="1"/>
  <c r="K847" i="3" s="1"/>
  <c r="Z141" i="1"/>
  <c r="AA141" i="1" s="1"/>
  <c r="AB141" i="1" s="1"/>
  <c r="K756" i="3" s="1"/>
  <c r="Z142" i="1"/>
  <c r="AA142" i="1" s="1"/>
  <c r="AB142" i="1" s="1"/>
  <c r="K206" i="3" s="1"/>
  <c r="Z143" i="1"/>
  <c r="AA143" i="1" s="1"/>
  <c r="AB143" i="1" s="1"/>
  <c r="K682" i="3" s="1"/>
  <c r="Z144" i="1"/>
  <c r="AA144" i="1" s="1"/>
  <c r="AB144" i="1" s="1"/>
  <c r="K395" i="3" s="1"/>
  <c r="Z145" i="1"/>
  <c r="AA145" i="1" s="1"/>
  <c r="AB145" i="1" s="1"/>
  <c r="K374" i="3" s="1"/>
  <c r="Z146" i="1"/>
  <c r="AA146" i="1" s="1"/>
  <c r="AB146" i="1" s="1"/>
  <c r="K126" i="3" s="1"/>
  <c r="Z147" i="1"/>
  <c r="AA147" i="1" s="1"/>
  <c r="AB147" i="1" s="1"/>
  <c r="K24" i="3" s="1"/>
  <c r="Z148" i="1"/>
  <c r="AA148" i="1" s="1"/>
  <c r="AB148" i="1" s="1"/>
  <c r="K159" i="3" s="1"/>
  <c r="Z149" i="1"/>
  <c r="AA149" i="1" s="1"/>
  <c r="AB149" i="1" s="1"/>
  <c r="K641" i="3" s="1"/>
  <c r="Z150" i="1"/>
  <c r="AA150" i="1" s="1"/>
  <c r="AB150" i="1" s="1"/>
  <c r="K866" i="3" s="1"/>
  <c r="Z151" i="1"/>
  <c r="AA151" i="1" s="1"/>
  <c r="AB151" i="1" s="1"/>
  <c r="K602" i="3" s="1"/>
  <c r="AA152" i="1"/>
  <c r="AB152" i="1" s="1"/>
  <c r="K506" i="3" s="1"/>
  <c r="Z153" i="1"/>
  <c r="AA153" i="1" s="1"/>
  <c r="AB153" i="1" s="1"/>
  <c r="K801" i="3" s="1"/>
  <c r="Z154" i="1"/>
  <c r="AA154" i="1" s="1"/>
  <c r="AB154" i="1" s="1"/>
  <c r="K134" i="3" s="1"/>
  <c r="Z155" i="1"/>
  <c r="AA155" i="1" s="1"/>
  <c r="AB155" i="1" s="1"/>
  <c r="K566" i="3" s="1"/>
  <c r="Z156" i="1"/>
  <c r="AA156" i="1" s="1"/>
  <c r="AB156" i="1" s="1"/>
  <c r="K356" i="3" s="1"/>
  <c r="Z157" i="1"/>
  <c r="AA157" i="1" s="1"/>
  <c r="AB157" i="1" s="1"/>
  <c r="K17" i="3" s="1"/>
  <c r="Z158" i="1"/>
  <c r="AA158" i="1" s="1"/>
  <c r="AB158" i="1" s="1"/>
  <c r="K445" i="3" s="1"/>
  <c r="Z159" i="1"/>
  <c r="AA159" i="1" s="1"/>
  <c r="AB159" i="1" s="1"/>
  <c r="K107" i="3" s="1"/>
  <c r="Z160" i="1"/>
  <c r="AA160" i="1" s="1"/>
  <c r="AB160" i="1" s="1"/>
  <c r="K469" i="3" s="1"/>
  <c r="Z161" i="1"/>
  <c r="AA161" i="1" s="1"/>
  <c r="AB161" i="1" s="1"/>
  <c r="K996" i="3" s="1"/>
  <c r="Z162" i="1"/>
  <c r="AA162" i="1" s="1"/>
  <c r="AB162" i="1" s="1"/>
  <c r="K355" i="3" s="1"/>
  <c r="Z163" i="1"/>
  <c r="AA163" i="1" s="1"/>
  <c r="AB163" i="1" s="1"/>
  <c r="K490" i="3" s="1"/>
  <c r="Z164" i="1"/>
  <c r="AA164" i="1" s="1"/>
  <c r="AB164" i="1" s="1"/>
  <c r="K125" i="3" s="1"/>
  <c r="Z165" i="1"/>
  <c r="AA165" i="1" s="1"/>
  <c r="AB165" i="1" s="1"/>
  <c r="K32" i="3" s="1"/>
  <c r="AA166" i="1"/>
  <c r="AB166" i="1" s="1"/>
  <c r="K127" i="3" s="1"/>
  <c r="Z167" i="1"/>
  <c r="AA167" i="1" s="1"/>
  <c r="AB167" i="1" s="1"/>
  <c r="K763" i="3" s="1"/>
  <c r="Z168" i="1"/>
  <c r="AA168" i="1" s="1"/>
  <c r="AB168" i="1" s="1"/>
  <c r="K13" i="3" s="1"/>
  <c r="Z169" i="1"/>
  <c r="AA169" i="1" s="1"/>
  <c r="AB169" i="1" s="1"/>
  <c r="K766" i="3" s="1"/>
  <c r="Z170" i="1"/>
  <c r="AA170" i="1" s="1"/>
  <c r="AB170" i="1" s="1"/>
  <c r="K4" i="3" s="1"/>
  <c r="Z171" i="1"/>
  <c r="AA171" i="1" s="1"/>
  <c r="AB171" i="1" s="1"/>
  <c r="K377" i="3" s="1"/>
  <c r="Z172" i="1"/>
  <c r="AA172" i="1" s="1"/>
  <c r="AB172" i="1" s="1"/>
  <c r="K528" i="3" s="1"/>
  <c r="Z173" i="1"/>
  <c r="AA173" i="1" s="1"/>
  <c r="AB173" i="1" s="1"/>
  <c r="K692" i="3" s="1"/>
  <c r="Z174" i="1"/>
  <c r="AA174" i="1" s="1"/>
  <c r="AB174" i="1" s="1"/>
  <c r="K451" i="3" s="1"/>
  <c r="Z175" i="1"/>
  <c r="AA175" i="1" s="1"/>
  <c r="AB175" i="1" s="1"/>
  <c r="K755" i="3" s="1"/>
  <c r="AA176" i="1"/>
  <c r="AB176" i="1" s="1"/>
  <c r="K787" i="3" s="1"/>
  <c r="Z177" i="1"/>
  <c r="AA177" i="1" s="1"/>
  <c r="AB177" i="1" s="1"/>
  <c r="K76" i="3" s="1"/>
  <c r="Z178" i="1"/>
  <c r="AA178" i="1" s="1"/>
  <c r="AB178" i="1" s="1"/>
  <c r="K338" i="3" s="1"/>
  <c r="Z179" i="1"/>
  <c r="AA179" i="1" s="1"/>
  <c r="AB179" i="1" s="1"/>
  <c r="K354" i="3" s="1"/>
  <c r="Z180" i="1"/>
  <c r="AA180" i="1" s="1"/>
  <c r="AB180" i="1" s="1"/>
  <c r="K405" i="3" s="1"/>
  <c r="Z181" i="1"/>
  <c r="AA181" i="1" s="1"/>
  <c r="AB181" i="1" s="1"/>
  <c r="K892" i="3" s="1"/>
  <c r="Z182" i="1"/>
  <c r="AA182" i="1" s="1"/>
  <c r="AB182" i="1" s="1"/>
  <c r="K767" i="3" s="1"/>
  <c r="Z183" i="1"/>
  <c r="AA183" i="1" s="1"/>
  <c r="AB183" i="1" s="1"/>
  <c r="K986" i="3" s="1"/>
  <c r="Z184" i="1"/>
  <c r="AA184" i="1" s="1"/>
  <c r="AB184" i="1" s="1"/>
  <c r="K581" i="3" s="1"/>
  <c r="Z185" i="1"/>
  <c r="AA185" i="1" s="1"/>
  <c r="AB185" i="1" s="1"/>
  <c r="K706" i="3" s="1"/>
  <c r="Z186" i="1"/>
  <c r="AA186" i="1" s="1"/>
  <c r="AB186" i="1" s="1"/>
  <c r="K753" i="3" s="1"/>
  <c r="Z187" i="1"/>
  <c r="AA187" i="1" s="1"/>
  <c r="AB187" i="1" s="1"/>
  <c r="K481" i="3" s="1"/>
  <c r="Z189" i="1"/>
  <c r="AA189" i="1" s="1"/>
  <c r="AB189" i="1" s="1"/>
  <c r="K264" i="3" s="1"/>
  <c r="Z190" i="1"/>
  <c r="AA190" i="1" s="1"/>
  <c r="AB190" i="1" s="1"/>
  <c r="K318" i="3" s="1"/>
  <c r="Z191" i="1"/>
  <c r="AA191" i="1" s="1"/>
  <c r="AB191" i="1" s="1"/>
  <c r="K300" i="3" s="1"/>
  <c r="Z192" i="1"/>
  <c r="AA192" i="1" s="1"/>
  <c r="AB192" i="1" s="1"/>
  <c r="K965" i="3" s="1"/>
  <c r="Z193" i="1"/>
  <c r="AA193" i="1" s="1"/>
  <c r="AB193" i="1" s="1"/>
  <c r="K73" i="3" s="1"/>
  <c r="Z194" i="1"/>
  <c r="AA194" i="1" s="1"/>
  <c r="AB194" i="1" s="1"/>
  <c r="K507" i="3" s="1"/>
  <c r="Z195" i="1"/>
  <c r="AA195" i="1" s="1"/>
  <c r="AB195" i="1" s="1"/>
  <c r="K60" i="3" s="1"/>
  <c r="Z196" i="1"/>
  <c r="AA196" i="1" s="1"/>
  <c r="AB196" i="1" s="1"/>
  <c r="K257" i="3" s="1"/>
  <c r="AA197" i="1"/>
  <c r="AB197" i="1" s="1"/>
  <c r="K228" i="3" s="1"/>
  <c r="Z198" i="1"/>
  <c r="AA198" i="1" s="1"/>
  <c r="AB198" i="1" s="1"/>
  <c r="K690" i="3" s="1"/>
  <c r="Z199" i="1"/>
  <c r="AA199" i="1" s="1"/>
  <c r="AB199" i="1" s="1"/>
  <c r="K721" i="3" s="1"/>
  <c r="Z200" i="1"/>
  <c r="AA200" i="1" s="1"/>
  <c r="AB200" i="1" s="1"/>
  <c r="K279" i="3" s="1"/>
  <c r="Z201" i="1"/>
  <c r="AA201" i="1" s="1"/>
  <c r="AB201" i="1" s="1"/>
  <c r="K561" i="3" s="1"/>
  <c r="Z202" i="1"/>
  <c r="AA202" i="1" s="1"/>
  <c r="AB202" i="1" s="1"/>
  <c r="K869" i="3" s="1"/>
  <c r="Z203" i="1"/>
  <c r="AA203" i="1" s="1"/>
  <c r="AB203" i="1" s="1"/>
  <c r="K138" i="3" s="1"/>
  <c r="Z204" i="1"/>
  <c r="AA204" i="1" s="1"/>
  <c r="AB204" i="1" s="1"/>
  <c r="K461" i="3" s="1"/>
  <c r="Z205" i="1"/>
  <c r="AA205" i="1" s="1"/>
  <c r="AB205" i="1" s="1"/>
  <c r="K429" i="3" s="1"/>
  <c r="Z206" i="1"/>
  <c r="AA206" i="1" s="1"/>
  <c r="AB206" i="1" s="1"/>
  <c r="K174" i="3" s="1"/>
  <c r="Z207" i="1"/>
  <c r="AA207" i="1" s="1"/>
  <c r="AB207" i="1" s="1"/>
  <c r="K974" i="3" s="1"/>
  <c r="Z208" i="1"/>
  <c r="AA208" i="1" s="1"/>
  <c r="AB208" i="1" s="1"/>
  <c r="K380" i="3" s="1"/>
  <c r="Z209" i="1"/>
  <c r="AA209" i="1" s="1"/>
  <c r="AB209" i="1" s="1"/>
  <c r="K777" i="3" s="1"/>
  <c r="Z210" i="1"/>
  <c r="AA210" i="1" s="1"/>
  <c r="AB210" i="1" s="1"/>
  <c r="K642" i="3" s="1"/>
  <c r="Z211" i="1"/>
  <c r="AA211" i="1" s="1"/>
  <c r="AB211" i="1" s="1"/>
  <c r="K342" i="3" s="1"/>
  <c r="Z212" i="1"/>
  <c r="AA212" i="1" s="1"/>
  <c r="AB212" i="1" s="1"/>
  <c r="K441" i="3" s="1"/>
  <c r="Z213" i="1"/>
  <c r="AA213" i="1" s="1"/>
  <c r="AB213" i="1" s="1"/>
  <c r="K83" i="3" s="1"/>
  <c r="Z214" i="1"/>
  <c r="AA214" i="1" s="1"/>
  <c r="AB214" i="1" s="1"/>
  <c r="K225" i="3" s="1"/>
  <c r="Z215" i="1"/>
  <c r="AA215" i="1" s="1"/>
  <c r="AB215" i="1" s="1"/>
  <c r="K509" i="3" s="1"/>
  <c r="Z216" i="1"/>
  <c r="AA216" i="1" s="1"/>
  <c r="AB216" i="1" s="1"/>
  <c r="K933" i="3" s="1"/>
  <c r="Z217" i="1"/>
  <c r="AA217" i="1" s="1"/>
  <c r="AB217" i="1" s="1"/>
  <c r="K486" i="3" s="1"/>
  <c r="Z218" i="1"/>
  <c r="AA218" i="1" s="1"/>
  <c r="AB218" i="1" s="1"/>
  <c r="K64" i="3" s="1"/>
  <c r="Z219" i="1"/>
  <c r="AA219" i="1" s="1"/>
  <c r="AB219" i="1" s="1"/>
  <c r="K563" i="3" s="1"/>
  <c r="Z220" i="1"/>
  <c r="AA220" i="1" s="1"/>
  <c r="AB220" i="1" s="1"/>
  <c r="K736" i="3" s="1"/>
  <c r="Z221" i="1"/>
  <c r="AA221" i="1" s="1"/>
  <c r="AB221" i="1" s="1"/>
  <c r="K607" i="3" s="1"/>
  <c r="Z222" i="1"/>
  <c r="AA222" i="1" s="1"/>
  <c r="AB222" i="1" s="1"/>
  <c r="K955" i="3" s="1"/>
  <c r="AA223" i="1"/>
  <c r="AB223" i="1" s="1"/>
  <c r="K495" i="3" s="1"/>
  <c r="Z224" i="1"/>
  <c r="AA224" i="1" s="1"/>
  <c r="AB224" i="1" s="1"/>
  <c r="K961" i="3" s="1"/>
  <c r="Z225" i="1"/>
  <c r="AA225" i="1" s="1"/>
  <c r="AB225" i="1" s="1"/>
  <c r="K57" i="3" s="1"/>
  <c r="Z226" i="1"/>
  <c r="AA226" i="1" s="1"/>
  <c r="AB226" i="1" s="1"/>
  <c r="K7" i="3" s="1"/>
  <c r="Z227" i="1"/>
  <c r="AA227" i="1" s="1"/>
  <c r="AB227" i="1" s="1"/>
  <c r="K831" i="3" s="1"/>
  <c r="Z228" i="1"/>
  <c r="AA228" i="1" s="1"/>
  <c r="AB228" i="1" s="1"/>
  <c r="K786" i="3" s="1"/>
  <c r="Z229" i="1"/>
  <c r="AA229" i="1" s="1"/>
  <c r="AB229" i="1" s="1"/>
  <c r="K158" i="3" s="1"/>
  <c r="Z230" i="1"/>
  <c r="AA230" i="1" s="1"/>
  <c r="AB230" i="1" s="1"/>
  <c r="K213" i="3" s="1"/>
  <c r="Z231" i="1"/>
  <c r="AA231" i="1" s="1"/>
  <c r="AB231" i="1" s="1"/>
  <c r="K145" i="3" s="1"/>
  <c r="Z232" i="1"/>
  <c r="AA232" i="1" s="1"/>
  <c r="AB232" i="1" s="1"/>
  <c r="K609" i="3" s="1"/>
  <c r="Z233" i="1"/>
  <c r="AA233" i="1" s="1"/>
  <c r="AB233" i="1" s="1"/>
  <c r="K670" i="3" s="1"/>
  <c r="AA234" i="1"/>
  <c r="AB234" i="1" s="1"/>
  <c r="K994" i="3" s="1"/>
  <c r="Z235" i="1"/>
  <c r="AA235" i="1" s="1"/>
  <c r="AB235" i="1" s="1"/>
  <c r="K932" i="3" s="1"/>
  <c r="Z236" i="1"/>
  <c r="AA236" i="1" s="1"/>
  <c r="AB236" i="1" s="1"/>
  <c r="K903" i="3" s="1"/>
  <c r="Z237" i="1"/>
  <c r="AA237" i="1" s="1"/>
  <c r="AB237" i="1" s="1"/>
  <c r="K177" i="3" s="1"/>
  <c r="Z238" i="1"/>
  <c r="AA238" i="1" s="1"/>
  <c r="AB238" i="1" s="1"/>
  <c r="K105" i="3" s="1"/>
  <c r="Z239" i="1"/>
  <c r="AA239" i="1" s="1"/>
  <c r="AB239" i="1" s="1"/>
  <c r="K819" i="3" s="1"/>
  <c r="Z240" i="1"/>
  <c r="AA240" i="1" s="1"/>
  <c r="AB240" i="1" s="1"/>
  <c r="K674" i="3" s="1"/>
  <c r="Z241" i="1"/>
  <c r="AA241" i="1" s="1"/>
  <c r="AB241" i="1" s="1"/>
  <c r="K799" i="3" s="1"/>
  <c r="Z242" i="1"/>
  <c r="AA242" i="1" s="1"/>
  <c r="AB242" i="1" s="1"/>
  <c r="K672" i="3" s="1"/>
  <c r="Z243" i="1"/>
  <c r="AA243" i="1" s="1"/>
  <c r="AB243" i="1" s="1"/>
  <c r="K735" i="3" s="1"/>
  <c r="AA244" i="1"/>
  <c r="AB244" i="1" s="1"/>
  <c r="K976" i="3" s="1"/>
  <c r="Z245" i="1"/>
  <c r="AA245" i="1" s="1"/>
  <c r="AB245" i="1" s="1"/>
  <c r="K995" i="3" s="1"/>
  <c r="Z246" i="1"/>
  <c r="AA246" i="1" s="1"/>
  <c r="AB246" i="1" s="1"/>
  <c r="K661" i="3" s="1"/>
  <c r="Z247" i="1"/>
  <c r="AA247" i="1" s="1"/>
  <c r="AB247" i="1" s="1"/>
  <c r="K348" i="3" s="1"/>
  <c r="Z248" i="1"/>
  <c r="AA248" i="1" s="1"/>
  <c r="AB248" i="1" s="1"/>
  <c r="K511" i="3" s="1"/>
  <c r="Z249" i="1"/>
  <c r="AA249" i="1" s="1"/>
  <c r="AB249" i="1" s="1"/>
  <c r="K49" i="3" s="1"/>
  <c r="Z250" i="1"/>
  <c r="AA250" i="1" s="1"/>
  <c r="AB250" i="1" s="1"/>
  <c r="K693" i="3" s="1"/>
  <c r="Z251" i="1"/>
  <c r="AA251" i="1" s="1"/>
  <c r="AB251" i="1" s="1"/>
  <c r="K281" i="3" s="1"/>
  <c r="Z252" i="1"/>
  <c r="AA252" i="1" s="1"/>
  <c r="AB252" i="1" s="1"/>
  <c r="K449" i="3" s="1"/>
  <c r="Z253" i="1"/>
  <c r="AA253" i="1" s="1"/>
  <c r="AB253" i="1" s="1"/>
  <c r="K439" i="3" s="1"/>
  <c r="Z254" i="1"/>
  <c r="AA254" i="1" s="1"/>
  <c r="AB254" i="1" s="1"/>
  <c r="K677" i="3" s="1"/>
  <c r="Z255" i="1"/>
  <c r="AA255" i="1" s="1"/>
  <c r="AB255" i="1" s="1"/>
  <c r="K879" i="3" s="1"/>
  <c r="Z256" i="1"/>
  <c r="AA256" i="1" s="1"/>
  <c r="AB256" i="1" s="1"/>
  <c r="K330" i="3" s="1"/>
  <c r="Z257" i="1"/>
  <c r="AA257" i="1" s="1"/>
  <c r="AB257" i="1" s="1"/>
  <c r="K554" i="3" s="1"/>
  <c r="AA258" i="1"/>
  <c r="AB258" i="1" s="1"/>
  <c r="K78" i="3" s="1"/>
  <c r="Z259" i="1"/>
  <c r="AA259" i="1" s="1"/>
  <c r="AB259" i="1" s="1"/>
  <c r="K414" i="3" s="1"/>
  <c r="Z260" i="1"/>
  <c r="AA260" i="1" s="1"/>
  <c r="AB260" i="1" s="1"/>
  <c r="K610" i="3" s="1"/>
  <c r="Z261" i="1"/>
  <c r="AA261" i="1" s="1"/>
  <c r="AB261" i="1" s="1"/>
  <c r="K272" i="3" s="1"/>
  <c r="Z262" i="1"/>
  <c r="AA262" i="1" s="1"/>
  <c r="AB262" i="1" s="1"/>
  <c r="K258" i="3" s="1"/>
  <c r="Z263" i="1"/>
  <c r="AA263" i="1" s="1"/>
  <c r="AB263" i="1" s="1"/>
  <c r="K807" i="3" s="1"/>
  <c r="Z264" i="1"/>
  <c r="AA264" i="1" s="1"/>
  <c r="AB264" i="1" s="1"/>
  <c r="K316" i="3" s="1"/>
  <c r="Z265" i="1"/>
  <c r="AA265" i="1" s="1"/>
  <c r="AB265" i="1" s="1"/>
  <c r="K460" i="3" s="1"/>
  <c r="Z266" i="1"/>
  <c r="AA266" i="1" s="1"/>
  <c r="AB266" i="1" s="1"/>
  <c r="K596" i="3" s="1"/>
  <c r="Z267" i="1"/>
  <c r="AA267" i="1" s="1"/>
  <c r="AB267" i="1" s="1"/>
  <c r="K947" i="3" s="1"/>
  <c r="AA269" i="1"/>
  <c r="AB269" i="1" s="1"/>
  <c r="K930" i="3" s="1"/>
  <c r="Z270" i="1"/>
  <c r="AA270" i="1" s="1"/>
  <c r="AB270" i="1" s="1"/>
  <c r="K549" i="3" s="1"/>
  <c r="Z271" i="1"/>
  <c r="AA271" i="1" s="1"/>
  <c r="AB271" i="1" s="1"/>
  <c r="K867" i="3" s="1"/>
  <c r="Z272" i="1"/>
  <c r="AA272" i="1" s="1"/>
  <c r="AB272" i="1" s="1"/>
  <c r="K353" i="3" s="1"/>
  <c r="Z273" i="1"/>
  <c r="AA273" i="1" s="1"/>
  <c r="AB273" i="1" s="1"/>
  <c r="K649" i="3" s="1"/>
  <c r="Z274" i="1"/>
  <c r="AA274" i="1" s="1"/>
  <c r="AB274" i="1" s="1"/>
  <c r="K537" i="3" s="1"/>
  <c r="Z275" i="1"/>
  <c r="AA275" i="1" s="1"/>
  <c r="AB275" i="1" s="1"/>
  <c r="K653" i="3" s="1"/>
  <c r="AA276" i="1"/>
  <c r="AB276" i="1" s="1"/>
  <c r="K48" i="3" s="1"/>
  <c r="Z277" i="1"/>
  <c r="AA277" i="1" s="1"/>
  <c r="AB277" i="1" s="1"/>
  <c r="K844" i="3" s="1"/>
  <c r="Z278" i="1"/>
  <c r="AA278" i="1" s="1"/>
  <c r="AB278" i="1" s="1"/>
  <c r="K425" i="3" s="1"/>
  <c r="Z279" i="1"/>
  <c r="AA279" i="1" s="1"/>
  <c r="AB279" i="1" s="1"/>
  <c r="K764" i="3" s="1"/>
  <c r="Z280" i="1"/>
  <c r="AA280" i="1" s="1"/>
  <c r="AB280" i="1" s="1"/>
  <c r="K3" i="3" s="1"/>
  <c r="Z281" i="1"/>
  <c r="AA281" i="1" s="1"/>
  <c r="AB281" i="1" s="1"/>
  <c r="K908" i="3" s="1"/>
  <c r="Z282" i="1"/>
  <c r="AA282" i="1" s="1"/>
  <c r="AB282" i="1" s="1"/>
  <c r="K453" i="3" s="1"/>
  <c r="Z283" i="1"/>
  <c r="AA283" i="1" s="1"/>
  <c r="AB283" i="1" s="1"/>
  <c r="K321" i="3" s="1"/>
  <c r="Z284" i="1"/>
  <c r="AA284" i="1" s="1"/>
  <c r="AB284" i="1" s="1"/>
  <c r="K455" i="3" s="1"/>
  <c r="Z285" i="1"/>
  <c r="AA285" i="1" s="1"/>
  <c r="AB285" i="1" s="1"/>
  <c r="K202" i="3" s="1"/>
  <c r="Z286" i="1"/>
  <c r="AA286" i="1" s="1"/>
  <c r="AB286" i="1" s="1"/>
  <c r="K131" i="3" s="1"/>
  <c r="Z287" i="1"/>
  <c r="AA287" i="1" s="1"/>
  <c r="AB287" i="1" s="1"/>
  <c r="K68" i="3" s="1"/>
  <c r="Z288" i="1"/>
  <c r="AA288" i="1" s="1"/>
  <c r="AB288" i="1" s="1"/>
  <c r="K373" i="3" s="1"/>
  <c r="Z289" i="1"/>
  <c r="AA289" i="1" s="1"/>
  <c r="AB289" i="1" s="1"/>
  <c r="K390" i="3" s="1"/>
  <c r="Z290" i="1"/>
  <c r="AA290" i="1" s="1"/>
  <c r="AB290" i="1" s="1"/>
  <c r="K114" i="3" s="1"/>
  <c r="Z291" i="1"/>
  <c r="AA291" i="1" s="1"/>
  <c r="AB291" i="1" s="1"/>
  <c r="K422" i="3" s="1"/>
  <c r="Z292" i="1"/>
  <c r="AA292" i="1" s="1"/>
  <c r="AB292" i="1" s="1"/>
  <c r="K371" i="3" s="1"/>
  <c r="Z293" i="1"/>
  <c r="AA293" i="1" s="1"/>
  <c r="AB293" i="1" s="1"/>
  <c r="K817" i="3" s="1"/>
  <c r="Z294" i="1"/>
  <c r="AA294" i="1" s="1"/>
  <c r="AB294" i="1" s="1"/>
  <c r="K290" i="3" s="1"/>
  <c r="Z295" i="1"/>
  <c r="AA295" i="1" s="1"/>
  <c r="AB295" i="1" s="1"/>
  <c r="K194" i="3" s="1"/>
  <c r="Z296" i="1"/>
  <c r="AA296" i="1" s="1"/>
  <c r="AB296" i="1" s="1"/>
  <c r="K112" i="3" s="1"/>
  <c r="Z297" i="1"/>
  <c r="AA297" i="1" s="1"/>
  <c r="AB297" i="1" s="1"/>
  <c r="K103" i="3" s="1"/>
  <c r="Z298" i="1"/>
  <c r="AA298" i="1" s="1"/>
  <c r="AB298" i="1" s="1"/>
  <c r="K577" i="3" s="1"/>
  <c r="Z301" i="1"/>
  <c r="AA301" i="1" s="1"/>
  <c r="AB301" i="1" s="1"/>
  <c r="K521" i="3" s="1"/>
  <c r="Z302" i="1"/>
  <c r="AA302" i="1" s="1"/>
  <c r="AB302" i="1" s="1"/>
  <c r="K376" i="3" s="1"/>
  <c r="Z303" i="1"/>
  <c r="AA303" i="1" s="1"/>
  <c r="AB303" i="1" s="1"/>
  <c r="K640" i="3" s="1"/>
  <c r="Z304" i="1"/>
  <c r="AA304" i="1" s="1"/>
  <c r="AB304" i="1" s="1"/>
  <c r="K705" i="3" s="1"/>
  <c r="Z305" i="1"/>
  <c r="AA305" i="1" s="1"/>
  <c r="AB305" i="1" s="1"/>
  <c r="K606" i="3" s="1"/>
  <c r="Z306" i="1"/>
  <c r="AA306" i="1" s="1"/>
  <c r="AB306" i="1" s="1"/>
  <c r="K980" i="3" s="1"/>
  <c r="Z307" i="1"/>
  <c r="AA307" i="1" s="1"/>
  <c r="AB307" i="1" s="1"/>
  <c r="K307" i="3" s="1"/>
  <c r="Z308" i="1"/>
  <c r="AA308" i="1" s="1"/>
  <c r="AB308" i="1" s="1"/>
  <c r="K829" i="3" s="1"/>
  <c r="Z309" i="1"/>
  <c r="AA309" i="1" s="1"/>
  <c r="AB309" i="1" s="1"/>
  <c r="K675" i="3" s="1"/>
  <c r="Z310" i="1"/>
  <c r="AA310" i="1" s="1"/>
  <c r="AB310" i="1" s="1"/>
  <c r="K133" i="3" s="1"/>
  <c r="Z311" i="1"/>
  <c r="AA311" i="1" s="1"/>
  <c r="AB311" i="1" s="1"/>
  <c r="K411" i="3" s="1"/>
  <c r="Z312" i="1"/>
  <c r="AA312" i="1" s="1"/>
  <c r="AB312" i="1" s="1"/>
  <c r="K758" i="3" s="1"/>
  <c r="AA313" i="1"/>
  <c r="AB313" i="1" s="1"/>
  <c r="K687" i="3" s="1"/>
  <c r="AA314" i="1"/>
  <c r="AB314" i="1" s="1"/>
  <c r="K334" i="3" s="1"/>
  <c r="Z315" i="1"/>
  <c r="AA315" i="1" s="1"/>
  <c r="AB315" i="1" s="1"/>
  <c r="K277" i="3" s="1"/>
  <c r="Z316" i="1"/>
  <c r="AA316" i="1" s="1"/>
  <c r="AB316" i="1" s="1"/>
  <c r="K552" i="3" s="1"/>
  <c r="Z317" i="1"/>
  <c r="AA317" i="1" s="1"/>
  <c r="AB317" i="1" s="1"/>
  <c r="K838" i="3" s="1"/>
  <c r="Z318" i="1"/>
  <c r="AA318" i="1" s="1"/>
  <c r="AB318" i="1" s="1"/>
  <c r="K474" i="3" s="1"/>
  <c r="Z319" i="1"/>
  <c r="AA319" i="1" s="1"/>
  <c r="AB319" i="1" s="1"/>
  <c r="K732" i="3" s="1"/>
  <c r="AA320" i="1"/>
  <c r="AB320" i="1" s="1"/>
  <c r="K136" i="3" s="1"/>
  <c r="Z321" i="1"/>
  <c r="AA321" i="1" s="1"/>
  <c r="AB321" i="1" s="1"/>
  <c r="K739" i="3" s="1"/>
  <c r="Z322" i="1"/>
  <c r="AA322" i="1" s="1"/>
  <c r="AB322" i="1" s="1"/>
  <c r="K770" i="3" s="1"/>
  <c r="Z323" i="1"/>
  <c r="AA323" i="1" s="1"/>
  <c r="AB323" i="1" s="1"/>
  <c r="K598" i="3" s="1"/>
  <c r="Z324" i="1"/>
  <c r="AA324" i="1" s="1"/>
  <c r="AB324" i="1" s="1"/>
  <c r="K224" i="3" s="1"/>
  <c r="Z325" i="1"/>
  <c r="AA325" i="1" s="1"/>
  <c r="AB325" i="1" s="1"/>
  <c r="K320" i="3" s="1"/>
  <c r="Z326" i="1"/>
  <c r="AA326" i="1" s="1"/>
  <c r="AB326" i="1" s="1"/>
  <c r="K811" i="3" s="1"/>
  <c r="Z327" i="1"/>
  <c r="AA327" i="1" s="1"/>
  <c r="AB327" i="1" s="1"/>
  <c r="K59" i="3" s="1"/>
  <c r="Z328" i="1"/>
  <c r="AA328" i="1" s="1"/>
  <c r="AB328" i="1" s="1"/>
  <c r="K781" i="3" s="1"/>
  <c r="Z329" i="1"/>
  <c r="AA329" i="1" s="1"/>
  <c r="AB329" i="1" s="1"/>
  <c r="K343" i="3" s="1"/>
  <c r="Z330" i="1"/>
  <c r="AA330" i="1" s="1"/>
  <c r="AB330" i="1" s="1"/>
  <c r="K424" i="3" s="1"/>
  <c r="Z331" i="1"/>
  <c r="AA331" i="1" s="1"/>
  <c r="AB331" i="1" s="1"/>
  <c r="K113" i="3" s="1"/>
  <c r="Z332" i="1"/>
  <c r="AA332" i="1" s="1"/>
  <c r="AB332" i="1" s="1"/>
  <c r="K198" i="3" s="1"/>
  <c r="Z333" i="1"/>
  <c r="AA333" i="1" s="1"/>
  <c r="AB333" i="1" s="1"/>
  <c r="K42" i="3" s="1"/>
  <c r="Z334" i="1"/>
  <c r="AA334" i="1" s="1"/>
  <c r="AB334" i="1" s="1"/>
  <c r="K8" i="3" s="1"/>
  <c r="Z335" i="1"/>
  <c r="AA335" i="1" s="1"/>
  <c r="AB335" i="1" s="1"/>
  <c r="K710" i="3" s="1"/>
  <c r="Z336" i="1"/>
  <c r="AA336" i="1" s="1"/>
  <c r="AB336" i="1" s="1"/>
  <c r="K967" i="3" s="1"/>
  <c r="Z337" i="1"/>
  <c r="AA337" i="1" s="1"/>
  <c r="AB337" i="1" s="1"/>
  <c r="K164" i="3" s="1"/>
  <c r="Z338" i="1"/>
  <c r="AA338" i="1" s="1"/>
  <c r="AB338" i="1" s="1"/>
  <c r="K696" i="3" s="1"/>
  <c r="Z339" i="1"/>
  <c r="AA339" i="1" s="1"/>
  <c r="AB339" i="1" s="1"/>
  <c r="K90" i="3" s="1"/>
  <c r="Z340" i="1"/>
  <c r="AA340" i="1" s="1"/>
  <c r="AB340" i="1" s="1"/>
  <c r="K627" i="3" s="1"/>
  <c r="Z341" i="1"/>
  <c r="AA341" i="1" s="1"/>
  <c r="AB341" i="1" s="1"/>
  <c r="K256" i="3" s="1"/>
  <c r="Z342" i="1"/>
  <c r="AA342" i="1" s="1"/>
  <c r="AB342" i="1" s="1"/>
  <c r="K611" i="3" s="1"/>
  <c r="Z343" i="1"/>
  <c r="AA343" i="1" s="1"/>
  <c r="AB343" i="1" s="1"/>
  <c r="K180" i="3" s="1"/>
  <c r="Z344" i="1"/>
  <c r="AA344" i="1" s="1"/>
  <c r="AB344" i="1" s="1"/>
  <c r="K920" i="3" s="1"/>
  <c r="Z345" i="1"/>
  <c r="AA345" i="1" s="1"/>
  <c r="AB345" i="1" s="1"/>
  <c r="K147" i="3" s="1"/>
  <c r="Z346" i="1"/>
  <c r="AA346" i="1" s="1"/>
  <c r="AB346" i="1" s="1"/>
  <c r="K922" i="3" s="1"/>
  <c r="Z347" i="1"/>
  <c r="AA347" i="1" s="1"/>
  <c r="AB347" i="1" s="1"/>
  <c r="K396" i="3" s="1"/>
  <c r="Z348" i="1"/>
  <c r="AA348" i="1" s="1"/>
  <c r="AB348" i="1" s="1"/>
  <c r="K634" i="3" s="1"/>
  <c r="Z349" i="1"/>
  <c r="AA349" i="1" s="1"/>
  <c r="AB349" i="1" s="1"/>
  <c r="K905" i="3" s="1"/>
  <c r="AA350" i="1"/>
  <c r="AB350" i="1" s="1"/>
  <c r="K140" i="3" s="1"/>
  <c r="Z351" i="1"/>
  <c r="AA351" i="1" s="1"/>
  <c r="AB351" i="1" s="1"/>
  <c r="K269" i="3" s="1"/>
  <c r="Z352" i="1"/>
  <c r="AA352" i="1" s="1"/>
  <c r="AB352" i="1" s="1"/>
  <c r="K325" i="3" s="1"/>
  <c r="Z353" i="1"/>
  <c r="AA353" i="1" s="1"/>
  <c r="AB353" i="1" s="1"/>
  <c r="K910" i="3" s="1"/>
  <c r="Z354" i="1"/>
  <c r="AA354" i="1" s="1"/>
  <c r="AB354" i="1" s="1"/>
  <c r="K285" i="3" s="1"/>
  <c r="Z355" i="1"/>
  <c r="AA355" i="1" s="1"/>
  <c r="AB355" i="1" s="1"/>
  <c r="K344" i="3" s="1"/>
  <c r="Z356" i="1"/>
  <c r="AA356" i="1" s="1"/>
  <c r="AB356" i="1" s="1"/>
  <c r="K102" i="3" s="1"/>
  <c r="Z357" i="1"/>
  <c r="AA357" i="1" s="1"/>
  <c r="AB357" i="1" s="1"/>
  <c r="K52" i="3" s="1"/>
  <c r="Z358" i="1"/>
  <c r="AA358" i="1" s="1"/>
  <c r="AB358" i="1" s="1"/>
  <c r="K720" i="3" s="1"/>
  <c r="Z359" i="1"/>
  <c r="AA359" i="1" s="1"/>
  <c r="AB359" i="1" s="1"/>
  <c r="K207" i="3" s="1"/>
  <c r="AA360" i="1"/>
  <c r="AB360" i="1" s="1"/>
  <c r="K931" i="3" s="1"/>
  <c r="Z361" i="1"/>
  <c r="AA361" i="1" s="1"/>
  <c r="AB361" i="1" s="1"/>
  <c r="K988" i="3" s="1"/>
  <c r="Z362" i="1"/>
  <c r="AA362" i="1" s="1"/>
  <c r="AB362" i="1" s="1"/>
  <c r="K108" i="3" s="1"/>
  <c r="Z363" i="1"/>
  <c r="AA363" i="1" s="1"/>
  <c r="AB363" i="1" s="1"/>
  <c r="K479" i="3" s="1"/>
  <c r="Z364" i="1"/>
  <c r="AA364" i="1" s="1"/>
  <c r="AB364" i="1" s="1"/>
  <c r="K859" i="3" s="1"/>
  <c r="Z365" i="1"/>
  <c r="AA365" i="1" s="1"/>
  <c r="AB365" i="1" s="1"/>
  <c r="K410" i="3" s="1"/>
  <c r="AA366" i="1"/>
  <c r="AB366" i="1" s="1"/>
  <c r="K386" i="3" s="1"/>
  <c r="Z367" i="1"/>
  <c r="AA367" i="1" s="1"/>
  <c r="AB367" i="1" s="1"/>
  <c r="K531" i="3" s="1"/>
  <c r="Z368" i="1"/>
  <c r="AA368" i="1" s="1"/>
  <c r="AB368" i="1" s="1"/>
  <c r="K483" i="3" s="1"/>
  <c r="Z369" i="1"/>
  <c r="AA369" i="1" s="1"/>
  <c r="AB369" i="1" s="1"/>
  <c r="K759" i="3" s="1"/>
  <c r="Z370" i="1"/>
  <c r="AA370" i="1" s="1"/>
  <c r="AB370" i="1" s="1"/>
  <c r="K714" i="3" s="1"/>
  <c r="Z371" i="1"/>
  <c r="AA371" i="1" s="1"/>
  <c r="AB371" i="1" s="1"/>
  <c r="K748" i="3" s="1"/>
  <c r="Z372" i="1"/>
  <c r="AA372" i="1" s="1"/>
  <c r="AB372" i="1" s="1"/>
  <c r="K296" i="3" s="1"/>
  <c r="AA373" i="1"/>
  <c r="AB373" i="1" s="1"/>
  <c r="K651" i="3" s="1"/>
  <c r="Z374" i="1"/>
  <c r="AA374" i="1" s="1"/>
  <c r="AB374" i="1" s="1"/>
  <c r="K397" i="3" s="1"/>
  <c r="Z375" i="1"/>
  <c r="AA375" i="1" s="1"/>
  <c r="AB375" i="1" s="1"/>
  <c r="K551" i="3" s="1"/>
  <c r="Z376" i="1"/>
  <c r="AA376" i="1" s="1"/>
  <c r="AB376" i="1" s="1"/>
  <c r="K491" i="3" s="1"/>
  <c r="Z377" i="1"/>
  <c r="AA377" i="1" s="1"/>
  <c r="AB377" i="1" s="1"/>
  <c r="K891" i="3" s="1"/>
  <c r="Z378" i="1"/>
  <c r="AA378" i="1" s="1"/>
  <c r="AB378" i="1" s="1"/>
  <c r="K273" i="3" s="1"/>
  <c r="Z379" i="1"/>
  <c r="AA379" i="1" s="1"/>
  <c r="AB379" i="1" s="1"/>
  <c r="K907" i="3" s="1"/>
  <c r="Z380" i="1"/>
  <c r="AA380" i="1" s="1"/>
  <c r="AB380" i="1" s="1"/>
  <c r="K830" i="3" s="1"/>
  <c r="Z381" i="1"/>
  <c r="AA381" i="1" s="1"/>
  <c r="AB381" i="1" s="1"/>
  <c r="K51" i="3" s="1"/>
  <c r="Z382" i="1"/>
  <c r="AA382" i="1" s="1"/>
  <c r="AB382" i="1" s="1"/>
  <c r="K592" i="3" s="1"/>
  <c r="Z383" i="1"/>
  <c r="AA383" i="1" s="1"/>
  <c r="AB383" i="1" s="1"/>
  <c r="K555" i="3" s="1"/>
  <c r="Z384" i="1"/>
  <c r="AA384" i="1" s="1"/>
  <c r="AB384" i="1" s="1"/>
  <c r="K378" i="3" s="1"/>
  <c r="Z385" i="1"/>
  <c r="AA385" i="1" s="1"/>
  <c r="AB385" i="1" s="1"/>
  <c r="K542" i="3" s="1"/>
  <c r="Z386" i="1"/>
  <c r="AA386" i="1" s="1"/>
  <c r="AB386" i="1" s="1"/>
  <c r="K562" i="3" s="1"/>
  <c r="Z387" i="1"/>
  <c r="AA387" i="1" s="1"/>
  <c r="AB387" i="1" s="1"/>
  <c r="K31" i="3" s="1"/>
  <c r="Z388" i="1"/>
  <c r="AA388" i="1" s="1"/>
  <c r="AB388" i="1" s="1"/>
  <c r="K966" i="3" s="1"/>
  <c r="Z389" i="1"/>
  <c r="AA389" i="1" s="1"/>
  <c r="AB389" i="1" s="1"/>
  <c r="K913" i="3" s="1"/>
  <c r="Z390" i="1"/>
  <c r="AA390" i="1" s="1"/>
  <c r="AB390" i="1" s="1"/>
  <c r="K827" i="3" s="1"/>
  <c r="Z391" i="1"/>
  <c r="AA391" i="1" s="1"/>
  <c r="AB391" i="1" s="1"/>
  <c r="K818" i="3" s="1"/>
  <c r="Z392" i="1"/>
  <c r="AA392" i="1" s="1"/>
  <c r="AB392" i="1" s="1"/>
  <c r="K319" i="3" s="1"/>
  <c r="Z393" i="1"/>
  <c r="AA393" i="1" s="1"/>
  <c r="AB393" i="1" s="1"/>
  <c r="K950" i="3" s="1"/>
  <c r="Z394" i="1"/>
  <c r="AA394" i="1" s="1"/>
  <c r="AB394" i="1" s="1"/>
  <c r="K597" i="3" s="1"/>
  <c r="Z395" i="1"/>
  <c r="AA395" i="1" s="1"/>
  <c r="AB395" i="1" s="1"/>
  <c r="K752" i="3" s="1"/>
  <c r="Z396" i="1"/>
  <c r="AA396" i="1" s="1"/>
  <c r="AB396" i="1" s="1"/>
  <c r="K503" i="3" s="1"/>
  <c r="Z397" i="1"/>
  <c r="AA397" i="1" s="1"/>
  <c r="AB397" i="1" s="1"/>
  <c r="K743" i="3" s="1"/>
  <c r="Z398" i="1"/>
  <c r="AA398" i="1" s="1"/>
  <c r="AB398" i="1" s="1"/>
  <c r="K70" i="3" s="1"/>
  <c r="Z399" i="1"/>
  <c r="AA399" i="1" s="1"/>
  <c r="AB399" i="1" s="1"/>
  <c r="K392" i="3" s="1"/>
  <c r="Z400" i="1"/>
  <c r="AA400" i="1" s="1"/>
  <c r="AB400" i="1" s="1"/>
  <c r="K236" i="3" s="1"/>
  <c r="Z401" i="1"/>
  <c r="AA401" i="1" s="1"/>
  <c r="AB401" i="1" s="1"/>
  <c r="K154" i="3" s="1"/>
  <c r="Z402" i="1"/>
  <c r="AA402" i="1" s="1"/>
  <c r="AB402" i="1" s="1"/>
  <c r="K924" i="3" s="1"/>
  <c r="Z403" i="1"/>
  <c r="AA403" i="1" s="1"/>
  <c r="AB403" i="1" s="1"/>
  <c r="K617" i="3" s="1"/>
  <c r="Z404" i="1"/>
  <c r="AA404" i="1" s="1"/>
  <c r="AB404" i="1" s="1"/>
  <c r="K275" i="3" s="1"/>
  <c r="Z405" i="1"/>
  <c r="AA405" i="1" s="1"/>
  <c r="AB405" i="1" s="1"/>
  <c r="K516" i="3" s="1"/>
  <c r="Z406" i="1"/>
  <c r="AA406" i="1" s="1"/>
  <c r="AB406" i="1" s="1"/>
  <c r="K492" i="3" s="1"/>
  <c r="Z407" i="1"/>
  <c r="AA407" i="1" s="1"/>
  <c r="AB407" i="1" s="1"/>
  <c r="K250" i="3" s="1"/>
  <c r="Z408" i="1"/>
  <c r="AA408" i="1" s="1"/>
  <c r="AB408" i="1" s="1"/>
  <c r="K949" i="3" s="1"/>
  <c r="Z409" i="1"/>
  <c r="AA409" i="1" s="1"/>
  <c r="AB409" i="1" s="1"/>
  <c r="K252" i="3" s="1"/>
  <c r="Z410" i="1"/>
  <c r="AA410" i="1" s="1"/>
  <c r="AB410" i="1" s="1"/>
  <c r="K604" i="3" s="1"/>
  <c r="Z411" i="1"/>
  <c r="AA411" i="1" s="1"/>
  <c r="AB411" i="1" s="1"/>
  <c r="K982" i="3" s="1"/>
  <c r="Z413" i="1"/>
  <c r="AA413" i="1" s="1"/>
  <c r="AB413" i="1" s="1"/>
  <c r="K62" i="3" s="1"/>
  <c r="Z414" i="1"/>
  <c r="AA414" i="1" s="1"/>
  <c r="AB414" i="1" s="1"/>
  <c r="K546" i="3" s="1"/>
  <c r="Z415" i="1"/>
  <c r="AA415" i="1" s="1"/>
  <c r="AB415" i="1" s="1"/>
  <c r="K837" i="3" s="1"/>
  <c r="Z416" i="1"/>
  <c r="AA416" i="1" s="1"/>
  <c r="AB416" i="1" s="1"/>
  <c r="K426" i="3" s="1"/>
  <c r="Z417" i="1"/>
  <c r="AA417" i="1" s="1"/>
  <c r="AB417" i="1" s="1"/>
  <c r="K452" i="3" s="1"/>
  <c r="Z418" i="1"/>
  <c r="AA418" i="1" s="1"/>
  <c r="AB418" i="1" s="1"/>
  <c r="K570" i="3" s="1"/>
  <c r="Z419" i="1"/>
  <c r="AA419" i="1" s="1"/>
  <c r="AB419" i="1" s="1"/>
  <c r="K240" i="3" s="1"/>
  <c r="Z420" i="1"/>
  <c r="AA420" i="1" s="1"/>
  <c r="AB420" i="1" s="1"/>
  <c r="K628" i="3" s="1"/>
  <c r="Z421" i="1"/>
  <c r="AA421" i="1" s="1"/>
  <c r="AB421" i="1" s="1"/>
  <c r="K605" i="3" s="1"/>
  <c r="Z422" i="1"/>
  <c r="AA422" i="1" s="1"/>
  <c r="AB422" i="1" s="1"/>
  <c r="K761" i="3" s="1"/>
  <c r="Z423" i="1"/>
  <c r="AA423" i="1" s="1"/>
  <c r="AB423" i="1" s="1"/>
  <c r="K358" i="3" s="1"/>
  <c r="Z424" i="1"/>
  <c r="AA424" i="1" s="1"/>
  <c r="AB424" i="1" s="1"/>
  <c r="K18" i="3" s="1"/>
  <c r="Z425" i="1"/>
  <c r="AA425" i="1" s="1"/>
  <c r="AB425" i="1" s="1"/>
  <c r="K324" i="3" s="1"/>
  <c r="Z426" i="1"/>
  <c r="AA426" i="1" s="1"/>
  <c r="AB426" i="1" s="1"/>
  <c r="K896" i="3" s="1"/>
  <c r="Z428" i="1"/>
  <c r="AA428" i="1" s="1"/>
  <c r="AB428" i="1" s="1"/>
  <c r="K644" i="3" s="1"/>
  <c r="Z429" i="1"/>
  <c r="AA429" i="1" s="1"/>
  <c r="AB429" i="1" s="1"/>
  <c r="K803" i="3" s="1"/>
  <c r="AA430" i="1"/>
  <c r="AB430" i="1" s="1"/>
  <c r="K622" i="3" s="1"/>
  <c r="AA431" i="1"/>
  <c r="AB431" i="1" s="1"/>
  <c r="K420" i="3" s="1"/>
  <c r="Z432" i="1"/>
  <c r="AA432" i="1" s="1"/>
  <c r="AB432" i="1" s="1"/>
  <c r="K415" i="3" s="1"/>
  <c r="Z433" i="1"/>
  <c r="AA433" i="1" s="1"/>
  <c r="AB433" i="1" s="1"/>
  <c r="K529" i="3" s="1"/>
  <c r="Z434" i="1"/>
  <c r="AA434" i="1" s="1"/>
  <c r="AB434" i="1" s="1"/>
  <c r="K178" i="3" s="1"/>
  <c r="AA435" i="1"/>
  <c r="AB435" i="1" s="1"/>
  <c r="K656" i="3" s="1"/>
  <c r="Z436" i="1"/>
  <c r="AA436" i="1" s="1"/>
  <c r="AB436" i="1" s="1"/>
  <c r="K821" i="3" s="1"/>
  <c r="Z437" i="1"/>
  <c r="AA437" i="1" s="1"/>
  <c r="AB437" i="1" s="1"/>
  <c r="K669" i="3" s="1"/>
  <c r="Z438" i="1"/>
  <c r="AA438" i="1" s="1"/>
  <c r="AB438" i="1" s="1"/>
  <c r="K887" i="3" s="1"/>
  <c r="Z439" i="1"/>
  <c r="AA439" i="1" s="1"/>
  <c r="AB439" i="1" s="1"/>
  <c r="K91" i="3" s="1"/>
  <c r="Z440" i="1"/>
  <c r="AA440" i="1" s="1"/>
  <c r="AB440" i="1" s="1"/>
  <c r="K813" i="3" s="1"/>
  <c r="Z441" i="1"/>
  <c r="AA441" i="1" s="1"/>
  <c r="AB441" i="1" s="1"/>
  <c r="K856" i="3" s="1"/>
  <c r="Z442" i="1"/>
  <c r="AA442" i="1" s="1"/>
  <c r="AB442" i="1" s="1"/>
  <c r="K688" i="3" s="1"/>
  <c r="Z444" i="1"/>
  <c r="AA444" i="1" s="1"/>
  <c r="AB444" i="1" s="1"/>
  <c r="K757" i="3" s="1"/>
  <c r="Z445" i="1"/>
  <c r="AA445" i="1" s="1"/>
  <c r="AB445" i="1" s="1"/>
  <c r="K667" i="3" s="1"/>
  <c r="Z446" i="1"/>
  <c r="AA446" i="1" s="1"/>
  <c r="AB446" i="1" s="1"/>
  <c r="K719" i="3" s="1"/>
  <c r="Z447" i="1"/>
  <c r="AA447" i="1" s="1"/>
  <c r="AB447" i="1" s="1"/>
  <c r="K883" i="3" s="1"/>
  <c r="Z448" i="1"/>
  <c r="AA448" i="1" s="1"/>
  <c r="AB448" i="1" s="1"/>
  <c r="K664" i="3" s="1"/>
  <c r="Z449" i="1"/>
  <c r="AA449" i="1" s="1"/>
  <c r="AB449" i="1" s="1"/>
  <c r="K921" i="3" s="1"/>
  <c r="Z450" i="1"/>
  <c r="AA450" i="1" s="1"/>
  <c r="AB450" i="1" s="1"/>
  <c r="K130" i="3" s="1"/>
  <c r="Z451" i="1"/>
  <c r="AA451" i="1" s="1"/>
  <c r="AB451" i="1" s="1"/>
  <c r="K168" i="3" s="1"/>
  <c r="Z452" i="1"/>
  <c r="AA452" i="1" s="1"/>
  <c r="AB452" i="1" s="1"/>
  <c r="K630" i="3" s="1"/>
  <c r="AA453" i="1"/>
  <c r="AB453" i="1" s="1"/>
  <c r="K639" i="3" s="1"/>
  <c r="Z454" i="1"/>
  <c r="AA454" i="1" s="1"/>
  <c r="AB454" i="1" s="1"/>
  <c r="K865" i="3" s="1"/>
  <c r="Z455" i="1"/>
  <c r="AA455" i="1" s="1"/>
  <c r="AB455" i="1" s="1"/>
  <c r="K364" i="3" s="1"/>
  <c r="Z456" i="1"/>
  <c r="AA456" i="1" s="1"/>
  <c r="AB456" i="1" s="1"/>
  <c r="K473" i="3" s="1"/>
  <c r="Z457" i="1"/>
  <c r="AA457" i="1" s="1"/>
  <c r="AB457" i="1" s="1"/>
  <c r="K956" i="3" s="1"/>
  <c r="Z458" i="1"/>
  <c r="AA458" i="1" s="1"/>
  <c r="AB458" i="1" s="1"/>
  <c r="K792" i="3" s="1"/>
  <c r="Z459" i="1"/>
  <c r="AA459" i="1" s="1"/>
  <c r="AB459" i="1" s="1"/>
  <c r="K418" i="3" s="1"/>
  <c r="Z460" i="1"/>
  <c r="AA460" i="1" s="1"/>
  <c r="AB460" i="1" s="1"/>
  <c r="K526" i="3" s="1"/>
  <c r="Z461" i="1"/>
  <c r="AA461" i="1" s="1"/>
  <c r="AB461" i="1" s="1"/>
  <c r="K833" i="3" s="1"/>
  <c r="Z462" i="1"/>
  <c r="AA462" i="1" s="1"/>
  <c r="AB462" i="1" s="1"/>
  <c r="K186" i="3" s="1"/>
  <c r="Z463" i="1"/>
  <c r="AA463" i="1" s="1"/>
  <c r="AB463" i="1" s="1"/>
  <c r="K981" i="3" s="1"/>
  <c r="Z464" i="1"/>
  <c r="AA464" i="1" s="1"/>
  <c r="AB464" i="1" s="1"/>
  <c r="K540" i="3" s="1"/>
  <c r="Z465" i="1"/>
  <c r="AA465" i="1" s="1"/>
  <c r="AB465" i="1" s="1"/>
  <c r="K846" i="3" s="1"/>
  <c r="Z466" i="1"/>
  <c r="AA466" i="1" s="1"/>
  <c r="AB466" i="1" s="1"/>
  <c r="K297" i="3" s="1"/>
  <c r="Z467" i="1"/>
  <c r="AA467" i="1" s="1"/>
  <c r="AB467" i="1" s="1"/>
  <c r="K985" i="3" s="1"/>
  <c r="AA468" i="1"/>
  <c r="AB468" i="1" s="1"/>
  <c r="K559" i="3" s="1"/>
  <c r="Z469" i="1"/>
  <c r="AA469" i="1" s="1"/>
  <c r="AB469" i="1" s="1"/>
  <c r="K499" i="3" s="1"/>
  <c r="Z470" i="1"/>
  <c r="AA470" i="1" s="1"/>
  <c r="AB470" i="1" s="1"/>
  <c r="K36" i="3" s="1"/>
  <c r="Z471" i="1"/>
  <c r="AA471" i="1" s="1"/>
  <c r="AB471" i="1" s="1"/>
  <c r="K400" i="3" s="1"/>
  <c r="Z472" i="1"/>
  <c r="AA472" i="1" s="1"/>
  <c r="AB472" i="1" s="1"/>
  <c r="K925" i="3" s="1"/>
  <c r="Z473" i="1"/>
  <c r="AA473" i="1" s="1"/>
  <c r="AB473" i="1" s="1"/>
  <c r="K326" i="3" s="1"/>
  <c r="Z474" i="1"/>
  <c r="AA474" i="1" s="1"/>
  <c r="AB474" i="1" s="1"/>
  <c r="K625" i="3" s="1"/>
  <c r="Z475" i="1"/>
  <c r="AA475" i="1" s="1"/>
  <c r="AB475" i="1" s="1"/>
  <c r="K89" i="3" s="1"/>
  <c r="Z476" i="1"/>
  <c r="AA476" i="1" s="1"/>
  <c r="AB476" i="1" s="1"/>
  <c r="K462" i="3" s="1"/>
  <c r="Z477" i="1"/>
  <c r="AA477" i="1" s="1"/>
  <c r="AB477" i="1" s="1"/>
  <c r="K754" i="3" s="1"/>
  <c r="Z478" i="1"/>
  <c r="AA478" i="1" s="1"/>
  <c r="AB478" i="1" s="1"/>
  <c r="K218" i="3" s="1"/>
  <c r="Z479" i="1"/>
  <c r="AA479" i="1" s="1"/>
  <c r="AB479" i="1" s="1"/>
  <c r="K118" i="3" s="1"/>
  <c r="Z480" i="1"/>
  <c r="AA480" i="1" s="1"/>
  <c r="AB480" i="1" s="1"/>
  <c r="K881" i="3" s="1"/>
  <c r="Z481" i="1"/>
  <c r="AA481" i="1" s="1"/>
  <c r="AB481" i="1" s="1"/>
  <c r="K327" i="3" s="1"/>
  <c r="Z482" i="1"/>
  <c r="AA482" i="1" s="1"/>
  <c r="AB482" i="1" s="1"/>
  <c r="K29" i="3" s="1"/>
  <c r="Z483" i="1"/>
  <c r="AA483" i="1" s="1"/>
  <c r="AB483" i="1" s="1"/>
  <c r="K512" i="3" s="1"/>
  <c r="Z484" i="1"/>
  <c r="AA484" i="1" s="1"/>
  <c r="AB484" i="1" s="1"/>
  <c r="K522" i="3" s="1"/>
  <c r="Z485" i="1"/>
  <c r="AA485" i="1" s="1"/>
  <c r="AB485" i="1" s="1"/>
  <c r="K871" i="3" s="1"/>
  <c r="Z486" i="1"/>
  <c r="AA486" i="1" s="1"/>
  <c r="AB486" i="1" s="1"/>
  <c r="K747" i="3" s="1"/>
  <c r="Z487" i="1"/>
  <c r="AA487" i="1" s="1"/>
  <c r="AB487" i="1" s="1"/>
  <c r="K520" i="3" s="1"/>
  <c r="AA488" i="1"/>
  <c r="AB488" i="1" s="1"/>
  <c r="K306" i="3" s="1"/>
  <c r="Z489" i="1"/>
  <c r="AA489" i="1" s="1"/>
  <c r="AB489" i="1" s="1"/>
  <c r="K888" i="3" s="1"/>
  <c r="Z490" i="1"/>
  <c r="AA490" i="1" s="1"/>
  <c r="AB490" i="1" s="1"/>
  <c r="K703" i="3" s="1"/>
  <c r="Z491" i="1"/>
  <c r="AA491" i="1" s="1"/>
  <c r="AB491" i="1" s="1"/>
  <c r="K430" i="3" s="1"/>
  <c r="Z492" i="1"/>
  <c r="AA492" i="1" s="1"/>
  <c r="AB492" i="1" s="1"/>
  <c r="K444" i="3" s="1"/>
  <c r="Z493" i="1"/>
  <c r="AA493" i="1" s="1"/>
  <c r="AB493" i="1" s="1"/>
  <c r="K704" i="3" s="1"/>
  <c r="AA494" i="1"/>
  <c r="AB494" i="1" s="1"/>
  <c r="K295" i="3" s="1"/>
  <c r="Z495" i="1"/>
  <c r="AA495" i="1" s="1"/>
  <c r="AB495" i="1" s="1"/>
  <c r="K149" i="3" s="1"/>
  <c r="AA496" i="1"/>
  <c r="AB496" i="1" s="1"/>
  <c r="K700" i="3" s="1"/>
  <c r="Z497" i="1"/>
  <c r="AA497" i="1" s="1"/>
  <c r="AB497" i="1" s="1"/>
  <c r="K728" i="3" s="1"/>
  <c r="Z498" i="1"/>
  <c r="AA498" i="1" s="1"/>
  <c r="AB498" i="1" s="1"/>
  <c r="K65" i="3" s="1"/>
  <c r="Z499" i="1"/>
  <c r="AA499" i="1" s="1"/>
  <c r="AB499" i="1" s="1"/>
  <c r="K284" i="3" s="1"/>
  <c r="Z500" i="1"/>
  <c r="AA500" i="1" s="1"/>
  <c r="AB500" i="1" s="1"/>
  <c r="K937" i="3" s="1"/>
  <c r="Z501" i="1"/>
  <c r="AA501" i="1" s="1"/>
  <c r="AB501" i="1" s="1"/>
  <c r="K547" i="3" s="1"/>
  <c r="Z502" i="1"/>
  <c r="AA502" i="1" s="1"/>
  <c r="AB502" i="1" s="1"/>
  <c r="K139" i="3" s="1"/>
  <c r="Z503" i="1"/>
  <c r="AA503" i="1" s="1"/>
  <c r="AB503" i="1" s="1"/>
  <c r="K731" i="3" s="1"/>
  <c r="Z504" i="1"/>
  <c r="AA504" i="1" s="1"/>
  <c r="AB504" i="1" s="1"/>
  <c r="K951" i="3" s="1"/>
  <c r="Z505" i="1"/>
  <c r="AA505" i="1" s="1"/>
  <c r="AB505" i="1" s="1"/>
  <c r="K911" i="3" s="1"/>
  <c r="Z506" i="1"/>
  <c r="AA506" i="1" s="1"/>
  <c r="AB506" i="1" s="1"/>
  <c r="K969" i="3" s="1"/>
  <c r="Z507" i="1"/>
  <c r="AA507" i="1" s="1"/>
  <c r="AB507" i="1" s="1"/>
  <c r="K749" i="3" s="1"/>
  <c r="Z508" i="1"/>
  <c r="AA508" i="1" s="1"/>
  <c r="AB508" i="1" s="1"/>
  <c r="K952" i="3" s="1"/>
  <c r="Z509" i="1"/>
  <c r="AA509" i="1" s="1"/>
  <c r="AB509" i="1" s="1"/>
  <c r="K697" i="3" s="1"/>
  <c r="Z510" i="1"/>
  <c r="AA510" i="1" s="1"/>
  <c r="AB510" i="1" s="1"/>
  <c r="K87" i="3" s="1"/>
  <c r="Z511" i="1"/>
  <c r="AA511" i="1" s="1"/>
  <c r="AB511" i="1" s="1"/>
  <c r="K204" i="3" s="1"/>
  <c r="Z512" i="1"/>
  <c r="AA512" i="1" s="1"/>
  <c r="AB512" i="1" s="1"/>
  <c r="K958" i="3" s="1"/>
  <c r="Z513" i="1"/>
  <c r="AA513" i="1" s="1"/>
  <c r="AB513" i="1" s="1"/>
  <c r="K615" i="3" s="1"/>
  <c r="Z514" i="1"/>
  <c r="AA514" i="1" s="1"/>
  <c r="AB514" i="1" s="1"/>
  <c r="K711" i="3" s="1"/>
  <c r="Z515" i="1"/>
  <c r="AA515" i="1" s="1"/>
  <c r="AB515" i="1" s="1"/>
  <c r="K169" i="3" s="1"/>
  <c r="Z516" i="1"/>
  <c r="AA516" i="1" s="1"/>
  <c r="AB516" i="1" s="1"/>
  <c r="K717" i="3" s="1"/>
  <c r="Z517" i="1"/>
  <c r="AA517" i="1" s="1"/>
  <c r="AB517" i="1" s="1"/>
  <c r="K624" i="3" s="1"/>
  <c r="Z518" i="1"/>
  <c r="AA518" i="1" s="1"/>
  <c r="AB518" i="1" s="1"/>
  <c r="K621" i="3" s="1"/>
  <c r="Z519" i="1"/>
  <c r="AA519" i="1" s="1"/>
  <c r="AB519" i="1" s="1"/>
  <c r="K435" i="3" s="1"/>
  <c r="Z520" i="1"/>
  <c r="AA520" i="1" s="1"/>
  <c r="AB520" i="1" s="1"/>
  <c r="K215" i="3" s="1"/>
  <c r="Z521" i="1"/>
  <c r="AA521" i="1" s="1"/>
  <c r="AB521" i="1" s="1"/>
  <c r="K815" i="3" s="1"/>
  <c r="Z522" i="1"/>
  <c r="AA522" i="1" s="1"/>
  <c r="AB522" i="1" s="1"/>
  <c r="K336" i="3" s="1"/>
  <c r="Z523" i="1"/>
  <c r="AA523" i="1" s="1"/>
  <c r="AB523" i="1" s="1"/>
  <c r="K782" i="3" s="1"/>
  <c r="Z524" i="1"/>
  <c r="AA524" i="1" s="1"/>
  <c r="AB524" i="1" s="1"/>
  <c r="K637" i="3" s="1"/>
  <c r="Z525" i="1"/>
  <c r="AA525" i="1" s="1"/>
  <c r="AB525" i="1" s="1"/>
  <c r="K404" i="3" s="1"/>
  <c r="Z526" i="1"/>
  <c r="AA526" i="1" s="1"/>
  <c r="AB526" i="1" s="1"/>
  <c r="K253" i="3" s="1"/>
  <c r="Z527" i="1"/>
  <c r="AA527" i="1" s="1"/>
  <c r="AB527" i="1" s="1"/>
  <c r="K385" i="3" s="1"/>
  <c r="Z528" i="1"/>
  <c r="AA528" i="1" s="1"/>
  <c r="AB528" i="1" s="1"/>
  <c r="K572" i="3" s="1"/>
  <c r="Z529" i="1"/>
  <c r="AA529" i="1" s="1"/>
  <c r="AB529" i="1" s="1"/>
  <c r="K845" i="3" s="1"/>
  <c r="AA530" i="1"/>
  <c r="AB530" i="1" s="1"/>
  <c r="K536" i="3" s="1"/>
  <c r="Z531" i="1"/>
  <c r="AA531" i="1" s="1"/>
  <c r="AB531" i="1" s="1"/>
  <c r="K608" i="3" s="1"/>
  <c r="Z532" i="1"/>
  <c r="AA532" i="1" s="1"/>
  <c r="AB532" i="1" s="1"/>
  <c r="K816" i="3" s="1"/>
  <c r="Z533" i="1"/>
  <c r="AA533" i="1" s="1"/>
  <c r="AB533" i="1" s="1"/>
  <c r="K329" i="3" s="1"/>
  <c r="Z534" i="1"/>
  <c r="AA534" i="1" s="1"/>
  <c r="AB534" i="1" s="1"/>
  <c r="K940" i="3" s="1"/>
  <c r="Z535" i="1"/>
  <c r="AA535" i="1" s="1"/>
  <c r="AB535" i="1" s="1"/>
  <c r="K505" i="3" s="1"/>
  <c r="Z536" i="1"/>
  <c r="AA536" i="1" s="1"/>
  <c r="AB536" i="1" s="1"/>
  <c r="K588" i="3" s="1"/>
  <c r="Z537" i="1"/>
  <c r="AA537" i="1" s="1"/>
  <c r="AB537" i="1" s="1"/>
  <c r="K745" i="3" s="1"/>
  <c r="Z538" i="1"/>
  <c r="AA538" i="1" s="1"/>
  <c r="AB538" i="1" s="1"/>
  <c r="K780" i="3" s="1"/>
  <c r="Z539" i="1"/>
  <c r="AA539" i="1" s="1"/>
  <c r="AB539" i="1" s="1"/>
  <c r="K242" i="3" s="1"/>
  <c r="Z540" i="1"/>
  <c r="AA540" i="1" s="1"/>
  <c r="AB540" i="1" s="1"/>
  <c r="K953" i="3" s="1"/>
  <c r="Z541" i="1"/>
  <c r="AA541" i="1" s="1"/>
  <c r="AB541" i="1" s="1"/>
  <c r="K979" i="3" s="1"/>
  <c r="Z542" i="1"/>
  <c r="AA542" i="1" s="1"/>
  <c r="AB542" i="1" s="1"/>
  <c r="K775" i="3" s="1"/>
  <c r="Z543" i="1"/>
  <c r="AA543" i="1" s="1"/>
  <c r="AB543" i="1" s="1"/>
  <c r="K502" i="3" s="1"/>
  <c r="Z544" i="1"/>
  <c r="AA544" i="1" s="1"/>
  <c r="AB544" i="1" s="1"/>
  <c r="K941" i="3" s="1"/>
  <c r="Z545" i="1"/>
  <c r="AA545" i="1" s="1"/>
  <c r="AB545" i="1" s="1"/>
  <c r="K407" i="3" s="1"/>
  <c r="Z546" i="1"/>
  <c r="AA546" i="1" s="1"/>
  <c r="AB546" i="1" s="1"/>
  <c r="K929" i="3" s="1"/>
  <c r="Z547" i="1"/>
  <c r="AA547" i="1" s="1"/>
  <c r="AB547" i="1" s="1"/>
  <c r="K991" i="3" s="1"/>
  <c r="Z548" i="1"/>
  <c r="AA548" i="1" s="1"/>
  <c r="AB548" i="1" s="1"/>
  <c r="K983" i="3" s="1"/>
  <c r="Z549" i="1"/>
  <c r="AA549" i="1" s="1"/>
  <c r="AB549" i="1" s="1"/>
  <c r="K968" i="3" s="1"/>
  <c r="Z550" i="1"/>
  <c r="AA550" i="1" s="1"/>
  <c r="AB550" i="1" s="1"/>
  <c r="K926" i="3" s="1"/>
  <c r="Z551" i="1"/>
  <c r="AA551" i="1" s="1"/>
  <c r="AB551" i="1" s="1"/>
  <c r="K810" i="3" s="1"/>
  <c r="Z552" i="1"/>
  <c r="AA552" i="1" s="1"/>
  <c r="AB552" i="1" s="1"/>
  <c r="K28" i="3" s="1"/>
  <c r="Z553" i="1"/>
  <c r="AA553" i="1" s="1"/>
  <c r="AB553" i="1" s="1"/>
  <c r="K809" i="3" s="1"/>
  <c r="AA554" i="1"/>
  <c r="AB554" i="1" s="1"/>
  <c r="K534" i="3" s="1"/>
  <c r="Z555" i="1"/>
  <c r="AA555" i="1" s="1"/>
  <c r="AB555" i="1" s="1"/>
  <c r="K100" i="3" s="1"/>
  <c r="Z556" i="1"/>
  <c r="AA556" i="1" s="1"/>
  <c r="AB556" i="1" s="1"/>
  <c r="K341" i="3" s="1"/>
  <c r="Z557" i="1"/>
  <c r="AA557" i="1" s="1"/>
  <c r="AB557" i="1" s="1"/>
  <c r="K312" i="3" s="1"/>
  <c r="Z558" i="1"/>
  <c r="AA558" i="1" s="1"/>
  <c r="AB558" i="1" s="1"/>
  <c r="K814" i="3" s="1"/>
  <c r="Z559" i="1"/>
  <c r="AA559" i="1" s="1"/>
  <c r="AB559" i="1" s="1"/>
  <c r="K515" i="3" s="1"/>
  <c r="Z560" i="1"/>
  <c r="AA560" i="1" s="1"/>
  <c r="AB560" i="1" s="1"/>
  <c r="K84" i="3" s="1"/>
  <c r="AA561" i="1"/>
  <c r="AB561" i="1" s="1"/>
  <c r="K19" i="3" s="1"/>
  <c r="Z562" i="1"/>
  <c r="AA562" i="1" s="1"/>
  <c r="AB562" i="1" s="1"/>
  <c r="K322" i="3" s="1"/>
  <c r="Z563" i="1"/>
  <c r="AA563" i="1" s="1"/>
  <c r="AB563" i="1" s="1"/>
  <c r="K895" i="3" s="1"/>
  <c r="Z564" i="1"/>
  <c r="AA564" i="1" s="1"/>
  <c r="AB564" i="1" s="1"/>
  <c r="K699" i="3" s="1"/>
  <c r="Z565" i="1"/>
  <c r="AA565" i="1" s="1"/>
  <c r="AB565" i="1" s="1"/>
  <c r="K989" i="3" s="1"/>
  <c r="Z566" i="1"/>
  <c r="AA566" i="1" s="1"/>
  <c r="AB566" i="1" s="1"/>
  <c r="K33" i="3" s="1"/>
  <c r="Z567" i="1"/>
  <c r="AA567" i="1" s="1"/>
  <c r="AB567" i="1" s="1"/>
  <c r="K470" i="3" s="1"/>
  <c r="Z568" i="1"/>
  <c r="AA568" i="1" s="1"/>
  <c r="AB568" i="1" s="1"/>
  <c r="K938" i="3" s="1"/>
  <c r="Z569" i="1"/>
  <c r="AA569" i="1" s="1"/>
  <c r="AB569" i="1" s="1"/>
  <c r="K500" i="3" s="1"/>
  <c r="Z570" i="1"/>
  <c r="AA570" i="1" s="1"/>
  <c r="AB570" i="1" s="1"/>
  <c r="K863" i="3" s="1"/>
  <c r="Z571" i="1"/>
  <c r="AA571" i="1" s="1"/>
  <c r="AB571" i="1" s="1"/>
  <c r="K576" i="3" s="1"/>
  <c r="Z572" i="1"/>
  <c r="AA572" i="1" s="1"/>
  <c r="AB572" i="1" s="1"/>
  <c r="K431" i="3" s="1"/>
  <c r="Z573" i="1"/>
  <c r="AA573" i="1" s="1"/>
  <c r="AB573" i="1" s="1"/>
  <c r="K173" i="3" s="1"/>
  <c r="Z574" i="1"/>
  <c r="AA574" i="1" s="1"/>
  <c r="AB574" i="1" s="1"/>
  <c r="K751" i="3" s="1"/>
  <c r="AA575" i="1"/>
  <c r="AB575" i="1" s="1"/>
  <c r="K104" i="3" s="1"/>
  <c r="Z576" i="1"/>
  <c r="AA576" i="1" s="1"/>
  <c r="AB576" i="1" s="1"/>
  <c r="K363" i="3" s="1"/>
  <c r="Z577" i="1"/>
  <c r="AA577" i="1" s="1"/>
  <c r="AB577" i="1" s="1"/>
  <c r="K15" i="3" s="1"/>
  <c r="Z578" i="1"/>
  <c r="AA578" i="1" s="1"/>
  <c r="AB578" i="1" s="1"/>
  <c r="K808" i="3" s="1"/>
  <c r="Z579" i="1"/>
  <c r="AA579" i="1" s="1"/>
  <c r="AB579" i="1" s="1"/>
  <c r="K436" i="3" s="1"/>
  <c r="AA580" i="1"/>
  <c r="AB580" i="1" s="1"/>
  <c r="K498" i="3" s="1"/>
  <c r="Z581" i="1"/>
  <c r="AA581" i="1" s="1"/>
  <c r="AB581" i="1" s="1"/>
  <c r="K484" i="3" s="1"/>
  <c r="Z582" i="1"/>
  <c r="AA582" i="1" s="1"/>
  <c r="AB582" i="1" s="1"/>
  <c r="K545" i="3" s="1"/>
  <c r="Z583" i="1"/>
  <c r="AA583" i="1" s="1"/>
  <c r="AB583" i="1" s="1"/>
  <c r="K403" i="3" s="1"/>
  <c r="Z584" i="1"/>
  <c r="AA584" i="1" s="1"/>
  <c r="AB584" i="1" s="1"/>
  <c r="K347" i="3" s="1"/>
  <c r="Z585" i="1"/>
  <c r="AA585" i="1" s="1"/>
  <c r="AB585" i="1" s="1"/>
  <c r="K691" i="3" s="1"/>
  <c r="AA586" i="1"/>
  <c r="AB586" i="1" s="1"/>
  <c r="K339" i="3" s="1"/>
  <c r="Z587" i="1"/>
  <c r="AA587" i="1" s="1"/>
  <c r="AB587" i="1" s="1"/>
  <c r="K722" i="3" s="1"/>
  <c r="Z588" i="1"/>
  <c r="AA588" i="1" s="1"/>
  <c r="AB588" i="1" s="1"/>
  <c r="K806" i="3" s="1"/>
  <c r="Z589" i="1"/>
  <c r="AA589" i="1" s="1"/>
  <c r="AB589" i="1" s="1"/>
  <c r="K730" i="3" s="1"/>
  <c r="Z590" i="1"/>
  <c r="AA590" i="1" s="1"/>
  <c r="AB590" i="1" s="1"/>
  <c r="K301" i="3" s="1"/>
  <c r="AA591" i="1"/>
  <c r="AB591" i="1" s="1"/>
  <c r="K626" i="3" s="1"/>
  <c r="Z592" i="1"/>
  <c r="AA592" i="1" s="1"/>
  <c r="AB592" i="1" s="1"/>
  <c r="K38" i="3" s="1"/>
  <c r="Z593" i="1"/>
  <c r="AA593" i="1" s="1"/>
  <c r="AB593" i="1" s="1"/>
  <c r="K212" i="3" s="1"/>
  <c r="Z594" i="1"/>
  <c r="AA594" i="1" s="1"/>
  <c r="AB594" i="1" s="1"/>
  <c r="K880" i="3" s="1"/>
  <c r="Z595" i="1"/>
  <c r="AA595" i="1" s="1"/>
  <c r="AB595" i="1" s="1"/>
  <c r="K849" i="3" s="1"/>
  <c r="Z596" i="1"/>
  <c r="AA596" i="1" s="1"/>
  <c r="AB596" i="1" s="1"/>
  <c r="K135" i="3" s="1"/>
  <c r="Z597" i="1"/>
  <c r="AA597" i="1" s="1"/>
  <c r="AB597" i="1" s="1"/>
  <c r="K121" i="3" s="1"/>
  <c r="Z598" i="1"/>
  <c r="AA598" i="1" s="1"/>
  <c r="AB598" i="1" s="1"/>
  <c r="K633" i="3" s="1"/>
  <c r="Z599" i="1"/>
  <c r="AA599" i="1" s="1"/>
  <c r="AB599" i="1" s="1"/>
  <c r="K331" i="3" s="1"/>
  <c r="Z600" i="1"/>
  <c r="AA600" i="1" s="1"/>
  <c r="AB600" i="1" s="1"/>
  <c r="K141" i="3" s="1"/>
  <c r="AA601" i="1"/>
  <c r="AB601" i="1" s="1"/>
  <c r="K128" i="3" s="1"/>
  <c r="Z602" i="1"/>
  <c r="AA602" i="1" s="1"/>
  <c r="AB602" i="1" s="1"/>
  <c r="K804" i="3" s="1"/>
  <c r="Z604" i="1"/>
  <c r="AA604" i="1" s="1"/>
  <c r="AB604" i="1" s="1"/>
  <c r="K684" i="3" s="1"/>
  <c r="Z605" i="1"/>
  <c r="AA605" i="1" s="1"/>
  <c r="AB605" i="1" s="1"/>
  <c r="K579" i="3" s="1"/>
  <c r="Z606" i="1"/>
  <c r="AA606" i="1" s="1"/>
  <c r="AB606" i="1" s="1"/>
  <c r="K239" i="3" s="1"/>
  <c r="AA607" i="1"/>
  <c r="AB607" i="1" s="1"/>
  <c r="K960" i="3" s="1"/>
  <c r="Z608" i="1"/>
  <c r="AA608" i="1" s="1"/>
  <c r="AB608" i="1" s="1"/>
  <c r="K665" i="3" s="1"/>
  <c r="Z609" i="1"/>
  <c r="AA609" i="1" s="1"/>
  <c r="AB609" i="1" s="1"/>
  <c r="K832" i="3" s="1"/>
  <c r="Z610" i="1"/>
  <c r="AA610" i="1" s="1"/>
  <c r="AB610" i="1" s="1"/>
  <c r="K471" i="3" s="1"/>
  <c r="Z611" i="1"/>
  <c r="AA611" i="1" s="1"/>
  <c r="AB611" i="1" s="1"/>
  <c r="K205" i="3" s="1"/>
  <c r="Z612" i="1"/>
  <c r="AA612" i="1" s="1"/>
  <c r="AB612" i="1" s="1"/>
  <c r="K182" i="3" s="1"/>
  <c r="Z613" i="1"/>
  <c r="AA613" i="1" s="1"/>
  <c r="AB613" i="1" s="1"/>
  <c r="K172" i="3" s="1"/>
  <c r="Z614" i="1"/>
  <c r="AA614" i="1" s="1"/>
  <c r="AB614" i="1" s="1"/>
  <c r="K247" i="3" s="1"/>
  <c r="Z615" i="1"/>
  <c r="AA615" i="1" s="1"/>
  <c r="AB615" i="1" s="1"/>
  <c r="K772" i="3" s="1"/>
  <c r="AA616" i="1"/>
  <c r="AB616" i="1" s="1"/>
  <c r="K393" i="3" s="1"/>
  <c r="Z617" i="1"/>
  <c r="AA617" i="1" s="1"/>
  <c r="AB617" i="1" s="1"/>
  <c r="K80" i="3" s="1"/>
  <c r="Z618" i="1"/>
  <c r="AA618" i="1" s="1"/>
  <c r="AB618" i="1" s="1"/>
  <c r="K580" i="3" s="1"/>
  <c r="Z619" i="1"/>
  <c r="AA619" i="1" s="1"/>
  <c r="AB619" i="1" s="1"/>
  <c r="K468" i="3" s="1"/>
  <c r="Z621" i="1"/>
  <c r="AA621" i="1" s="1"/>
  <c r="AB621" i="1" s="1"/>
  <c r="K443" i="3" s="1"/>
  <c r="Z622" i="1"/>
  <c r="AA622" i="1" s="1"/>
  <c r="AB622" i="1" s="1"/>
  <c r="K918" i="3" s="1"/>
  <c r="Z623" i="1"/>
  <c r="AA623" i="1" s="1"/>
  <c r="AB623" i="1" s="1"/>
  <c r="K96" i="3" s="1"/>
  <c r="Z624" i="1"/>
  <c r="AA624" i="1" s="1"/>
  <c r="AB624" i="1" s="1"/>
  <c r="K416" i="3" s="1"/>
  <c r="Z625" i="1"/>
  <c r="AA625" i="1" s="1"/>
  <c r="AB625" i="1" s="1"/>
  <c r="K366" i="3" s="1"/>
  <c r="Z626" i="1"/>
  <c r="AA626" i="1" s="1"/>
  <c r="AB626" i="1" s="1"/>
  <c r="K487" i="3" s="1"/>
  <c r="Z627" i="1"/>
  <c r="AA627" i="1" s="1"/>
  <c r="AB627" i="1" s="1"/>
  <c r="K681" i="3" s="1"/>
  <c r="Z628" i="1"/>
  <c r="AA628" i="1" s="1"/>
  <c r="AB628" i="1" s="1"/>
  <c r="K365" i="3" s="1"/>
  <c r="Z629" i="1"/>
  <c r="AA629" i="1" s="1"/>
  <c r="AB629" i="1" s="1"/>
  <c r="K935" i="3" s="1"/>
  <c r="AA630" i="1"/>
  <c r="AB630" i="1" s="1"/>
  <c r="K915" i="3" s="1"/>
  <c r="Z631" i="1"/>
  <c r="AA631" i="1" s="1"/>
  <c r="AB631" i="1" s="1"/>
  <c r="K2" i="3" s="1"/>
  <c r="Z632" i="1"/>
  <c r="AA632" i="1" s="1"/>
  <c r="AB632" i="1" s="1"/>
  <c r="K998" i="3" s="1"/>
  <c r="Z633" i="1"/>
  <c r="AA633" i="1" s="1"/>
  <c r="AB633" i="1" s="1"/>
  <c r="K514" i="3" s="1"/>
  <c r="Z634" i="1"/>
  <c r="AA634" i="1" s="1"/>
  <c r="AB634" i="1" s="1"/>
  <c r="K882" i="3" s="1"/>
  <c r="Z635" i="1"/>
  <c r="AA635" i="1" s="1"/>
  <c r="AB635" i="1" s="1"/>
  <c r="K427" i="3" s="1"/>
  <c r="Z636" i="1"/>
  <c r="AA636" i="1" s="1"/>
  <c r="AB636" i="1" s="1"/>
  <c r="K209" i="3" s="1"/>
  <c r="Z637" i="1"/>
  <c r="AA637" i="1" s="1"/>
  <c r="AB637" i="1" s="1"/>
  <c r="K647" i="3" s="1"/>
  <c r="Z638" i="1"/>
  <c r="AA638" i="1" s="1"/>
  <c r="AB638" i="1" s="1"/>
  <c r="K885" i="3" s="1"/>
  <c r="Z639" i="1"/>
  <c r="AA639" i="1" s="1"/>
  <c r="AB639" i="1" s="1"/>
  <c r="K361" i="3" s="1"/>
  <c r="Z640" i="1"/>
  <c r="AA640" i="1" s="1"/>
  <c r="AB640" i="1" s="1"/>
  <c r="K77" i="3" s="1"/>
  <c r="Z641" i="1"/>
  <c r="AA641" i="1" s="1"/>
  <c r="AB641" i="1" s="1"/>
  <c r="K293" i="3" s="1"/>
  <c r="Z642" i="1"/>
  <c r="AA642" i="1" s="1"/>
  <c r="AB642" i="1" s="1"/>
  <c r="K489" i="3" s="1"/>
  <c r="Z643" i="1"/>
  <c r="AA643" i="1" s="1"/>
  <c r="AB643" i="1" s="1"/>
  <c r="K927" i="3" s="1"/>
  <c r="Z644" i="1"/>
  <c r="AA644" i="1" s="1"/>
  <c r="AB644" i="1" s="1"/>
  <c r="K265" i="3" s="1"/>
  <c r="Z645" i="1"/>
  <c r="AA645" i="1" s="1"/>
  <c r="AB645" i="1" s="1"/>
  <c r="K81" i="3" s="1"/>
  <c r="Z646" i="1"/>
  <c r="AA646" i="1" s="1"/>
  <c r="AB646" i="1" s="1"/>
  <c r="K333" i="3" s="1"/>
  <c r="Z647" i="1"/>
  <c r="AA647" i="1" s="1"/>
  <c r="AB647" i="1" s="1"/>
  <c r="K890" i="3" s="1"/>
  <c r="Z648" i="1"/>
  <c r="AA648" i="1" s="1"/>
  <c r="AB648" i="1" s="1"/>
  <c r="K482" i="3" s="1"/>
  <c r="Z649" i="1"/>
  <c r="AA649" i="1" s="1"/>
  <c r="AB649" i="1" s="1"/>
  <c r="K266" i="3" s="1"/>
  <c r="Z650" i="1"/>
  <c r="AA650" i="1" s="1"/>
  <c r="AB650" i="1" s="1"/>
  <c r="K369" i="3" s="1"/>
  <c r="Z651" i="1"/>
  <c r="AA651" i="1" s="1"/>
  <c r="AB651" i="1" s="1"/>
  <c r="K230" i="3" s="1"/>
  <c r="Z652" i="1"/>
  <c r="AA652" i="1" s="1"/>
  <c r="AB652" i="1" s="1"/>
  <c r="K255" i="3" s="1"/>
  <c r="Z653" i="1"/>
  <c r="AA653" i="1" s="1"/>
  <c r="AB653" i="1" s="1"/>
  <c r="K823" i="3" s="1"/>
  <c r="Z654" i="1"/>
  <c r="AA654" i="1" s="1"/>
  <c r="AB654" i="1" s="1"/>
  <c r="K466" i="3" s="1"/>
  <c r="Z655" i="1"/>
  <c r="AA655" i="1" s="1"/>
  <c r="AB655" i="1" s="1"/>
  <c r="K860" i="3" s="1"/>
  <c r="Z656" i="1"/>
  <c r="AA656" i="1" s="1"/>
  <c r="AB656" i="1" s="1"/>
  <c r="K737" i="3" s="1"/>
  <c r="AA657" i="1"/>
  <c r="AB657" i="1" s="1"/>
  <c r="K30" i="3" s="1"/>
  <c r="Z658" i="1"/>
  <c r="AA658" i="1" s="1"/>
  <c r="AB658" i="1" s="1"/>
  <c r="K47" i="3" s="1"/>
  <c r="Z659" i="1"/>
  <c r="AA659" i="1" s="1"/>
  <c r="AB659" i="1" s="1"/>
  <c r="K802" i="3" s="1"/>
  <c r="Z660" i="1"/>
  <c r="AA660" i="1" s="1"/>
  <c r="AB660" i="1" s="1"/>
  <c r="K72" i="3" s="1"/>
  <c r="Z661" i="1"/>
  <c r="AA661" i="1" s="1"/>
  <c r="AB661" i="1" s="1"/>
  <c r="K119" i="3" s="1"/>
  <c r="Z662" i="1"/>
  <c r="AA662" i="1" s="1"/>
  <c r="AB662" i="1" s="1"/>
  <c r="K629" i="3" s="1"/>
  <c r="Z663" i="1"/>
  <c r="AA663" i="1" s="1"/>
  <c r="AB663" i="1" s="1"/>
  <c r="K217" i="3" s="1"/>
  <c r="AA664" i="1"/>
  <c r="AB664" i="1" s="1"/>
  <c r="K450" i="3" s="1"/>
  <c r="Z665" i="1"/>
  <c r="AA665" i="1" s="1"/>
  <c r="AB665" i="1" s="1"/>
  <c r="K44" i="3" s="1"/>
  <c r="Z666" i="1"/>
  <c r="AA666" i="1" s="1"/>
  <c r="AB666" i="1" s="1"/>
  <c r="K712" i="3" s="1"/>
  <c r="Z667" i="1"/>
  <c r="AA667" i="1" s="1"/>
  <c r="AB667" i="1" s="1"/>
  <c r="K148" i="3" s="1"/>
  <c r="Z668" i="1"/>
  <c r="AA668" i="1" s="1"/>
  <c r="AB668" i="1" s="1"/>
  <c r="K345" i="3" s="1"/>
  <c r="Z669" i="1"/>
  <c r="AA669" i="1" s="1"/>
  <c r="AB669" i="1" s="1"/>
  <c r="K788" i="3" s="1"/>
  <c r="Z670" i="1"/>
  <c r="AA670" i="1" s="1"/>
  <c r="AB670" i="1" s="1"/>
  <c r="K778" i="3" s="1"/>
  <c r="Z671" i="1"/>
  <c r="AA671" i="1" s="1"/>
  <c r="AB671" i="1" s="1"/>
  <c r="K858" i="3" s="1"/>
  <c r="Z672" i="1"/>
  <c r="AA672" i="1" s="1"/>
  <c r="AB672" i="1" s="1"/>
  <c r="K812" i="3" s="1"/>
  <c r="Z673" i="1"/>
  <c r="AA673" i="1" s="1"/>
  <c r="AB673" i="1" s="1"/>
  <c r="K789" i="3" s="1"/>
  <c r="Z674" i="1"/>
  <c r="AA674" i="1" s="1"/>
  <c r="AB674" i="1" s="1"/>
  <c r="K771" i="3" s="1"/>
  <c r="Z675" i="1"/>
  <c r="AA675" i="1" s="1"/>
  <c r="AB675" i="1" s="1"/>
  <c r="K340" i="3" s="1"/>
  <c r="Z677" i="1"/>
  <c r="AA677" i="1" s="1"/>
  <c r="AB677" i="1" s="1"/>
  <c r="K401" i="3" s="1"/>
  <c r="Z678" i="1"/>
  <c r="AA678" i="1" s="1"/>
  <c r="AB678" i="1" s="1"/>
  <c r="K109" i="3" s="1"/>
  <c r="Z679" i="1"/>
  <c r="AA679" i="1" s="1"/>
  <c r="AB679" i="1" s="1"/>
  <c r="K302" i="3" s="1"/>
  <c r="Z680" i="1"/>
  <c r="AA680" i="1" s="1"/>
  <c r="AB680" i="1" s="1"/>
  <c r="K315" i="3" s="1"/>
  <c r="Z681" i="1"/>
  <c r="AA681" i="1" s="1"/>
  <c r="AB681" i="1" s="1"/>
  <c r="K790" i="3" s="1"/>
  <c r="Z682" i="1"/>
  <c r="AA682" i="1" s="1"/>
  <c r="AB682" i="1" s="1"/>
  <c r="K291" i="3" s="1"/>
  <c r="Z683" i="1"/>
  <c r="AA683" i="1" s="1"/>
  <c r="AB683" i="1" s="1"/>
  <c r="K934" i="3" s="1"/>
  <c r="AA684" i="1"/>
  <c r="AB684" i="1" s="1"/>
  <c r="K214" i="3" s="1"/>
  <c r="Z685" i="1"/>
  <c r="AA685" i="1" s="1"/>
  <c r="AB685" i="1" s="1"/>
  <c r="K16" i="3" s="1"/>
  <c r="Z686" i="1"/>
  <c r="AA686" i="1" s="1"/>
  <c r="AB686" i="1" s="1"/>
  <c r="K698" i="3" s="1"/>
  <c r="AA687" i="1"/>
  <c r="AB687" i="1" s="1"/>
  <c r="K219" i="3" s="1"/>
  <c r="Z688" i="1"/>
  <c r="AA688" i="1" s="1"/>
  <c r="AB688" i="1" s="1"/>
  <c r="K862" i="3" s="1"/>
  <c r="Z689" i="1"/>
  <c r="AA689" i="1" s="1"/>
  <c r="AB689" i="1" s="1"/>
  <c r="K715" i="3" s="1"/>
  <c r="Z690" i="1"/>
  <c r="AA690" i="1" s="1"/>
  <c r="AB690" i="1" s="1"/>
  <c r="K709" i="3" s="1"/>
  <c r="Z691" i="1"/>
  <c r="AA691" i="1" s="1"/>
  <c r="AB691" i="1" s="1"/>
  <c r="K216" i="3" s="1"/>
  <c r="Z692" i="1"/>
  <c r="AA692" i="1" s="1"/>
  <c r="AB692" i="1" s="1"/>
  <c r="K999" i="3" s="1"/>
  <c r="Z693" i="1"/>
  <c r="AA693" i="1" s="1"/>
  <c r="AB693" i="1" s="1"/>
  <c r="K442" i="3" s="1"/>
  <c r="Z694" i="1"/>
  <c r="AA694" i="1" s="1"/>
  <c r="AB694" i="1" s="1"/>
  <c r="K740" i="3" s="1"/>
  <c r="Z695" i="1"/>
  <c r="AA695" i="1" s="1"/>
  <c r="AB695" i="1" s="1"/>
  <c r="K797" i="3" s="1"/>
  <c r="Z696" i="1"/>
  <c r="AA696" i="1" s="1"/>
  <c r="AB696" i="1" s="1"/>
  <c r="K193" i="3" s="1"/>
  <c r="Z697" i="1"/>
  <c r="AA697" i="1" s="1"/>
  <c r="AB697" i="1" s="1"/>
  <c r="K571" i="3" s="1"/>
  <c r="Z698" i="1"/>
  <c r="AA698" i="1" s="1"/>
  <c r="AB698" i="1" s="1"/>
  <c r="K793" i="3" s="1"/>
  <c r="Z699" i="1"/>
  <c r="AA699" i="1" s="1"/>
  <c r="AB699" i="1" s="1"/>
  <c r="K456" i="3" s="1"/>
  <c r="Z700" i="1"/>
  <c r="AA700" i="1" s="1"/>
  <c r="AB700" i="1" s="1"/>
  <c r="K151" i="3" s="1"/>
  <c r="Z701" i="1"/>
  <c r="AA701" i="1" s="1"/>
  <c r="AB701" i="1" s="1"/>
  <c r="K115" i="3" s="1"/>
  <c r="Z702" i="1"/>
  <c r="AA702" i="1" s="1"/>
  <c r="AB702" i="1" s="1"/>
  <c r="K350" i="3" s="1"/>
  <c r="Z703" i="1"/>
  <c r="AA703" i="1" s="1"/>
  <c r="AB703" i="1" s="1"/>
  <c r="K398" i="3" s="1"/>
  <c r="AA704" i="1"/>
  <c r="AB704" i="1" s="1"/>
  <c r="K389" i="3" s="1"/>
  <c r="Z705" i="1"/>
  <c r="AA705" i="1" s="1"/>
  <c r="AB705" i="1" s="1"/>
  <c r="K646" i="3" s="1"/>
  <c r="Z706" i="1"/>
  <c r="AA706" i="1" s="1"/>
  <c r="AB706" i="1" s="1"/>
  <c r="K241" i="3" s="1"/>
  <c r="Z707" i="1"/>
  <c r="AA707" i="1" s="1"/>
  <c r="AB707" i="1" s="1"/>
  <c r="K680" i="3" s="1"/>
  <c r="Z708" i="1"/>
  <c r="AA708" i="1" s="1"/>
  <c r="AB708" i="1" s="1"/>
  <c r="K237" i="3" s="1"/>
  <c r="Z709" i="1"/>
  <c r="AA709" i="1" s="1"/>
  <c r="AB709" i="1" s="1"/>
  <c r="K58" i="3" s="1"/>
  <c r="Z710" i="1"/>
  <c r="AA710" i="1" s="1"/>
  <c r="AB710" i="1" s="1"/>
  <c r="K631" i="3" s="1"/>
  <c r="Z711" i="1"/>
  <c r="AA711" i="1" s="1"/>
  <c r="AB711" i="1" s="1"/>
  <c r="K488" i="3" s="1"/>
  <c r="Z712" i="1"/>
  <c r="AA712" i="1" s="1"/>
  <c r="AB712" i="1" s="1"/>
  <c r="K120" i="3" s="1"/>
  <c r="Z713" i="1"/>
  <c r="AA713" i="1" s="1"/>
  <c r="AB713" i="1" s="1"/>
  <c r="K71" i="3" s="1"/>
  <c r="Z714" i="1"/>
  <c r="AA714" i="1" s="1"/>
  <c r="AB714" i="1" s="1"/>
  <c r="K50" i="3" s="1"/>
  <c r="Z715" i="1"/>
  <c r="AA715" i="1" s="1"/>
  <c r="AB715" i="1" s="1"/>
  <c r="K152" i="3" s="1"/>
  <c r="Z716" i="1"/>
  <c r="AA716" i="1" s="1"/>
  <c r="AB716" i="1" s="1"/>
  <c r="K200" i="3" s="1"/>
  <c r="AA717" i="1"/>
  <c r="AB717" i="1" s="1"/>
  <c r="K438" i="3" s="1"/>
  <c r="Z718" i="1"/>
  <c r="AA718" i="1" s="1"/>
  <c r="AB718" i="1" s="1"/>
  <c r="K409" i="3" s="1"/>
  <c r="Z719" i="1"/>
  <c r="AA719" i="1" s="1"/>
  <c r="AB719" i="1" s="1"/>
  <c r="K689" i="3" s="1"/>
  <c r="Z720" i="1"/>
  <c r="AA720" i="1" s="1"/>
  <c r="AB720" i="1" s="1"/>
  <c r="K826" i="3" s="1"/>
  <c r="Z721" i="1"/>
  <c r="AA721" i="1" s="1"/>
  <c r="AB721" i="1" s="1"/>
  <c r="K261" i="3" s="1"/>
  <c r="Z722" i="1"/>
  <c r="AA722" i="1" s="1"/>
  <c r="AB722" i="1" s="1"/>
  <c r="K222" i="3" s="1"/>
  <c r="Z723" i="1"/>
  <c r="AA723" i="1" s="1"/>
  <c r="AB723" i="1" s="1"/>
  <c r="K99" i="3" s="1"/>
  <c r="Z724" i="1"/>
  <c r="AA724" i="1" s="1"/>
  <c r="AB724" i="1" s="1"/>
  <c r="K196" i="3" s="1"/>
  <c r="Z725" i="1"/>
  <c r="AA725" i="1" s="1"/>
  <c r="AB725" i="1" s="1"/>
  <c r="K233" i="3" s="1"/>
  <c r="Z726" i="1"/>
  <c r="AA726" i="1" s="1"/>
  <c r="AB726" i="1" s="1"/>
  <c r="K589" i="3" s="1"/>
  <c r="Z728" i="1"/>
  <c r="AA728" i="1" s="1"/>
  <c r="AB728" i="1" s="1"/>
  <c r="K12" i="3" s="1"/>
  <c r="Z729" i="1"/>
  <c r="AA729" i="1" s="1"/>
  <c r="AB729" i="1" s="1"/>
  <c r="K10" i="3" s="1"/>
  <c r="Z730" i="1"/>
  <c r="AA730" i="1" s="1"/>
  <c r="AB730" i="1" s="1"/>
  <c r="K179" i="3" s="1"/>
  <c r="Z731" i="1"/>
  <c r="AA731" i="1" s="1"/>
  <c r="AB731" i="1" s="1"/>
  <c r="K987" i="3" s="1"/>
  <c r="Z732" i="1"/>
  <c r="AA732" i="1" s="1"/>
  <c r="AB732" i="1" s="1"/>
  <c r="K463" i="3" s="1"/>
  <c r="Z733" i="1"/>
  <c r="AA733" i="1" s="1"/>
  <c r="AB733" i="1" s="1"/>
  <c r="K973" i="3" s="1"/>
  <c r="Z734" i="1"/>
  <c r="AA734" i="1" s="1"/>
  <c r="AB734" i="1" s="1"/>
  <c r="K556" i="3" s="1"/>
  <c r="Z735" i="1"/>
  <c r="AA735" i="1" s="1"/>
  <c r="AB735" i="1" s="1"/>
  <c r="K734" i="3" s="1"/>
  <c r="Z736" i="1"/>
  <c r="AA736" i="1" s="1"/>
  <c r="AB736" i="1" s="1"/>
  <c r="K645" i="3" s="1"/>
  <c r="Z737" i="1"/>
  <c r="AA737" i="1" s="1"/>
  <c r="AB737" i="1" s="1"/>
  <c r="K663" i="3" s="1"/>
  <c r="Z738" i="1"/>
  <c r="AA738" i="1" s="1"/>
  <c r="AB738" i="1" s="1"/>
  <c r="K902" i="3" s="1"/>
  <c r="Z739" i="1"/>
  <c r="AA739" i="1" s="1"/>
  <c r="AB739" i="1" s="1"/>
  <c r="K843" i="3" s="1"/>
  <c r="Z740" i="1"/>
  <c r="AA740" i="1" s="1"/>
  <c r="AB740" i="1" s="1"/>
  <c r="K686" i="3" s="1"/>
  <c r="Z741" i="1"/>
  <c r="AA741" i="1" s="1"/>
  <c r="AB741" i="1" s="1"/>
  <c r="K685" i="3" s="1"/>
  <c r="Z742" i="1"/>
  <c r="AA742" i="1" s="1"/>
  <c r="AB742" i="1" s="1"/>
  <c r="K82" i="3" s="1"/>
  <c r="Z743" i="1"/>
  <c r="AA743" i="1" s="1"/>
  <c r="AB743" i="1" s="1"/>
  <c r="K383" i="3" s="1"/>
  <c r="Z744" i="1"/>
  <c r="AA744" i="1" s="1"/>
  <c r="AB744" i="1" s="1"/>
  <c r="K137" i="3" s="1"/>
  <c r="Z745" i="1"/>
  <c r="AA745" i="1" s="1"/>
  <c r="AB745" i="1" s="1"/>
  <c r="K738" i="3" s="1"/>
  <c r="Z746" i="1"/>
  <c r="AA746" i="1" s="1"/>
  <c r="AB746" i="1" s="1"/>
  <c r="K191" i="3" s="1"/>
  <c r="Z747" i="1"/>
  <c r="AA747" i="1" s="1"/>
  <c r="AB747" i="1" s="1"/>
  <c r="K26" i="3" s="1"/>
  <c r="Z748" i="1"/>
  <c r="AA748" i="1" s="1"/>
  <c r="AB748" i="1" s="1"/>
  <c r="K423" i="3" s="1"/>
  <c r="Z749" i="1"/>
  <c r="AA749" i="1" s="1"/>
  <c r="AB749" i="1" s="1"/>
  <c r="K650" i="3" s="1"/>
  <c r="Z750" i="1"/>
  <c r="AA750" i="1" s="1"/>
  <c r="AB750" i="1" s="1"/>
  <c r="K465" i="3" s="1"/>
  <c r="Z751" i="1"/>
  <c r="AA751" i="1" s="1"/>
  <c r="AB751" i="1" s="1"/>
  <c r="K56" i="3" s="1"/>
  <c r="Z752" i="1"/>
  <c r="AA752" i="1" s="1"/>
  <c r="AB752" i="1" s="1"/>
  <c r="K513" i="3" s="1"/>
  <c r="Z753" i="1"/>
  <c r="AA753" i="1" s="1"/>
  <c r="AB753" i="1" s="1"/>
  <c r="K541" i="3" s="1"/>
  <c r="Z754" i="1"/>
  <c r="AA754" i="1" s="1"/>
  <c r="AB754" i="1" s="1"/>
  <c r="K900" i="3" s="1"/>
  <c r="Z755" i="1"/>
  <c r="AA755" i="1" s="1"/>
  <c r="AB755" i="1" s="1"/>
  <c r="K231" i="3" s="1"/>
  <c r="Z756" i="1"/>
  <c r="AA756" i="1" s="1"/>
  <c r="AB756" i="1" s="1"/>
  <c r="K454" i="3" s="1"/>
  <c r="Z757" i="1"/>
  <c r="AA757" i="1" s="1"/>
  <c r="AB757" i="1" s="1"/>
  <c r="K857" i="3" s="1"/>
  <c r="Z758" i="1"/>
  <c r="AA758" i="1" s="1"/>
  <c r="AB758" i="1" s="1"/>
  <c r="K298" i="3" s="1"/>
  <c r="Z759" i="1"/>
  <c r="AA759" i="1" s="1"/>
  <c r="AB759" i="1" s="1"/>
  <c r="K600" i="3" s="1"/>
  <c r="Z760" i="1"/>
  <c r="AA760" i="1" s="1"/>
  <c r="AB760" i="1" s="1"/>
  <c r="K744" i="3" s="1"/>
  <c r="Z761" i="1"/>
  <c r="AA761" i="1" s="1"/>
  <c r="AB761" i="1" s="1"/>
  <c r="K249" i="3" s="1"/>
  <c r="Z762" i="1"/>
  <c r="AA762" i="1" s="1"/>
  <c r="AB762" i="1" s="1"/>
  <c r="K14" i="3" s="1"/>
  <c r="Z763" i="1"/>
  <c r="AA763" i="1" s="1"/>
  <c r="AB763" i="1" s="1"/>
  <c r="K238" i="3" s="1"/>
  <c r="Z764" i="1"/>
  <c r="AA764" i="1" s="1"/>
  <c r="AB764" i="1" s="1"/>
  <c r="K590" i="3" s="1"/>
  <c r="AA765" i="1"/>
  <c r="AB765" i="1" s="1"/>
  <c r="K201" i="3" s="1"/>
  <c r="Z766" i="1"/>
  <c r="AA766" i="1" s="1"/>
  <c r="AB766" i="1" s="1"/>
  <c r="K825" i="3" s="1"/>
  <c r="Z767" i="1"/>
  <c r="AA767" i="1" s="1"/>
  <c r="AB767" i="1" s="1"/>
  <c r="K310" i="3" s="1"/>
  <c r="Z768" i="1"/>
  <c r="AA768" i="1" s="1"/>
  <c r="AB768" i="1" s="1"/>
  <c r="K939" i="3" s="1"/>
  <c r="Z769" i="1"/>
  <c r="AA769" i="1" s="1"/>
  <c r="AB769" i="1" s="1"/>
  <c r="K313" i="3" s="1"/>
  <c r="AA770" i="1"/>
  <c r="AB770" i="1" s="1"/>
  <c r="K162" i="3" s="1"/>
  <c r="Z771" i="1"/>
  <c r="AA771" i="1" s="1"/>
  <c r="AB771" i="1" s="1"/>
  <c r="K203" i="3" s="1"/>
  <c r="Z772" i="1"/>
  <c r="AA772" i="1" s="1"/>
  <c r="AB772" i="1" s="1"/>
  <c r="K548" i="3" s="1"/>
  <c r="AA773" i="1"/>
  <c r="AB773" i="1" s="1"/>
  <c r="K160" i="3" s="1"/>
  <c r="Z774" i="1"/>
  <c r="AA774" i="1" s="1"/>
  <c r="AB774" i="1" s="1"/>
  <c r="K942" i="3" s="1"/>
  <c r="Z775" i="1"/>
  <c r="AA775" i="1" s="1"/>
  <c r="AB775" i="1" s="1"/>
  <c r="K791" i="3" s="1"/>
  <c r="Z776" i="1"/>
  <c r="AA776" i="1" s="1"/>
  <c r="AB776" i="1" s="1"/>
  <c r="K901" i="3" s="1"/>
  <c r="Z777" i="1"/>
  <c r="AA777" i="1" s="1"/>
  <c r="AB777" i="1" s="1"/>
  <c r="K69" i="3" s="1"/>
  <c r="Z778" i="1"/>
  <c r="AA778" i="1" s="1"/>
  <c r="AB778" i="1" s="1"/>
  <c r="K116" i="3" s="1"/>
  <c r="Z779" i="1"/>
  <c r="AA779" i="1" s="1"/>
  <c r="AB779" i="1" s="1"/>
  <c r="K305" i="3" s="1"/>
  <c r="Z780" i="1"/>
  <c r="AA780" i="1" s="1"/>
  <c r="AB780" i="1" s="1"/>
  <c r="K742" i="3" s="1"/>
  <c r="AA781" i="1"/>
  <c r="AB781" i="1" s="1"/>
  <c r="K412" i="3" s="1"/>
  <c r="Z782" i="1"/>
  <c r="AA782" i="1" s="1"/>
  <c r="AB782" i="1" s="1"/>
  <c r="K464" i="3" s="1"/>
  <c r="Z783" i="1"/>
  <c r="AA783" i="1" s="1"/>
  <c r="AB783" i="1" s="1"/>
  <c r="K35" i="3" s="1"/>
  <c r="Z784" i="1"/>
  <c r="AA784" i="1" s="1"/>
  <c r="AB784" i="1" s="1"/>
  <c r="K525" i="3" s="1"/>
  <c r="Z785" i="1"/>
  <c r="AA785" i="1" s="1"/>
  <c r="AB785" i="1" s="1"/>
  <c r="K975" i="3" s="1"/>
  <c r="Z786" i="1"/>
  <c r="AA786" i="1" s="1"/>
  <c r="AB786" i="1" s="1"/>
  <c r="K185" i="3" s="1"/>
  <c r="Z787" i="1"/>
  <c r="AA787" i="1" s="1"/>
  <c r="AB787" i="1" s="1"/>
  <c r="K657" i="3" s="1"/>
  <c r="Z788" i="1"/>
  <c r="AA788" i="1" s="1"/>
  <c r="AB788" i="1" s="1"/>
  <c r="K874" i="3" s="1"/>
  <c r="Z789" i="1"/>
  <c r="AA789" i="1" s="1"/>
  <c r="AB789" i="1" s="1"/>
  <c r="K909" i="3" s="1"/>
  <c r="Z791" i="1"/>
  <c r="AA791" i="1" s="1"/>
  <c r="AB791" i="1" s="1"/>
  <c r="K760" i="3" s="1"/>
  <c r="Z792" i="1"/>
  <c r="AA792" i="1" s="1"/>
  <c r="AB792" i="1" s="1"/>
  <c r="K889" i="3" s="1"/>
  <c r="Z793" i="1"/>
  <c r="AA793" i="1" s="1"/>
  <c r="AB793" i="1" s="1"/>
  <c r="K648" i="3" s="1"/>
  <c r="Z794" i="1"/>
  <c r="AA794" i="1" s="1"/>
  <c r="AB794" i="1" s="1"/>
  <c r="K990" i="3" s="1"/>
  <c r="Z795" i="1"/>
  <c r="AA795" i="1" s="1"/>
  <c r="AB795" i="1" s="1"/>
  <c r="K848" i="3" s="1"/>
  <c r="Z796" i="1"/>
  <c r="AA796" i="1" s="1"/>
  <c r="AB796" i="1" s="1"/>
  <c r="K153" i="3" s="1"/>
  <c r="Z797" i="1"/>
  <c r="AA797" i="1" s="1"/>
  <c r="AB797" i="1" s="1"/>
  <c r="K183" i="3" s="1"/>
  <c r="Z798" i="1"/>
  <c r="AA798" i="1" s="1"/>
  <c r="AB798" i="1" s="1"/>
  <c r="K708" i="3" s="1"/>
  <c r="Z799" i="1"/>
  <c r="AA799" i="1" s="1"/>
  <c r="AB799" i="1" s="1"/>
  <c r="K440" i="3" s="1"/>
  <c r="Z800" i="1"/>
  <c r="AA800" i="1" s="1"/>
  <c r="AB800" i="1" s="1"/>
  <c r="K603" i="3" s="1"/>
  <c r="Z802" i="1"/>
  <c r="AA802" i="1" s="1"/>
  <c r="AB802" i="1" s="1"/>
  <c r="K550" i="3" s="1"/>
  <c r="Z803" i="1"/>
  <c r="AA803" i="1" s="1"/>
  <c r="AB803" i="1" s="1"/>
  <c r="K447" i="3" s="1"/>
  <c r="Z804" i="1"/>
  <c r="AA804" i="1" s="1"/>
  <c r="AB804" i="1" s="1"/>
  <c r="K519" i="3" s="1"/>
  <c r="Z805" i="1"/>
  <c r="AA805" i="1" s="1"/>
  <c r="AB805" i="1" s="1"/>
  <c r="K245" i="3" s="1"/>
  <c r="Z806" i="1"/>
  <c r="AA806" i="1" s="1"/>
  <c r="AB806" i="1" s="1"/>
  <c r="K906" i="3" s="1"/>
  <c r="Z807" i="1"/>
  <c r="AA807" i="1" s="1"/>
  <c r="AB807" i="1" s="1"/>
  <c r="K741" i="3" s="1"/>
  <c r="Z808" i="1"/>
  <c r="AA808" i="1" s="1"/>
  <c r="AB808" i="1" s="1"/>
  <c r="K421" i="3" s="1"/>
  <c r="Z809" i="1"/>
  <c r="AA809" i="1" s="1"/>
  <c r="AB809" i="1" s="1"/>
  <c r="K110" i="3" s="1"/>
  <c r="Z810" i="1"/>
  <c r="AA810" i="1" s="1"/>
  <c r="AB810" i="1" s="1"/>
  <c r="K314" i="3" s="1"/>
  <c r="Z811" i="1"/>
  <c r="AA811" i="1" s="1"/>
  <c r="AB811" i="1" s="1"/>
  <c r="K375" i="3" s="1"/>
  <c r="Z812" i="1"/>
  <c r="AA812" i="1" s="1"/>
  <c r="AB812" i="1" s="1"/>
  <c r="K970" i="3" s="1"/>
  <c r="Z813" i="1"/>
  <c r="AA813" i="1" s="1"/>
  <c r="AB813" i="1" s="1"/>
  <c r="K223" i="3" s="1"/>
  <c r="Z814" i="1"/>
  <c r="AA814" i="1" s="1"/>
  <c r="AB814" i="1" s="1"/>
  <c r="K558" i="3" s="1"/>
  <c r="Z815" i="1"/>
  <c r="AA815" i="1" s="1"/>
  <c r="AB815" i="1" s="1"/>
  <c r="K762" i="3" s="1"/>
  <c r="Z816" i="1"/>
  <c r="AA816" i="1" s="1"/>
  <c r="AB816" i="1" s="1"/>
  <c r="K916" i="3" s="1"/>
  <c r="Z817" i="1"/>
  <c r="AA817" i="1" s="1"/>
  <c r="AB817" i="1" s="1"/>
  <c r="K585" i="3" s="1"/>
  <c r="Z818" i="1"/>
  <c r="AA818" i="1" s="1"/>
  <c r="AB818" i="1" s="1"/>
  <c r="K413" i="3" s="1"/>
  <c r="Z819" i="1"/>
  <c r="AA819" i="1" s="1"/>
  <c r="AB819" i="1" s="1"/>
  <c r="K175" i="3" s="1"/>
  <c r="Z820" i="1"/>
  <c r="AA820" i="1" s="1"/>
  <c r="AB820" i="1" s="1"/>
  <c r="K919" i="3" s="1"/>
  <c r="Z821" i="1"/>
  <c r="AA821" i="1" s="1"/>
  <c r="AB821" i="1" s="1"/>
  <c r="K518" i="3" s="1"/>
  <c r="Z822" i="1"/>
  <c r="AA822" i="1" s="1"/>
  <c r="AB822" i="1" s="1"/>
  <c r="K289" i="3" s="1"/>
  <c r="Z823" i="1"/>
  <c r="AA823" i="1" s="1"/>
  <c r="AB823" i="1" s="1"/>
  <c r="K774" i="3" s="1"/>
  <c r="AA824" i="1"/>
  <c r="AB824" i="1" s="1"/>
  <c r="K594" i="3" s="1"/>
  <c r="Z825" i="1"/>
  <c r="AA825" i="1" s="1"/>
  <c r="AB825" i="1" s="1"/>
  <c r="K943" i="3" s="1"/>
  <c r="Z826" i="1"/>
  <c r="AA826" i="1" s="1"/>
  <c r="AB826" i="1" s="1"/>
  <c r="K1001" i="3" s="1"/>
  <c r="Z827" i="1"/>
  <c r="AA827" i="1" s="1"/>
  <c r="AB827" i="1" s="1"/>
  <c r="K992" i="3" s="1"/>
  <c r="Z828" i="1"/>
  <c r="AA828" i="1" s="1"/>
  <c r="AB828" i="1" s="1"/>
  <c r="K993" i="3" s="1"/>
  <c r="AA829" i="1"/>
  <c r="AB829" i="1" s="1"/>
  <c r="K853" i="3" s="1"/>
  <c r="Z830" i="1"/>
  <c r="AA830" i="1" s="1"/>
  <c r="AB830" i="1" s="1"/>
  <c r="K270" i="3" s="1"/>
  <c r="Z832" i="1"/>
  <c r="AA832" i="1" s="1"/>
  <c r="AB832" i="1" s="1"/>
  <c r="K157" i="3" s="1"/>
  <c r="Z833" i="1"/>
  <c r="AA833" i="1" s="1"/>
  <c r="AB833" i="1" s="1"/>
  <c r="K165" i="3" s="1"/>
  <c r="AA834" i="1"/>
  <c r="AB834" i="1" s="1"/>
  <c r="K679" i="3" s="1"/>
  <c r="Z835" i="1"/>
  <c r="AA835" i="1" s="1"/>
  <c r="AB835" i="1" s="1"/>
  <c r="K997" i="3" s="1"/>
  <c r="Z836" i="1"/>
  <c r="AA836" i="1" s="1"/>
  <c r="AB836" i="1" s="1"/>
  <c r="K785" i="3" s="1"/>
  <c r="Z837" i="1"/>
  <c r="AA837" i="1" s="1"/>
  <c r="AB837" i="1" s="1"/>
  <c r="K98" i="3" s="1"/>
  <c r="Z838" i="1"/>
  <c r="AA838" i="1" s="1"/>
  <c r="AB838" i="1" s="1"/>
  <c r="K635" i="3" s="1"/>
  <c r="Z839" i="1"/>
  <c r="AA839" i="1" s="1"/>
  <c r="AB839" i="1" s="1"/>
  <c r="K229" i="3" s="1"/>
  <c r="Z840" i="1"/>
  <c r="AA840" i="1" s="1"/>
  <c r="AB840" i="1" s="1"/>
  <c r="K417" i="3" s="1"/>
  <c r="Z841" i="1"/>
  <c r="AA841" i="1" s="1"/>
  <c r="AB841" i="1" s="1"/>
  <c r="K54" i="3" s="1"/>
  <c r="Z842" i="1"/>
  <c r="AA842" i="1" s="1"/>
  <c r="AB842" i="1" s="1"/>
  <c r="K569" i="3" s="1"/>
  <c r="Z843" i="1"/>
  <c r="AA843" i="1" s="1"/>
  <c r="AB843" i="1" s="1"/>
  <c r="K884" i="3" s="1"/>
  <c r="Z844" i="1"/>
  <c r="AA844" i="1" s="1"/>
  <c r="AB844" i="1" s="1"/>
  <c r="K783" i="3" s="1"/>
  <c r="Z845" i="1"/>
  <c r="AA845" i="1" s="1"/>
  <c r="AB845" i="1" s="1"/>
  <c r="K873" i="3" s="1"/>
  <c r="Z846" i="1"/>
  <c r="AA846" i="1" s="1"/>
  <c r="AB846" i="1" s="1"/>
  <c r="K171" i="3" s="1"/>
  <c r="Z847" i="1"/>
  <c r="AA847" i="1" s="1"/>
  <c r="AB847" i="1" s="1"/>
  <c r="K167" i="3" s="1"/>
  <c r="Z848" i="1"/>
  <c r="AA848" i="1" s="1"/>
  <c r="AB848" i="1" s="1"/>
  <c r="K189" i="3" s="1"/>
  <c r="Z849" i="1"/>
  <c r="AA849" i="1" s="1"/>
  <c r="AB849" i="1" s="1"/>
  <c r="K928" i="3" s="1"/>
  <c r="Z850" i="1"/>
  <c r="AA850" i="1" s="1"/>
  <c r="AB850" i="1" s="1"/>
  <c r="K898" i="3" s="1"/>
  <c r="Z851" i="1"/>
  <c r="AA851" i="1" s="1"/>
  <c r="AB851" i="1" s="1"/>
  <c r="K349" i="3" s="1"/>
  <c r="Z852" i="1"/>
  <c r="AA852" i="1" s="1"/>
  <c r="AB852" i="1" s="1"/>
  <c r="K897" i="3" s="1"/>
  <c r="Z853" i="1"/>
  <c r="AA853" i="1" s="1"/>
  <c r="AB853" i="1" s="1"/>
  <c r="K86" i="3" s="1"/>
  <c r="Z854" i="1"/>
  <c r="AA854" i="1" s="1"/>
  <c r="AB854" i="1" s="1"/>
  <c r="K317" i="3" s="1"/>
  <c r="Z855" i="1"/>
  <c r="AA855" i="1" s="1"/>
  <c r="AB855" i="1" s="1"/>
  <c r="K954" i="3" s="1"/>
  <c r="Z856" i="1"/>
  <c r="AA856" i="1" s="1"/>
  <c r="AB856" i="1" s="1"/>
  <c r="K701" i="3" s="1"/>
  <c r="Z857" i="1"/>
  <c r="AA857" i="1" s="1"/>
  <c r="AB857" i="1" s="1"/>
  <c r="K501" i="3" s="1"/>
  <c r="Z858" i="1"/>
  <c r="AA858" i="1" s="1"/>
  <c r="AB858" i="1" s="1"/>
  <c r="K538" i="3" s="1"/>
  <c r="Z859" i="1"/>
  <c r="AA859" i="1" s="1"/>
  <c r="AB859" i="1" s="1"/>
  <c r="K527" i="3" s="1"/>
  <c r="Z860" i="1"/>
  <c r="AA860" i="1" s="1"/>
  <c r="AB860" i="1" s="1"/>
  <c r="K978" i="3" s="1"/>
  <c r="AA861" i="1"/>
  <c r="AB861" i="1" s="1"/>
  <c r="K458" i="3" s="1"/>
  <c r="Z862" i="1"/>
  <c r="AA862" i="1" s="1"/>
  <c r="AB862" i="1" s="1"/>
  <c r="K733" i="3" s="1"/>
  <c r="Z863" i="1"/>
  <c r="AA863" i="1" s="1"/>
  <c r="AB863" i="1" s="1"/>
  <c r="K6" i="3" s="1"/>
  <c r="Z864" i="1"/>
  <c r="AA864" i="1" s="1"/>
  <c r="AB864" i="1" s="1"/>
  <c r="K384" i="3" s="1"/>
  <c r="Z865" i="1"/>
  <c r="AA865" i="1" s="1"/>
  <c r="AB865" i="1" s="1"/>
  <c r="K800" i="3" s="1"/>
  <c r="Z866" i="1"/>
  <c r="AA866" i="1" s="1"/>
  <c r="AB866" i="1" s="1"/>
  <c r="K560" i="3" s="1"/>
  <c r="Z867" i="1"/>
  <c r="AA867" i="1" s="1"/>
  <c r="AB867" i="1" s="1"/>
  <c r="K144" i="3" s="1"/>
  <c r="Z868" i="1"/>
  <c r="AA868" i="1" s="1"/>
  <c r="AB868" i="1" s="1"/>
  <c r="K132" i="3" s="1"/>
  <c r="Z869" i="1"/>
  <c r="AA869" i="1" s="1"/>
  <c r="AB869" i="1" s="1"/>
  <c r="K533" i="3" s="1"/>
  <c r="Z870" i="1"/>
  <c r="AA870" i="1" s="1"/>
  <c r="AB870" i="1" s="1"/>
  <c r="K117" i="3" s="1"/>
  <c r="Z871" i="1"/>
  <c r="AA871" i="1" s="1"/>
  <c r="AB871" i="1" s="1"/>
  <c r="K79" i="3" s="1"/>
  <c r="Z872" i="1"/>
  <c r="AA872" i="1" s="1"/>
  <c r="AB872" i="1" s="1"/>
  <c r="K123" i="3" s="1"/>
  <c r="Z873" i="1"/>
  <c r="AA873" i="1" s="1"/>
  <c r="AB873" i="1" s="1"/>
  <c r="K304" i="3" s="1"/>
  <c r="Z874" i="1"/>
  <c r="AA874" i="1" s="1"/>
  <c r="AB874" i="1" s="1"/>
  <c r="K836" i="3" s="1"/>
  <c r="Z876" i="1"/>
  <c r="AA876" i="1" s="1"/>
  <c r="AB876" i="1" s="1"/>
  <c r="K984" i="3" s="1"/>
  <c r="Z877" i="1"/>
  <c r="AA877" i="1" s="1"/>
  <c r="AB877" i="1" s="1"/>
  <c r="K535" i="3" s="1"/>
  <c r="Z878" i="1"/>
  <c r="AA878" i="1" s="1"/>
  <c r="AB878" i="1" s="1"/>
  <c r="K779" i="3" s="1"/>
  <c r="Z879" i="1"/>
  <c r="AA879" i="1" s="1"/>
  <c r="AB879" i="1" s="1"/>
  <c r="K244" i="3" s="1"/>
  <c r="Z880" i="1"/>
  <c r="AA880" i="1" s="1"/>
  <c r="AB880" i="1" s="1"/>
  <c r="K367" i="3" s="1"/>
  <c r="Z881" i="1"/>
  <c r="AA881" i="1" s="1"/>
  <c r="AB881" i="1" s="1"/>
  <c r="K868" i="3" s="1"/>
  <c r="Z882" i="1"/>
  <c r="AA882" i="1" s="1"/>
  <c r="AB882" i="1" s="1"/>
  <c r="K192" i="3" s="1"/>
  <c r="Z883" i="1"/>
  <c r="AA883" i="1" s="1"/>
  <c r="AB883" i="1" s="1"/>
  <c r="K283" i="3" s="1"/>
  <c r="Z884" i="1"/>
  <c r="AA884" i="1" s="1"/>
  <c r="AB884" i="1" s="1"/>
  <c r="K387" i="3" s="1"/>
  <c r="Z885" i="1"/>
  <c r="AA885" i="1" s="1"/>
  <c r="AB885" i="1" s="1"/>
  <c r="K308" i="3" s="1"/>
  <c r="Z887" i="1"/>
  <c r="AA887" i="1" s="1"/>
  <c r="AB887" i="1" s="1"/>
  <c r="K713" i="3" s="1"/>
  <c r="Z888" i="1"/>
  <c r="AA888" i="1" s="1"/>
  <c r="AB888" i="1" s="1"/>
  <c r="K271" i="3" s="1"/>
  <c r="Z889" i="1"/>
  <c r="AA889" i="1" s="1"/>
  <c r="AB889" i="1" s="1"/>
  <c r="K893" i="3" s="1"/>
  <c r="Z890" i="1"/>
  <c r="AA890" i="1" s="1"/>
  <c r="AB890" i="1" s="1"/>
  <c r="K573" i="3" s="1"/>
  <c r="Z891" i="1"/>
  <c r="AA891" i="1" s="1"/>
  <c r="AB891" i="1" s="1"/>
  <c r="K111" i="3" s="1"/>
  <c r="Z892" i="1"/>
  <c r="AA892" i="1" s="1"/>
  <c r="AB892" i="1" s="1"/>
  <c r="K510" i="3" s="1"/>
  <c r="Z893" i="1"/>
  <c r="AA893" i="1" s="1"/>
  <c r="AB893" i="1" s="1"/>
  <c r="K478" i="3" s="1"/>
  <c r="Z896" i="1"/>
  <c r="AA896" i="1" s="1"/>
  <c r="AB896" i="1" s="1"/>
  <c r="K428" i="3" s="1"/>
  <c r="Z897" i="1"/>
  <c r="AA897" i="1" s="1"/>
  <c r="AB897" i="1" s="1"/>
  <c r="K362" i="3" s="1"/>
  <c r="Z898" i="1"/>
  <c r="AA898" i="1" s="1"/>
  <c r="AB898" i="1" s="1"/>
  <c r="K623" i="3" s="1"/>
  <c r="Z899" i="1"/>
  <c r="AA899" i="1" s="1"/>
  <c r="AB899" i="1" s="1"/>
  <c r="K854" i="3" s="1"/>
  <c r="Z900" i="1"/>
  <c r="AA900" i="1" s="1"/>
  <c r="AB900" i="1" s="1"/>
  <c r="K963" i="3" s="1"/>
  <c r="Z901" i="1"/>
  <c r="AA901" i="1" s="1"/>
  <c r="AB901" i="1" s="1"/>
  <c r="K564" i="3" s="1"/>
  <c r="Z902" i="1"/>
  <c r="AA902" i="1" s="1"/>
  <c r="AB902" i="1" s="1"/>
  <c r="K612" i="3" s="1"/>
  <c r="Z903" i="1"/>
  <c r="AA903" i="1" s="1"/>
  <c r="AB903" i="1" s="1"/>
  <c r="K346" i="3" s="1"/>
  <c r="Z904" i="1"/>
  <c r="AA904" i="1" s="1"/>
  <c r="AB904" i="1" s="1"/>
  <c r="K184" i="3" s="1"/>
  <c r="Z905" i="1"/>
  <c r="AA905" i="1" s="1"/>
  <c r="AB905" i="1" s="1"/>
  <c r="K188" i="3" s="1"/>
  <c r="Z906" i="1"/>
  <c r="AA906" i="1" s="1"/>
  <c r="AB906" i="1" s="1"/>
  <c r="K945" i="3" s="1"/>
  <c r="Z907" i="1"/>
  <c r="AA907" i="1" s="1"/>
  <c r="AB907" i="1" s="1"/>
  <c r="K655" i="3" s="1"/>
  <c r="Z908" i="1"/>
  <c r="AA908" i="1" s="1"/>
  <c r="AB908" i="1" s="1"/>
  <c r="K765" i="3" s="1"/>
  <c r="Z909" i="1"/>
  <c r="AA909" i="1" s="1"/>
  <c r="AB909" i="1" s="1"/>
  <c r="K143" i="3" s="1"/>
  <c r="Z910" i="1"/>
  <c r="AA910" i="1" s="1"/>
  <c r="AB910" i="1" s="1"/>
  <c r="K37" i="3" s="1"/>
  <c r="Z911" i="1"/>
  <c r="AA911" i="1" s="1"/>
  <c r="AB911" i="1" s="1"/>
  <c r="K45" i="3" s="1"/>
  <c r="AA912" i="1"/>
  <c r="AB912" i="1" s="1"/>
  <c r="K360" i="3" s="1"/>
  <c r="Z913" i="1"/>
  <c r="AA913" i="1" s="1"/>
  <c r="AB913" i="1" s="1"/>
  <c r="K197" i="3" s="1"/>
  <c r="Z914" i="1"/>
  <c r="AA914" i="1" s="1"/>
  <c r="AB914" i="1" s="1"/>
  <c r="K303" i="3" s="1"/>
  <c r="Z915" i="1"/>
  <c r="AA915" i="1" s="1"/>
  <c r="AB915" i="1" s="1"/>
  <c r="K274" i="3" s="1"/>
  <c r="Z916" i="1"/>
  <c r="AA916" i="1" s="1"/>
  <c r="AB916" i="1" s="1"/>
  <c r="K27" i="3" s="1"/>
  <c r="Z917" i="1"/>
  <c r="AA917" i="1" s="1"/>
  <c r="AB917" i="1" s="1"/>
  <c r="K707" i="3" s="1"/>
  <c r="Z918" i="1"/>
  <c r="AA918" i="1" s="1"/>
  <c r="AB918" i="1" s="1"/>
  <c r="K402" i="3" s="1"/>
  <c r="Z919" i="1"/>
  <c r="AA919" i="1" s="1"/>
  <c r="AB919" i="1" s="1"/>
  <c r="K618" i="3" s="1"/>
  <c r="Z920" i="1"/>
  <c r="AA920" i="1" s="1"/>
  <c r="AB920" i="1" s="1"/>
  <c r="K379" i="3" s="1"/>
  <c r="Z921" i="1"/>
  <c r="AA921" i="1" s="1"/>
  <c r="AB921" i="1" s="1"/>
  <c r="K176" i="3" s="1"/>
  <c r="AA922" i="1"/>
  <c r="AB922" i="1" s="1"/>
  <c r="K878" i="3" s="1"/>
  <c r="Z924" i="1"/>
  <c r="AA924" i="1" s="1"/>
  <c r="AB924" i="1" s="1"/>
  <c r="K286" i="3" s="1"/>
  <c r="Z925" i="1"/>
  <c r="AA925" i="1" s="1"/>
  <c r="AB925" i="1" s="1"/>
  <c r="K299" i="3" s="1"/>
  <c r="Z926" i="1"/>
  <c r="AA926" i="1" s="1"/>
  <c r="AB926" i="1" s="1"/>
  <c r="K61" i="3" s="1"/>
  <c r="Z927" i="1"/>
  <c r="AA927" i="1" s="1"/>
  <c r="AB927" i="1" s="1"/>
  <c r="K282" i="3" s="1"/>
  <c r="Z928" i="1"/>
  <c r="AA928" i="1" s="1"/>
  <c r="AB928" i="1" s="1"/>
  <c r="K835" i="3" s="1"/>
  <c r="Z929" i="1"/>
  <c r="AA929" i="1" s="1"/>
  <c r="AB929" i="1" s="1"/>
  <c r="K1000" i="3" s="1"/>
  <c r="Z930" i="1"/>
  <c r="AA930" i="1" s="1"/>
  <c r="AB930" i="1" s="1"/>
  <c r="K208" i="3" s="1"/>
  <c r="Z931" i="1"/>
  <c r="AA931" i="1" s="1"/>
  <c r="AB931" i="1" s="1"/>
  <c r="K936" i="3" s="1"/>
  <c r="Z932" i="1"/>
  <c r="AA932" i="1" s="1"/>
  <c r="AB932" i="1" s="1"/>
  <c r="K574" i="3" s="1"/>
  <c r="Z933" i="1"/>
  <c r="AA933" i="1" s="1"/>
  <c r="AB933" i="1" s="1"/>
  <c r="K944" i="3" s="1"/>
  <c r="Z934" i="1"/>
  <c r="AA934" i="1" s="1"/>
  <c r="AB934" i="1" s="1"/>
  <c r="K477" i="3" s="1"/>
  <c r="Z935" i="1"/>
  <c r="AA935" i="1" s="1"/>
  <c r="AB935" i="1" s="1"/>
  <c r="K716" i="3" s="1"/>
  <c r="AA936" i="1"/>
  <c r="AB936" i="1" s="1"/>
  <c r="K568" i="3" s="1"/>
  <c r="Z937" i="1"/>
  <c r="AA937" i="1" s="1"/>
  <c r="AB937" i="1" s="1"/>
  <c r="K850" i="3" s="1"/>
  <c r="Z938" i="1"/>
  <c r="AA938" i="1" s="1"/>
  <c r="AB938" i="1" s="1"/>
  <c r="K432" i="3" s="1"/>
  <c r="Z939" i="1"/>
  <c r="AA939" i="1" s="1"/>
  <c r="AB939" i="1" s="1"/>
  <c r="K971" i="3" s="1"/>
  <c r="AA940" i="1"/>
  <c r="AB940" i="1" s="1"/>
  <c r="K359" i="3" s="1"/>
  <c r="Z941" i="1"/>
  <c r="AA941" i="1" s="1"/>
  <c r="AB941" i="1" s="1"/>
  <c r="K662" i="3" s="1"/>
  <c r="Z942" i="1"/>
  <c r="AA942" i="1" s="1"/>
  <c r="AB942" i="1" s="1"/>
  <c r="K593" i="3" s="1"/>
  <c r="Z944" i="1"/>
  <c r="AA944" i="1" s="1"/>
  <c r="AB944" i="1" s="1"/>
  <c r="K543" i="3" s="1"/>
  <c r="Z945" i="1"/>
  <c r="AA945" i="1" s="1"/>
  <c r="AB945" i="1" s="1"/>
  <c r="K382" i="3" s="1"/>
  <c r="Z946" i="1"/>
  <c r="AA946" i="1" s="1"/>
  <c r="AB946" i="1" s="1"/>
  <c r="K122" i="3" s="1"/>
  <c r="Z947" i="1"/>
  <c r="AA947" i="1" s="1"/>
  <c r="AB947" i="1" s="1"/>
  <c r="K886" i="3" s="1"/>
  <c r="Z948" i="1"/>
  <c r="AA948" i="1" s="1"/>
  <c r="AB948" i="1" s="1"/>
  <c r="K517" i="3" s="1"/>
  <c r="Z949" i="1"/>
  <c r="AA949" i="1" s="1"/>
  <c r="AB949" i="1" s="1"/>
  <c r="K587" i="3" s="1"/>
  <c r="Z950" i="1"/>
  <c r="AA950" i="1" s="1"/>
  <c r="AB950" i="1" s="1"/>
  <c r="K805" i="3" s="1"/>
  <c r="Z952" i="1"/>
  <c r="AA952" i="1" s="1"/>
  <c r="AB952" i="1" s="1"/>
  <c r="K480" i="3" s="1"/>
  <c r="Z953" i="1"/>
  <c r="AA953" i="1" s="1"/>
  <c r="AB953" i="1" s="1"/>
  <c r="K391" i="3" s="1"/>
  <c r="Z954" i="1"/>
  <c r="AA954" i="1" s="1"/>
  <c r="AB954" i="1" s="1"/>
  <c r="K351" i="3" s="1"/>
  <c r="Z955" i="1"/>
  <c r="AA955" i="1" s="1"/>
  <c r="AB955" i="1" s="1"/>
  <c r="K41" i="3" s="1"/>
  <c r="Z956" i="1"/>
  <c r="AA956" i="1" s="1"/>
  <c r="AB956" i="1" s="1"/>
  <c r="K872" i="3" s="1"/>
  <c r="Z957" i="1"/>
  <c r="AA957" i="1" s="1"/>
  <c r="AB957" i="1" s="1"/>
  <c r="K828" i="3" s="1"/>
  <c r="Z958" i="1"/>
  <c r="AA958" i="1" s="1"/>
  <c r="AB958" i="1" s="1"/>
  <c r="K94" i="3" s="1"/>
  <c r="Z959" i="1"/>
  <c r="AA959" i="1" s="1"/>
  <c r="AB959" i="1" s="1"/>
  <c r="K676" i="3" s="1"/>
  <c r="Z960" i="1"/>
  <c r="AA960" i="1" s="1"/>
  <c r="AB960" i="1" s="1"/>
  <c r="K142" i="3" s="1"/>
  <c r="Z961" i="1"/>
  <c r="AA961" i="1" s="1"/>
  <c r="AB961" i="1" s="1"/>
  <c r="K964" i="3" s="1"/>
  <c r="Z962" i="1"/>
  <c r="AA962" i="1" s="1"/>
  <c r="AB962" i="1" s="1"/>
  <c r="K181" i="3" s="1"/>
  <c r="Z963" i="1"/>
  <c r="AA963" i="1" s="1"/>
  <c r="AB963" i="1" s="1"/>
  <c r="K948" i="3" s="1"/>
  <c r="Z964" i="1"/>
  <c r="AA964" i="1" s="1"/>
  <c r="AB964" i="1" s="1"/>
  <c r="K616" i="3" s="1"/>
  <c r="Z965" i="1"/>
  <c r="AA965" i="1" s="1"/>
  <c r="AB965" i="1" s="1"/>
  <c r="K544" i="3" s="1"/>
  <c r="Z968" i="1"/>
  <c r="AA968" i="1" s="1"/>
  <c r="AB968" i="1" s="1"/>
  <c r="K419" i="3" s="1"/>
  <c r="Z969" i="1"/>
  <c r="AA969" i="1" s="1"/>
  <c r="AB969" i="1" s="1"/>
  <c r="K636" i="3" s="1"/>
  <c r="Z970" i="1"/>
  <c r="AA970" i="1" s="1"/>
  <c r="AB970" i="1" s="1"/>
  <c r="K852" i="3" s="1"/>
  <c r="Z971" i="1"/>
  <c r="AA971" i="1" s="1"/>
  <c r="AB971" i="1" s="1"/>
  <c r="K292" i="3" s="1"/>
  <c r="Z972" i="1"/>
  <c r="AA972" i="1" s="1"/>
  <c r="AB972" i="1" s="1"/>
  <c r="K794" i="3" s="1"/>
  <c r="Z973" i="1"/>
  <c r="AA973" i="1" s="1"/>
  <c r="AB973" i="1" s="1"/>
  <c r="K726" i="3" s="1"/>
  <c r="Z974" i="1"/>
  <c r="AA974" i="1" s="1"/>
  <c r="AB974" i="1" s="1"/>
  <c r="K894" i="3" s="1"/>
  <c r="Z975" i="1"/>
  <c r="AA975" i="1" s="1"/>
  <c r="AB975" i="1" s="1"/>
  <c r="K658" i="3" s="1"/>
  <c r="Z976" i="1"/>
  <c r="AA976" i="1" s="1"/>
  <c r="AB976" i="1" s="1"/>
  <c r="K434" i="3" s="1"/>
  <c r="Z977" i="1"/>
  <c r="AA977" i="1" s="1"/>
  <c r="AB977" i="1" s="1"/>
  <c r="K199" i="3" s="1"/>
  <c r="Z978" i="1"/>
  <c r="AA978" i="1" s="1"/>
  <c r="AB978" i="1" s="1"/>
  <c r="K575" i="3" s="1"/>
  <c r="Z979" i="1"/>
  <c r="AA979" i="1" s="1"/>
  <c r="AB979" i="1" s="1"/>
  <c r="K74" i="3" s="1"/>
  <c r="Z980" i="1"/>
  <c r="AA980" i="1" s="1"/>
  <c r="AB980" i="1" s="1"/>
  <c r="K822" i="3" s="1"/>
  <c r="Z981" i="1"/>
  <c r="AA981" i="1" s="1"/>
  <c r="AB981" i="1" s="1"/>
  <c r="K433" i="3" s="1"/>
  <c r="Z983" i="1"/>
  <c r="AA983" i="1" s="1"/>
  <c r="AB983" i="1" s="1"/>
  <c r="K842" i="3" s="1"/>
  <c r="Z984" i="1"/>
  <c r="AA984" i="1" s="1"/>
  <c r="AB984" i="1" s="1"/>
  <c r="K524" i="3" s="1"/>
  <c r="Z985" i="1"/>
  <c r="AA985" i="1" s="1"/>
  <c r="AB985" i="1" s="1"/>
  <c r="K268" i="3" s="1"/>
  <c r="Z986" i="1"/>
  <c r="AA986" i="1" s="1"/>
  <c r="AB986" i="1" s="1"/>
  <c r="K328" i="3" s="1"/>
  <c r="Z987" i="1"/>
  <c r="AA987" i="1" s="1"/>
  <c r="AB987" i="1" s="1"/>
  <c r="K5" i="3" s="1"/>
  <c r="Z988" i="1"/>
  <c r="AA988" i="1" s="1"/>
  <c r="AB988" i="1" s="1"/>
  <c r="K840" i="3" s="1"/>
  <c r="Z989" i="1"/>
  <c r="AA989" i="1" s="1"/>
  <c r="AB989" i="1" s="1"/>
  <c r="K660" i="3" s="1"/>
  <c r="Z990" i="1"/>
  <c r="AA990" i="1" s="1"/>
  <c r="AB990" i="1" s="1"/>
  <c r="K914" i="3" s="1"/>
  <c r="Z991" i="1"/>
  <c r="AA991" i="1" s="1"/>
  <c r="AB991" i="1" s="1"/>
  <c r="K595" i="3" s="1"/>
  <c r="Z992" i="1"/>
  <c r="AA992" i="1" s="1"/>
  <c r="AB992" i="1" s="1"/>
  <c r="K962" i="3" s="1"/>
  <c r="Z993" i="1"/>
  <c r="AA993" i="1" s="1"/>
  <c r="AB993" i="1" s="1"/>
  <c r="K53" i="3" s="1"/>
  <c r="Z994" i="1"/>
  <c r="AA994" i="1" s="1"/>
  <c r="AB994" i="1" s="1"/>
  <c r="K226" i="3" s="1"/>
  <c r="Z996" i="1"/>
  <c r="AA996" i="1" s="1"/>
  <c r="AB996" i="1" s="1"/>
  <c r="K678" i="3" s="1"/>
  <c r="Z997" i="1"/>
  <c r="AA997" i="1" s="1"/>
  <c r="AB997" i="1" s="1"/>
  <c r="K101" i="3" s="1"/>
  <c r="Z998" i="1"/>
  <c r="AA998" i="1" s="1"/>
  <c r="AB998" i="1" s="1"/>
  <c r="K839" i="3" s="1"/>
  <c r="Z999" i="1"/>
  <c r="AA999" i="1" s="1"/>
  <c r="AB999" i="1" s="1"/>
  <c r="K599" i="3" s="1"/>
  <c r="Z1000" i="1"/>
  <c r="AA1000" i="1" s="1"/>
  <c r="AB1000" i="1" s="1"/>
  <c r="K370" i="3" s="1"/>
  <c r="Z1001" i="1"/>
  <c r="AA1001" i="1" s="1"/>
  <c r="AB1001" i="1" s="1"/>
  <c r="K620" i="3" s="1"/>
  <c r="U2" i="1"/>
  <c r="U11" i="1"/>
  <c r="U4" i="1"/>
  <c r="U3" i="1"/>
  <c r="U5" i="1"/>
  <c r="U6" i="1"/>
  <c r="U7" i="1"/>
  <c r="U8" i="1"/>
  <c r="U9" i="1"/>
  <c r="U10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Q3" i="1"/>
  <c r="H227" i="3" s="1"/>
  <c r="Q4" i="1"/>
  <c r="H187" i="3" s="1"/>
  <c r="Q5" i="1"/>
  <c r="H565" i="3" s="1"/>
  <c r="Q6" i="1"/>
  <c r="H190" i="3" s="1"/>
  <c r="Q7" i="1"/>
  <c r="H40" i="3" s="1"/>
  <c r="Q8" i="1"/>
  <c r="H211" i="3" s="1"/>
  <c r="Q9" i="1"/>
  <c r="H446" i="3" s="1"/>
  <c r="Q10" i="1"/>
  <c r="H855" i="3" s="1"/>
  <c r="Q11" i="1"/>
  <c r="H220" i="3" s="1"/>
  <c r="Q12" i="1"/>
  <c r="H530" i="3" s="1"/>
  <c r="Q13" i="1"/>
  <c r="H146" i="3" s="1"/>
  <c r="Q14" i="1"/>
  <c r="H75" i="3" s="1"/>
  <c r="Q15" i="1"/>
  <c r="H584" i="3" s="1"/>
  <c r="Q16" i="1"/>
  <c r="H263" i="3" s="1"/>
  <c r="Q17" i="1"/>
  <c r="H472" i="3" s="1"/>
  <c r="Q18" i="1"/>
  <c r="H557" i="3" s="1"/>
  <c r="Q20" i="1"/>
  <c r="H129" i="3" s="1"/>
  <c r="Q21" i="1"/>
  <c r="H92" i="3" s="1"/>
  <c r="Q22" i="1"/>
  <c r="H494" i="3" s="1"/>
  <c r="Q24" i="1"/>
  <c r="H234" i="3" s="1"/>
  <c r="Q25" i="1"/>
  <c r="H246" i="3" s="1"/>
  <c r="Q26" i="1"/>
  <c r="H161" i="3" s="1"/>
  <c r="Q27" i="1"/>
  <c r="H917" i="3" s="1"/>
  <c r="Q28" i="1"/>
  <c r="H683" i="3" s="1"/>
  <c r="Q29" i="1"/>
  <c r="H613" i="3" s="1"/>
  <c r="Q30" i="1"/>
  <c r="H352" i="3" s="1"/>
  <c r="Q31" i="1"/>
  <c r="H504" i="3" s="1"/>
  <c r="Q32" i="1"/>
  <c r="H923" i="3" s="1"/>
  <c r="Q33" i="1"/>
  <c r="H586" i="3" s="1"/>
  <c r="Q34" i="1"/>
  <c r="H381" i="3" s="1"/>
  <c r="Q35" i="1"/>
  <c r="H508" i="3" s="1"/>
  <c r="Q36" i="1"/>
  <c r="H163" i="3" s="1"/>
  <c r="Q37" i="1"/>
  <c r="H210" i="3" s="1"/>
  <c r="Q38" i="1"/>
  <c r="H459" i="3" s="1"/>
  <c r="Q39" i="1"/>
  <c r="H784" i="3" s="1"/>
  <c r="Q40" i="1"/>
  <c r="H467" i="3" s="1"/>
  <c r="Q41" i="1"/>
  <c r="H11" i="3" s="1"/>
  <c r="Q42" i="1"/>
  <c r="H23" i="3" s="1"/>
  <c r="Q43" i="1"/>
  <c r="H972" i="3" s="1"/>
  <c r="Q44" i="1"/>
  <c r="H654" i="3" s="1"/>
  <c r="Q46" i="1"/>
  <c r="H248" i="3" s="1"/>
  <c r="Q47" i="1"/>
  <c r="H493" i="3" s="1"/>
  <c r="Q48" i="1"/>
  <c r="H357" i="3" s="1"/>
  <c r="Q49" i="1"/>
  <c r="H861" i="3" s="1"/>
  <c r="Q50" i="1"/>
  <c r="H864" i="3" s="1"/>
  <c r="Q51" i="1"/>
  <c r="H798" i="3" s="1"/>
  <c r="Q52" i="1"/>
  <c r="H904" i="3" s="1"/>
  <c r="Q53" i="1"/>
  <c r="H750" i="3" s="1"/>
  <c r="Q54" i="1"/>
  <c r="H243" i="3" s="1"/>
  <c r="Q55" i="1"/>
  <c r="H497" i="3" s="1"/>
  <c r="Q56" i="1"/>
  <c r="H795" i="3" s="1"/>
  <c r="Q57" i="1"/>
  <c r="H267" i="3" s="1"/>
  <c r="Q58" i="1"/>
  <c r="H851" i="3" s="1"/>
  <c r="Q59" i="1"/>
  <c r="H578" i="3" s="1"/>
  <c r="Q61" i="1"/>
  <c r="H232" i="3" s="1"/>
  <c r="Q62" i="1"/>
  <c r="H235" i="3" s="1"/>
  <c r="Q63" i="1"/>
  <c r="H337" i="3" s="1"/>
  <c r="Q64" i="1"/>
  <c r="H671" i="3" s="1"/>
  <c r="Q65" i="1"/>
  <c r="H66" i="3" s="1"/>
  <c r="Q66" i="1"/>
  <c r="H276" i="3" s="1"/>
  <c r="Q67" i="1"/>
  <c r="H673" i="3" s="1"/>
  <c r="Q68" i="1"/>
  <c r="H388" i="3" s="1"/>
  <c r="Q69" i="1"/>
  <c r="H150" i="3" s="1"/>
  <c r="Q70" i="1"/>
  <c r="H485" i="3" s="1"/>
  <c r="Q71" i="1"/>
  <c r="H9" i="3" s="1"/>
  <c r="Q72" i="1"/>
  <c r="H718" i="3" s="1"/>
  <c r="Q73" i="1"/>
  <c r="H22" i="3" s="1"/>
  <c r="Q74" i="1"/>
  <c r="H539" i="3" s="1"/>
  <c r="Q75" i="1"/>
  <c r="H34" i="3" s="1"/>
  <c r="Q76" i="1"/>
  <c r="H632" i="3" s="1"/>
  <c r="Q78" i="1"/>
  <c r="H46" i="3" s="1"/>
  <c r="Q79" i="1"/>
  <c r="H156" i="3" s="1"/>
  <c r="Q80" i="1"/>
  <c r="H601" i="3" s="1"/>
  <c r="Q81" i="1"/>
  <c r="H170" i="3" s="1"/>
  <c r="Q82" i="1"/>
  <c r="H695" i="3" s="1"/>
  <c r="Q83" i="1"/>
  <c r="H877" i="3" s="1"/>
  <c r="Q84" i="1"/>
  <c r="H475" i="3" s="1"/>
  <c r="Q85" i="1"/>
  <c r="H659" i="3" s="1"/>
  <c r="Q86" i="1"/>
  <c r="H25" i="3" s="1"/>
  <c r="Q87" i="1"/>
  <c r="H946" i="3" s="1"/>
  <c r="Q88" i="1"/>
  <c r="H875" i="3" s="1"/>
  <c r="Q89" i="1"/>
  <c r="H567" i="3" s="1"/>
  <c r="Q90" i="1"/>
  <c r="H95" i="3" s="1"/>
  <c r="Q91" i="1"/>
  <c r="H729" i="3" s="1"/>
  <c r="Q92" i="1"/>
  <c r="H959" i="3" s="1"/>
  <c r="Q93" i="1"/>
  <c r="H93" i="3" s="1"/>
  <c r="Q94" i="1"/>
  <c r="H195" i="3" s="1"/>
  <c r="Q95" i="1"/>
  <c r="H652" i="3" s="1"/>
  <c r="Q96" i="1"/>
  <c r="H155" i="3" s="1"/>
  <c r="Q97" i="1"/>
  <c r="H638" i="3" s="1"/>
  <c r="Q98" i="1"/>
  <c r="H288" i="3" s="1"/>
  <c r="Q99" i="1"/>
  <c r="H591" i="3" s="1"/>
  <c r="Q100" i="1"/>
  <c r="H476" i="3" s="1"/>
  <c r="Q101" i="1"/>
  <c r="H727" i="3" s="1"/>
  <c r="Q102" i="1"/>
  <c r="H666" i="3" s="1"/>
  <c r="Q103" i="1"/>
  <c r="H254" i="3" s="1"/>
  <c r="Q104" i="1"/>
  <c r="H280" i="3" s="1"/>
  <c r="Q105" i="1"/>
  <c r="H957" i="3" s="1"/>
  <c r="Q106" i="1"/>
  <c r="H876" i="3" s="1"/>
  <c r="Q107" i="1"/>
  <c r="H85" i="3" s="1"/>
  <c r="Q108" i="1"/>
  <c r="H67" i="3" s="1"/>
  <c r="Q109" i="1"/>
  <c r="H399" i="3" s="1"/>
  <c r="Q110" i="1"/>
  <c r="H899" i="3" s="1"/>
  <c r="Q111" i="1"/>
  <c r="H372" i="3" s="1"/>
  <c r="Q112" i="1"/>
  <c r="H834" i="3" s="1"/>
  <c r="Q113" i="1"/>
  <c r="H723" i="3" s="1"/>
  <c r="Q114" i="1"/>
  <c r="H323" i="3" s="1"/>
  <c r="Q115" i="1"/>
  <c r="H776" i="3" s="1"/>
  <c r="Q116" i="1"/>
  <c r="H43" i="3" s="1"/>
  <c r="Q117" i="1"/>
  <c r="H725" i="3" s="1"/>
  <c r="Q118" i="1"/>
  <c r="H97" i="3" s="1"/>
  <c r="Q119" i="1"/>
  <c r="H824" i="3" s="1"/>
  <c r="Q120" i="1"/>
  <c r="H702" i="3" s="1"/>
  <c r="Q121" i="1"/>
  <c r="H796" i="3" s="1"/>
  <c r="Q122" i="1"/>
  <c r="H614" i="3" s="1"/>
  <c r="Q123" i="1"/>
  <c r="H335" i="3" s="1"/>
  <c r="Q124" i="1"/>
  <c r="H311" i="3" s="1"/>
  <c r="Q125" i="1"/>
  <c r="H820" i="3" s="1"/>
  <c r="Q126" i="1"/>
  <c r="H668" i="3" s="1"/>
  <c r="Q127" i="1"/>
  <c r="H294" i="3" s="1"/>
  <c r="Q128" i="1"/>
  <c r="H769" i="3" s="1"/>
  <c r="Q129" i="1"/>
  <c r="H746" i="3" s="1"/>
  <c r="Q130" i="1"/>
  <c r="H63" i="3" s="1"/>
  <c r="Q131" i="1"/>
  <c r="H332" i="3" s="1"/>
  <c r="Q132" i="1"/>
  <c r="H408" i="3" s="1"/>
  <c r="Q133" i="1"/>
  <c r="H88" i="3" s="1"/>
  <c r="Q134" i="1"/>
  <c r="H259" i="3" s="1"/>
  <c r="Q135" i="1"/>
  <c r="H523" i="3" s="1"/>
  <c r="Q136" i="1"/>
  <c r="H406" i="3" s="1"/>
  <c r="Q137" i="1"/>
  <c r="H21" i="3" s="1"/>
  <c r="Q138" i="1"/>
  <c r="H437" i="3" s="1"/>
  <c r="Q139" i="1"/>
  <c r="H553" i="3" s="1"/>
  <c r="Q140" i="1"/>
  <c r="H847" i="3" s="1"/>
  <c r="Q141" i="1"/>
  <c r="H756" i="3" s="1"/>
  <c r="Q142" i="1"/>
  <c r="H206" i="3" s="1"/>
  <c r="Q143" i="1"/>
  <c r="H682" i="3" s="1"/>
  <c r="Q144" i="1"/>
  <c r="H395" i="3" s="1"/>
  <c r="Q145" i="1"/>
  <c r="H374" i="3" s="1"/>
  <c r="Q146" i="1"/>
  <c r="H126" i="3" s="1"/>
  <c r="Q147" i="1"/>
  <c r="H24" i="3" s="1"/>
  <c r="Q148" i="1"/>
  <c r="H159" i="3" s="1"/>
  <c r="Q149" i="1"/>
  <c r="H641" i="3" s="1"/>
  <c r="Q150" i="1"/>
  <c r="H866" i="3" s="1"/>
  <c r="Q151" i="1"/>
  <c r="H602" i="3" s="1"/>
  <c r="Q152" i="1"/>
  <c r="H506" i="3" s="1"/>
  <c r="Q153" i="1"/>
  <c r="H801" i="3" s="1"/>
  <c r="Q154" i="1"/>
  <c r="H134" i="3" s="1"/>
  <c r="Q155" i="1"/>
  <c r="H566" i="3" s="1"/>
  <c r="Q156" i="1"/>
  <c r="H356" i="3" s="1"/>
  <c r="Q157" i="1"/>
  <c r="H17" i="3" s="1"/>
  <c r="Q158" i="1"/>
  <c r="H445" i="3" s="1"/>
  <c r="Q160" i="1"/>
  <c r="H469" i="3" s="1"/>
  <c r="Q161" i="1"/>
  <c r="H996" i="3" s="1"/>
  <c r="Q162" i="1"/>
  <c r="H355" i="3" s="1"/>
  <c r="Q163" i="1"/>
  <c r="H490" i="3" s="1"/>
  <c r="Q164" i="1"/>
  <c r="H125" i="3" s="1"/>
  <c r="Q165" i="1"/>
  <c r="H32" i="3" s="1"/>
  <c r="Q166" i="1"/>
  <c r="H127" i="3" s="1"/>
  <c r="Q168" i="1"/>
  <c r="H13" i="3" s="1"/>
  <c r="Q169" i="1"/>
  <c r="H766" i="3" s="1"/>
  <c r="Q170" i="1"/>
  <c r="H4" i="3" s="1"/>
  <c r="Q171" i="1"/>
  <c r="H377" i="3" s="1"/>
  <c r="Q173" i="1"/>
  <c r="H692" i="3" s="1"/>
  <c r="Q174" i="1"/>
  <c r="H451" i="3" s="1"/>
  <c r="Q175" i="1"/>
  <c r="H755" i="3" s="1"/>
  <c r="Q176" i="1"/>
  <c r="H787" i="3" s="1"/>
  <c r="Q177" i="1"/>
  <c r="H76" i="3" s="1"/>
  <c r="Q178" i="1"/>
  <c r="H338" i="3" s="1"/>
  <c r="Q179" i="1"/>
  <c r="H354" i="3" s="1"/>
  <c r="Q180" i="1"/>
  <c r="H405" i="3" s="1"/>
  <c r="Q181" i="1"/>
  <c r="H892" i="3" s="1"/>
  <c r="Q182" i="1"/>
  <c r="H767" i="3" s="1"/>
  <c r="Q183" i="1"/>
  <c r="H986" i="3" s="1"/>
  <c r="Q184" i="1"/>
  <c r="H581" i="3" s="1"/>
  <c r="Q185" i="1"/>
  <c r="H706" i="3" s="1"/>
  <c r="Q186" i="1"/>
  <c r="H753" i="3" s="1"/>
  <c r="Q187" i="1"/>
  <c r="H481" i="3" s="1"/>
  <c r="Q188" i="1"/>
  <c r="H166" i="3" s="1"/>
  <c r="Q189" i="1"/>
  <c r="H264" i="3" s="1"/>
  <c r="Q190" i="1"/>
  <c r="H318" i="3" s="1"/>
  <c r="Q192" i="1"/>
  <c r="H965" i="3" s="1"/>
  <c r="Q193" i="1"/>
  <c r="H73" i="3" s="1"/>
  <c r="Q195" i="1"/>
  <c r="H60" i="3" s="1"/>
  <c r="Q196" i="1"/>
  <c r="H257" i="3" s="1"/>
  <c r="Q197" i="1"/>
  <c r="H228" i="3" s="1"/>
  <c r="Q198" i="1"/>
  <c r="H690" i="3" s="1"/>
  <c r="Q199" i="1"/>
  <c r="H721" i="3" s="1"/>
  <c r="Q200" i="1"/>
  <c r="H279" i="3" s="1"/>
  <c r="Q201" i="1"/>
  <c r="H561" i="3" s="1"/>
  <c r="Q202" i="1"/>
  <c r="H869" i="3" s="1"/>
  <c r="Q203" i="1"/>
  <c r="H138" i="3" s="1"/>
  <c r="Q204" i="1"/>
  <c r="H461" i="3" s="1"/>
  <c r="Q205" i="1"/>
  <c r="H429" i="3" s="1"/>
  <c r="Q206" i="1"/>
  <c r="H174" i="3" s="1"/>
  <c r="Q207" i="1"/>
  <c r="H974" i="3" s="1"/>
  <c r="Q208" i="1"/>
  <c r="H380" i="3" s="1"/>
  <c r="Q209" i="1"/>
  <c r="H777" i="3" s="1"/>
  <c r="Q210" i="1"/>
  <c r="H642" i="3" s="1"/>
  <c r="Q211" i="1"/>
  <c r="H342" i="3" s="1"/>
  <c r="Q212" i="1"/>
  <c r="H441" i="3" s="1"/>
  <c r="Q213" i="1"/>
  <c r="H83" i="3" s="1"/>
  <c r="Q214" i="1"/>
  <c r="H225" i="3" s="1"/>
  <c r="Q215" i="1"/>
  <c r="H509" i="3" s="1"/>
  <c r="Q216" i="1"/>
  <c r="H933" i="3" s="1"/>
  <c r="Q217" i="1"/>
  <c r="H486" i="3" s="1"/>
  <c r="Q218" i="1"/>
  <c r="H64" i="3" s="1"/>
  <c r="Q219" i="1"/>
  <c r="H563" i="3" s="1"/>
  <c r="Q220" i="1"/>
  <c r="H736" i="3" s="1"/>
  <c r="Q221" i="1"/>
  <c r="H607" i="3" s="1"/>
  <c r="Q222" i="1"/>
  <c r="H955" i="3" s="1"/>
  <c r="Q223" i="1"/>
  <c r="H495" i="3" s="1"/>
  <c r="Q224" i="1"/>
  <c r="H961" i="3" s="1"/>
  <c r="Q225" i="1"/>
  <c r="H57" i="3" s="1"/>
  <c r="Q226" i="1"/>
  <c r="H7" i="3" s="1"/>
  <c r="Q227" i="1"/>
  <c r="H831" i="3" s="1"/>
  <c r="Q228" i="1"/>
  <c r="H786" i="3" s="1"/>
  <c r="Q229" i="1"/>
  <c r="H158" i="3" s="1"/>
  <c r="Q230" i="1"/>
  <c r="H213" i="3" s="1"/>
  <c r="Q231" i="1"/>
  <c r="H145" i="3" s="1"/>
  <c r="Q232" i="1"/>
  <c r="H609" i="3" s="1"/>
  <c r="Q233" i="1"/>
  <c r="H670" i="3" s="1"/>
  <c r="Q234" i="1"/>
  <c r="H994" i="3" s="1"/>
  <c r="Q235" i="1"/>
  <c r="H932" i="3" s="1"/>
  <c r="Q236" i="1"/>
  <c r="H903" i="3" s="1"/>
  <c r="Q237" i="1"/>
  <c r="H177" i="3" s="1"/>
  <c r="Q238" i="1"/>
  <c r="H105" i="3" s="1"/>
  <c r="Q239" i="1"/>
  <c r="H819" i="3" s="1"/>
  <c r="Q240" i="1"/>
  <c r="H674" i="3" s="1"/>
  <c r="Q241" i="1"/>
  <c r="H799" i="3" s="1"/>
  <c r="Q242" i="1"/>
  <c r="H672" i="3" s="1"/>
  <c r="Q243" i="1"/>
  <c r="H735" i="3" s="1"/>
  <c r="Q244" i="1"/>
  <c r="H976" i="3" s="1"/>
  <c r="Q245" i="1"/>
  <c r="H995" i="3" s="1"/>
  <c r="Q246" i="1"/>
  <c r="H661" i="3" s="1"/>
  <c r="Q247" i="1"/>
  <c r="H348" i="3" s="1"/>
  <c r="Q248" i="1"/>
  <c r="H511" i="3" s="1"/>
  <c r="Q249" i="1"/>
  <c r="H49" i="3" s="1"/>
  <c r="Q250" i="1"/>
  <c r="H693" i="3" s="1"/>
  <c r="Q251" i="1"/>
  <c r="H281" i="3" s="1"/>
  <c r="Q252" i="1"/>
  <c r="H449" i="3" s="1"/>
  <c r="Q253" i="1"/>
  <c r="H439" i="3" s="1"/>
  <c r="Q254" i="1"/>
  <c r="H677" i="3" s="1"/>
  <c r="Q255" i="1"/>
  <c r="H879" i="3" s="1"/>
  <c r="Q256" i="1"/>
  <c r="H330" i="3" s="1"/>
  <c r="Q257" i="1"/>
  <c r="H554" i="3" s="1"/>
  <c r="Q258" i="1"/>
  <c r="H78" i="3" s="1"/>
  <c r="Q259" i="1"/>
  <c r="H414" i="3" s="1"/>
  <c r="Q260" i="1"/>
  <c r="H610" i="3" s="1"/>
  <c r="Q261" i="1"/>
  <c r="H272" i="3" s="1"/>
  <c r="Q262" i="1"/>
  <c r="H258" i="3" s="1"/>
  <c r="Q263" i="1"/>
  <c r="H807" i="3" s="1"/>
  <c r="Q264" i="1"/>
  <c r="H316" i="3" s="1"/>
  <c r="Q265" i="1"/>
  <c r="H460" i="3" s="1"/>
  <c r="Q266" i="1"/>
  <c r="H596" i="3" s="1"/>
  <c r="Q267" i="1"/>
  <c r="H947" i="3" s="1"/>
  <c r="Q268" i="1"/>
  <c r="H260" i="3" s="1"/>
  <c r="Q269" i="1"/>
  <c r="H930" i="3" s="1"/>
  <c r="Q270" i="1"/>
  <c r="H549" i="3" s="1"/>
  <c r="Q271" i="1"/>
  <c r="H867" i="3" s="1"/>
  <c r="Q272" i="1"/>
  <c r="H353" i="3" s="1"/>
  <c r="Q273" i="1"/>
  <c r="H649" i="3" s="1"/>
  <c r="Q274" i="1"/>
  <c r="H537" i="3" s="1"/>
  <c r="Q275" i="1"/>
  <c r="H653" i="3" s="1"/>
  <c r="Q276" i="1"/>
  <c r="H48" i="3" s="1"/>
  <c r="Q277" i="1"/>
  <c r="H844" i="3" s="1"/>
  <c r="Q278" i="1"/>
  <c r="H425" i="3" s="1"/>
  <c r="Q279" i="1"/>
  <c r="H764" i="3" s="1"/>
  <c r="Q280" i="1"/>
  <c r="H3" i="3" s="1"/>
  <c r="Q281" i="1"/>
  <c r="H908" i="3" s="1"/>
  <c r="Q282" i="1"/>
  <c r="H453" i="3" s="1"/>
  <c r="Q283" i="1"/>
  <c r="H321" i="3" s="1"/>
  <c r="Q284" i="1"/>
  <c r="H455" i="3" s="1"/>
  <c r="Q285" i="1"/>
  <c r="H202" i="3" s="1"/>
  <c r="Q286" i="1"/>
  <c r="H131" i="3" s="1"/>
  <c r="Q287" i="1"/>
  <c r="H68" i="3" s="1"/>
  <c r="Q288" i="1"/>
  <c r="H373" i="3" s="1"/>
  <c r="Q289" i="1"/>
  <c r="H390" i="3" s="1"/>
  <c r="Q290" i="1"/>
  <c r="H114" i="3" s="1"/>
  <c r="Q291" i="1"/>
  <c r="H422" i="3" s="1"/>
  <c r="Q292" i="1"/>
  <c r="H371" i="3" s="1"/>
  <c r="Q293" i="1"/>
  <c r="H817" i="3" s="1"/>
  <c r="Q294" i="1"/>
  <c r="H290" i="3" s="1"/>
  <c r="Q295" i="1"/>
  <c r="H194" i="3" s="1"/>
  <c r="Q296" i="1"/>
  <c r="H112" i="3" s="1"/>
  <c r="Q297" i="1"/>
  <c r="H103" i="3" s="1"/>
  <c r="Q298" i="1"/>
  <c r="H577" i="3" s="1"/>
  <c r="Q299" i="1"/>
  <c r="H977" i="3" s="1"/>
  <c r="Q300" i="1"/>
  <c r="H583" i="3" s="1"/>
  <c r="Q301" i="1"/>
  <c r="H521" i="3" s="1"/>
  <c r="Q302" i="1"/>
  <c r="H376" i="3" s="1"/>
  <c r="Q303" i="1"/>
  <c r="H640" i="3" s="1"/>
  <c r="Q304" i="1"/>
  <c r="H705" i="3" s="1"/>
  <c r="Q305" i="1"/>
  <c r="H606" i="3" s="1"/>
  <c r="Q306" i="1"/>
  <c r="H980" i="3" s="1"/>
  <c r="Q307" i="1"/>
  <c r="H307" i="3" s="1"/>
  <c r="Q308" i="1"/>
  <c r="H829" i="3" s="1"/>
  <c r="Q309" i="1"/>
  <c r="H675" i="3" s="1"/>
  <c r="Q310" i="1"/>
  <c r="H133" i="3" s="1"/>
  <c r="Q311" i="1"/>
  <c r="H411" i="3" s="1"/>
  <c r="Q312" i="1"/>
  <c r="H758" i="3" s="1"/>
  <c r="Q313" i="1"/>
  <c r="H687" i="3" s="1"/>
  <c r="Q314" i="1"/>
  <c r="H334" i="3" s="1"/>
  <c r="Q315" i="1"/>
  <c r="H277" i="3" s="1"/>
  <c r="Q317" i="1"/>
  <c r="H838" i="3" s="1"/>
  <c r="Q318" i="1"/>
  <c r="H474" i="3" s="1"/>
  <c r="Q319" i="1"/>
  <c r="H732" i="3" s="1"/>
  <c r="Q320" i="1"/>
  <c r="H136" i="3" s="1"/>
  <c r="Q321" i="1"/>
  <c r="H739" i="3" s="1"/>
  <c r="Q322" i="1"/>
  <c r="H770" i="3" s="1"/>
  <c r="Q323" i="1"/>
  <c r="H598" i="3" s="1"/>
  <c r="Q324" i="1"/>
  <c r="H224" i="3" s="1"/>
  <c r="Q325" i="1"/>
  <c r="H320" i="3" s="1"/>
  <c r="Q326" i="1"/>
  <c r="H811" i="3" s="1"/>
  <c r="Q327" i="1"/>
  <c r="H59" i="3" s="1"/>
  <c r="Q328" i="1"/>
  <c r="H781" i="3" s="1"/>
  <c r="Q329" i="1"/>
  <c r="H343" i="3" s="1"/>
  <c r="Q330" i="1"/>
  <c r="H424" i="3" s="1"/>
  <c r="Q331" i="1"/>
  <c r="H113" i="3" s="1"/>
  <c r="Q332" i="1"/>
  <c r="H198" i="3" s="1"/>
  <c r="Q333" i="1"/>
  <c r="H42" i="3" s="1"/>
  <c r="Q334" i="1"/>
  <c r="H8" i="3" s="1"/>
  <c r="Q335" i="1"/>
  <c r="H710" i="3" s="1"/>
  <c r="Q336" i="1"/>
  <c r="H967" i="3" s="1"/>
  <c r="Q337" i="1"/>
  <c r="H164" i="3" s="1"/>
  <c r="Q338" i="1"/>
  <c r="H696" i="3" s="1"/>
  <c r="Q339" i="1"/>
  <c r="H90" i="3" s="1"/>
  <c r="Q340" i="1"/>
  <c r="H627" i="3" s="1"/>
  <c r="Q341" i="1"/>
  <c r="H256" i="3" s="1"/>
  <c r="Q343" i="1"/>
  <c r="H180" i="3" s="1"/>
  <c r="Q344" i="1"/>
  <c r="H920" i="3" s="1"/>
  <c r="Q345" i="1"/>
  <c r="H147" i="3" s="1"/>
  <c r="Q346" i="1"/>
  <c r="H922" i="3" s="1"/>
  <c r="Q347" i="1"/>
  <c r="H396" i="3" s="1"/>
  <c r="Q348" i="1"/>
  <c r="H634" i="3" s="1"/>
  <c r="Q349" i="1"/>
  <c r="H905" i="3" s="1"/>
  <c r="Q350" i="1"/>
  <c r="H140" i="3" s="1"/>
  <c r="Q351" i="1"/>
  <c r="H269" i="3" s="1"/>
  <c r="Q352" i="1"/>
  <c r="H325" i="3" s="1"/>
  <c r="Q353" i="1"/>
  <c r="H910" i="3" s="1"/>
  <c r="Q354" i="1"/>
  <c r="H285" i="3" s="1"/>
  <c r="Q355" i="1"/>
  <c r="H344" i="3" s="1"/>
  <c r="Q356" i="1"/>
  <c r="H102" i="3" s="1"/>
  <c r="Q358" i="1"/>
  <c r="H720" i="3" s="1"/>
  <c r="Q359" i="1"/>
  <c r="H207" i="3" s="1"/>
  <c r="Q360" i="1"/>
  <c r="H931" i="3" s="1"/>
  <c r="Q361" i="1"/>
  <c r="H988" i="3" s="1"/>
  <c r="Q362" i="1"/>
  <c r="H108" i="3" s="1"/>
  <c r="Q363" i="1"/>
  <c r="H479" i="3" s="1"/>
  <c r="Q364" i="1"/>
  <c r="H859" i="3" s="1"/>
  <c r="Q365" i="1"/>
  <c r="H410" i="3" s="1"/>
  <c r="Q366" i="1"/>
  <c r="H386" i="3" s="1"/>
  <c r="Q368" i="1"/>
  <c r="H483" i="3" s="1"/>
  <c r="Q369" i="1"/>
  <c r="H759" i="3" s="1"/>
  <c r="Q371" i="1"/>
  <c r="H748" i="3" s="1"/>
  <c r="Q372" i="1"/>
  <c r="H296" i="3" s="1"/>
  <c r="Q373" i="1"/>
  <c r="H651" i="3" s="1"/>
  <c r="Q374" i="1"/>
  <c r="H397" i="3" s="1"/>
  <c r="Q375" i="1"/>
  <c r="H551" i="3" s="1"/>
  <c r="Q377" i="1"/>
  <c r="H891" i="3" s="1"/>
  <c r="Q378" i="1"/>
  <c r="H273" i="3" s="1"/>
  <c r="Q379" i="1"/>
  <c r="H907" i="3" s="1"/>
  <c r="Q380" i="1"/>
  <c r="H830" i="3" s="1"/>
  <c r="Q381" i="1"/>
  <c r="H51" i="3" s="1"/>
  <c r="Q382" i="1"/>
  <c r="H592" i="3" s="1"/>
  <c r="Q383" i="1"/>
  <c r="H555" i="3" s="1"/>
  <c r="Q384" i="1"/>
  <c r="H378" i="3" s="1"/>
  <c r="Q385" i="1"/>
  <c r="H542" i="3" s="1"/>
  <c r="Q386" i="1"/>
  <c r="H562" i="3" s="1"/>
  <c r="Q387" i="1"/>
  <c r="H31" i="3" s="1"/>
  <c r="Q388" i="1"/>
  <c r="H966" i="3" s="1"/>
  <c r="Q389" i="1"/>
  <c r="H913" i="3" s="1"/>
  <c r="Q390" i="1"/>
  <c r="H827" i="3" s="1"/>
  <c r="Q391" i="1"/>
  <c r="H818" i="3" s="1"/>
  <c r="Q392" i="1"/>
  <c r="H319" i="3" s="1"/>
  <c r="Q393" i="1"/>
  <c r="H950" i="3" s="1"/>
  <c r="Q395" i="1"/>
  <c r="H752" i="3" s="1"/>
  <c r="Q396" i="1"/>
  <c r="H503" i="3" s="1"/>
  <c r="Q397" i="1"/>
  <c r="H743" i="3" s="1"/>
  <c r="Q398" i="1"/>
  <c r="H70" i="3" s="1"/>
  <c r="Q399" i="1"/>
  <c r="H392" i="3" s="1"/>
  <c r="Q400" i="1"/>
  <c r="H236" i="3" s="1"/>
  <c r="Q401" i="1"/>
  <c r="H154" i="3" s="1"/>
  <c r="Q402" i="1"/>
  <c r="H924" i="3" s="1"/>
  <c r="Q403" i="1"/>
  <c r="H617" i="3" s="1"/>
  <c r="Q404" i="1"/>
  <c r="H275" i="3" s="1"/>
  <c r="Q405" i="1"/>
  <c r="H516" i="3" s="1"/>
  <c r="Q406" i="1"/>
  <c r="H492" i="3" s="1"/>
  <c r="Q407" i="1"/>
  <c r="H250" i="3" s="1"/>
  <c r="Q408" i="1"/>
  <c r="H949" i="3" s="1"/>
  <c r="Q409" i="1"/>
  <c r="H252" i="3" s="1"/>
  <c r="Q410" i="1"/>
  <c r="H604" i="3" s="1"/>
  <c r="Q411" i="1"/>
  <c r="H982" i="3" s="1"/>
  <c r="Q412" i="1"/>
  <c r="H262" i="3" s="1"/>
  <c r="Q413" i="1"/>
  <c r="H62" i="3" s="1"/>
  <c r="Q414" i="1"/>
  <c r="H546" i="3" s="1"/>
  <c r="Q415" i="1"/>
  <c r="H837" i="3" s="1"/>
  <c r="Q416" i="1"/>
  <c r="H426" i="3" s="1"/>
  <c r="Q417" i="1"/>
  <c r="H452" i="3" s="1"/>
  <c r="Q418" i="1"/>
  <c r="H570" i="3" s="1"/>
  <c r="Q419" i="1"/>
  <c r="H240" i="3" s="1"/>
  <c r="Q420" i="1"/>
  <c r="H628" i="3" s="1"/>
  <c r="Q421" i="1"/>
  <c r="H605" i="3" s="1"/>
  <c r="Q422" i="1"/>
  <c r="H761" i="3" s="1"/>
  <c r="Q423" i="1"/>
  <c r="H358" i="3" s="1"/>
  <c r="Q424" i="1"/>
  <c r="H18" i="3" s="1"/>
  <c r="Q425" i="1"/>
  <c r="H324" i="3" s="1"/>
  <c r="Q426" i="1"/>
  <c r="H896" i="3" s="1"/>
  <c r="Q427" i="1"/>
  <c r="H643" i="3" s="1"/>
  <c r="Q429" i="1"/>
  <c r="H803" i="3" s="1"/>
  <c r="Q430" i="1"/>
  <c r="H622" i="3" s="1"/>
  <c r="Q431" i="1"/>
  <c r="H420" i="3" s="1"/>
  <c r="Q433" i="1"/>
  <c r="H529" i="3" s="1"/>
  <c r="Q434" i="1"/>
  <c r="H178" i="3" s="1"/>
  <c r="Q435" i="1"/>
  <c r="H656" i="3" s="1"/>
  <c r="Q436" i="1"/>
  <c r="H821" i="3" s="1"/>
  <c r="Q437" i="1"/>
  <c r="H669" i="3" s="1"/>
  <c r="Q438" i="1"/>
  <c r="H887" i="3" s="1"/>
  <c r="Q439" i="1"/>
  <c r="H91" i="3" s="1"/>
  <c r="Q440" i="1"/>
  <c r="H813" i="3" s="1"/>
  <c r="Q441" i="1"/>
  <c r="H856" i="3" s="1"/>
  <c r="Q442" i="1"/>
  <c r="H688" i="3" s="1"/>
  <c r="Q444" i="1"/>
  <c r="H757" i="3" s="1"/>
  <c r="Q446" i="1"/>
  <c r="H719" i="3" s="1"/>
  <c r="Q447" i="1"/>
  <c r="H883" i="3" s="1"/>
  <c r="Q448" i="1"/>
  <c r="H664" i="3" s="1"/>
  <c r="Q449" i="1"/>
  <c r="H921" i="3" s="1"/>
  <c r="Q450" i="1"/>
  <c r="H130" i="3" s="1"/>
  <c r="Q452" i="1"/>
  <c r="H630" i="3" s="1"/>
  <c r="Q453" i="1"/>
  <c r="H639" i="3" s="1"/>
  <c r="Q454" i="1"/>
  <c r="H865" i="3" s="1"/>
  <c r="Q455" i="1"/>
  <c r="H364" i="3" s="1"/>
  <c r="Q456" i="1"/>
  <c r="H473" i="3" s="1"/>
  <c r="Q457" i="1"/>
  <c r="H956" i="3" s="1"/>
  <c r="Q459" i="1"/>
  <c r="H418" i="3" s="1"/>
  <c r="Q460" i="1"/>
  <c r="H526" i="3" s="1"/>
  <c r="Q461" i="1"/>
  <c r="H833" i="3" s="1"/>
  <c r="Q462" i="1"/>
  <c r="H186" i="3" s="1"/>
  <c r="Q463" i="1"/>
  <c r="H981" i="3" s="1"/>
  <c r="Q464" i="1"/>
  <c r="H540" i="3" s="1"/>
  <c r="Q465" i="1"/>
  <c r="H846" i="3" s="1"/>
  <c r="Q466" i="1"/>
  <c r="H297" i="3" s="1"/>
  <c r="Q467" i="1"/>
  <c r="H985" i="3" s="1"/>
  <c r="Q468" i="1"/>
  <c r="H559" i="3" s="1"/>
  <c r="Q469" i="1"/>
  <c r="H499" i="3" s="1"/>
  <c r="Q470" i="1"/>
  <c r="H36" i="3" s="1"/>
  <c r="Q471" i="1"/>
  <c r="H400" i="3" s="1"/>
  <c r="Q472" i="1"/>
  <c r="H925" i="3" s="1"/>
  <c r="Q473" i="1"/>
  <c r="H326" i="3" s="1"/>
  <c r="Q474" i="1"/>
  <c r="H625" i="3" s="1"/>
  <c r="Q476" i="1"/>
  <c r="H462" i="3" s="1"/>
  <c r="Q477" i="1"/>
  <c r="H754" i="3" s="1"/>
  <c r="Q478" i="1"/>
  <c r="H218" i="3" s="1"/>
  <c r="Q479" i="1"/>
  <c r="H118" i="3" s="1"/>
  <c r="Q480" i="1"/>
  <c r="H881" i="3" s="1"/>
  <c r="Q481" i="1"/>
  <c r="H327" i="3" s="1"/>
  <c r="Q482" i="1"/>
  <c r="H29" i="3" s="1"/>
  <c r="Q484" i="1"/>
  <c r="H522" i="3" s="1"/>
  <c r="Q485" i="1"/>
  <c r="H871" i="3" s="1"/>
  <c r="Q486" i="1"/>
  <c r="H747" i="3" s="1"/>
  <c r="Q487" i="1"/>
  <c r="H520" i="3" s="1"/>
  <c r="Q488" i="1"/>
  <c r="H306" i="3" s="1"/>
  <c r="Q489" i="1"/>
  <c r="H888" i="3" s="1"/>
  <c r="Q490" i="1"/>
  <c r="H703" i="3" s="1"/>
  <c r="Q491" i="1"/>
  <c r="H430" i="3" s="1"/>
  <c r="Q492" i="1"/>
  <c r="H444" i="3" s="1"/>
  <c r="Q493" i="1"/>
  <c r="H704" i="3" s="1"/>
  <c r="Q494" i="1"/>
  <c r="H295" i="3" s="1"/>
  <c r="Q495" i="1"/>
  <c r="H149" i="3" s="1"/>
  <c r="Q496" i="1"/>
  <c r="H700" i="3" s="1"/>
  <c r="Q497" i="1"/>
  <c r="H728" i="3" s="1"/>
  <c r="Q498" i="1"/>
  <c r="H65" i="3" s="1"/>
  <c r="Q499" i="1"/>
  <c r="H284" i="3" s="1"/>
  <c r="Q500" i="1"/>
  <c r="H937" i="3" s="1"/>
  <c r="Q501" i="1"/>
  <c r="H547" i="3" s="1"/>
  <c r="Q502" i="1"/>
  <c r="H139" i="3" s="1"/>
  <c r="Q503" i="1"/>
  <c r="H731" i="3" s="1"/>
  <c r="Q504" i="1"/>
  <c r="H951" i="3" s="1"/>
  <c r="Q505" i="1"/>
  <c r="H911" i="3" s="1"/>
  <c r="Q506" i="1"/>
  <c r="H969" i="3" s="1"/>
  <c r="Q507" i="1"/>
  <c r="H749" i="3" s="1"/>
  <c r="Q509" i="1"/>
  <c r="H697" i="3" s="1"/>
  <c r="Q510" i="1"/>
  <c r="H87" i="3" s="1"/>
  <c r="Q511" i="1"/>
  <c r="H204" i="3" s="1"/>
  <c r="Q512" i="1"/>
  <c r="H958" i="3" s="1"/>
  <c r="Q513" i="1"/>
  <c r="H615" i="3" s="1"/>
  <c r="Q514" i="1"/>
  <c r="H711" i="3" s="1"/>
  <c r="Q515" i="1"/>
  <c r="H169" i="3" s="1"/>
  <c r="Q516" i="1"/>
  <c r="H717" i="3" s="1"/>
  <c r="Q517" i="1"/>
  <c r="H624" i="3" s="1"/>
  <c r="Q518" i="1"/>
  <c r="H621" i="3" s="1"/>
  <c r="Q519" i="1"/>
  <c r="H435" i="3" s="1"/>
  <c r="Q520" i="1"/>
  <c r="H215" i="3" s="1"/>
  <c r="Q521" i="1"/>
  <c r="H815" i="3" s="1"/>
  <c r="Q522" i="1"/>
  <c r="H336" i="3" s="1"/>
  <c r="Q523" i="1"/>
  <c r="H782" i="3" s="1"/>
  <c r="Q524" i="1"/>
  <c r="H637" i="3" s="1"/>
  <c r="Q525" i="1"/>
  <c r="H404" i="3" s="1"/>
  <c r="Q526" i="1"/>
  <c r="H253" i="3" s="1"/>
  <c r="Q527" i="1"/>
  <c r="H385" i="3" s="1"/>
  <c r="Q528" i="1"/>
  <c r="H572" i="3" s="1"/>
  <c r="Q529" i="1"/>
  <c r="H845" i="3" s="1"/>
  <c r="Q530" i="1"/>
  <c r="H536" i="3" s="1"/>
  <c r="Q532" i="1"/>
  <c r="H816" i="3" s="1"/>
  <c r="Q533" i="1"/>
  <c r="H329" i="3" s="1"/>
  <c r="Q534" i="1"/>
  <c r="H940" i="3" s="1"/>
  <c r="Q535" i="1"/>
  <c r="H505" i="3" s="1"/>
  <c r="Q536" i="1"/>
  <c r="H588" i="3" s="1"/>
  <c r="Q537" i="1"/>
  <c r="H745" i="3" s="1"/>
  <c r="Q538" i="1"/>
  <c r="H780" i="3" s="1"/>
  <c r="Q539" i="1"/>
  <c r="H242" i="3" s="1"/>
  <c r="Q540" i="1"/>
  <c r="H953" i="3" s="1"/>
  <c r="Q541" i="1"/>
  <c r="H979" i="3" s="1"/>
  <c r="Q542" i="1"/>
  <c r="H775" i="3" s="1"/>
  <c r="Q543" i="1"/>
  <c r="H502" i="3" s="1"/>
  <c r="Q544" i="1"/>
  <c r="H941" i="3" s="1"/>
  <c r="Q545" i="1"/>
  <c r="H407" i="3" s="1"/>
  <c r="Q546" i="1"/>
  <c r="H929" i="3" s="1"/>
  <c r="Q547" i="1"/>
  <c r="H991" i="3" s="1"/>
  <c r="Q548" i="1"/>
  <c r="H983" i="3" s="1"/>
  <c r="Q549" i="1"/>
  <c r="H968" i="3" s="1"/>
  <c r="Q550" i="1"/>
  <c r="H926" i="3" s="1"/>
  <c r="Q551" i="1"/>
  <c r="H810" i="3" s="1"/>
  <c r="Q553" i="1"/>
  <c r="H809" i="3" s="1"/>
  <c r="Q554" i="1"/>
  <c r="H534" i="3" s="1"/>
  <c r="Q555" i="1"/>
  <c r="H100" i="3" s="1"/>
  <c r="Q556" i="1"/>
  <c r="H341" i="3" s="1"/>
  <c r="Q557" i="1"/>
  <c r="H312" i="3" s="1"/>
  <c r="Q558" i="1"/>
  <c r="H814" i="3" s="1"/>
  <c r="Q559" i="1"/>
  <c r="H515" i="3" s="1"/>
  <c r="Q560" i="1"/>
  <c r="H84" i="3" s="1"/>
  <c r="Q561" i="1"/>
  <c r="H19" i="3" s="1"/>
  <c r="Q562" i="1"/>
  <c r="H322" i="3" s="1"/>
  <c r="Q563" i="1"/>
  <c r="H895" i="3" s="1"/>
  <c r="Q564" i="1"/>
  <c r="H699" i="3" s="1"/>
  <c r="Q565" i="1"/>
  <c r="H989" i="3" s="1"/>
  <c r="Q566" i="1"/>
  <c r="H33" i="3" s="1"/>
  <c r="Q567" i="1"/>
  <c r="H470" i="3" s="1"/>
  <c r="Q568" i="1"/>
  <c r="H938" i="3" s="1"/>
  <c r="Q569" i="1"/>
  <c r="H500" i="3" s="1"/>
  <c r="Q570" i="1"/>
  <c r="H863" i="3" s="1"/>
  <c r="Q571" i="1"/>
  <c r="H576" i="3" s="1"/>
  <c r="Q572" i="1"/>
  <c r="H431" i="3" s="1"/>
  <c r="Q573" i="1"/>
  <c r="H173" i="3" s="1"/>
  <c r="Q574" i="1"/>
  <c r="H751" i="3" s="1"/>
  <c r="Q575" i="1"/>
  <c r="H104" i="3" s="1"/>
  <c r="Q576" i="1"/>
  <c r="H363" i="3" s="1"/>
  <c r="Q578" i="1"/>
  <c r="H808" i="3" s="1"/>
  <c r="Q579" i="1"/>
  <c r="H436" i="3" s="1"/>
  <c r="Q580" i="1"/>
  <c r="H498" i="3" s="1"/>
  <c r="Q581" i="1"/>
  <c r="H484" i="3" s="1"/>
  <c r="Q582" i="1"/>
  <c r="H545" i="3" s="1"/>
  <c r="Q583" i="1"/>
  <c r="H403" i="3" s="1"/>
  <c r="Q584" i="1"/>
  <c r="H347" i="3" s="1"/>
  <c r="Q585" i="1"/>
  <c r="H691" i="3" s="1"/>
  <c r="Q586" i="1"/>
  <c r="H339" i="3" s="1"/>
  <c r="Q587" i="1"/>
  <c r="H722" i="3" s="1"/>
  <c r="Q588" i="1"/>
  <c r="H806" i="3" s="1"/>
  <c r="Q589" i="1"/>
  <c r="H730" i="3" s="1"/>
  <c r="Q590" i="1"/>
  <c r="H301" i="3" s="1"/>
  <c r="Q591" i="1"/>
  <c r="H626" i="3" s="1"/>
  <c r="Q592" i="1"/>
  <c r="H38" i="3" s="1"/>
  <c r="Q593" i="1"/>
  <c r="H212" i="3" s="1"/>
  <c r="Q594" i="1"/>
  <c r="H880" i="3" s="1"/>
  <c r="Q595" i="1"/>
  <c r="H849" i="3" s="1"/>
  <c r="Q596" i="1"/>
  <c r="H135" i="3" s="1"/>
  <c r="Q597" i="1"/>
  <c r="H121" i="3" s="1"/>
  <c r="Q598" i="1"/>
  <c r="H633" i="3" s="1"/>
  <c r="Q599" i="1"/>
  <c r="H331" i="3" s="1"/>
  <c r="Q600" i="1"/>
  <c r="H141" i="3" s="1"/>
  <c r="Q601" i="1"/>
  <c r="H128" i="3" s="1"/>
  <c r="Q602" i="1"/>
  <c r="H804" i="3" s="1"/>
  <c r="Q603" i="1"/>
  <c r="H20" i="3" s="1"/>
  <c r="Q604" i="1"/>
  <c r="H684" i="3" s="1"/>
  <c r="Q605" i="1"/>
  <c r="H579" i="3" s="1"/>
  <c r="Q606" i="1"/>
  <c r="H239" i="3" s="1"/>
  <c r="Q607" i="1"/>
  <c r="H960" i="3" s="1"/>
  <c r="Q608" i="1"/>
  <c r="H665" i="3" s="1"/>
  <c r="Q609" i="1"/>
  <c r="H832" i="3" s="1"/>
  <c r="Q610" i="1"/>
  <c r="H471" i="3" s="1"/>
  <c r="Q611" i="1"/>
  <c r="H205" i="3" s="1"/>
  <c r="Q612" i="1"/>
  <c r="H182" i="3" s="1"/>
  <c r="Q613" i="1"/>
  <c r="H172" i="3" s="1"/>
  <c r="Q614" i="1"/>
  <c r="H247" i="3" s="1"/>
  <c r="Q615" i="1"/>
  <c r="H772" i="3" s="1"/>
  <c r="Q616" i="1"/>
  <c r="H393" i="3" s="1"/>
  <c r="Q617" i="1"/>
  <c r="H80" i="3" s="1"/>
  <c r="Q618" i="1"/>
  <c r="H580" i="3" s="1"/>
  <c r="Q619" i="1"/>
  <c r="H468" i="3" s="1"/>
  <c r="Q620" i="1"/>
  <c r="H768" i="3" s="1"/>
  <c r="Q621" i="1"/>
  <c r="H443" i="3" s="1"/>
  <c r="Q622" i="1"/>
  <c r="H918" i="3" s="1"/>
  <c r="Q623" i="1"/>
  <c r="H96" i="3" s="1"/>
  <c r="Q624" i="1"/>
  <c r="H416" i="3" s="1"/>
  <c r="Q625" i="1"/>
  <c r="H366" i="3" s="1"/>
  <c r="Q626" i="1"/>
  <c r="H487" i="3" s="1"/>
  <c r="Q627" i="1"/>
  <c r="H681" i="3" s="1"/>
  <c r="Q629" i="1"/>
  <c r="H935" i="3" s="1"/>
  <c r="Q630" i="1"/>
  <c r="H915" i="3" s="1"/>
  <c r="Q631" i="1"/>
  <c r="H2" i="3" s="1"/>
  <c r="Q633" i="1"/>
  <c r="H514" i="3" s="1"/>
  <c r="Q634" i="1"/>
  <c r="H882" i="3" s="1"/>
  <c r="Q635" i="1"/>
  <c r="H427" i="3" s="1"/>
  <c r="Q636" i="1"/>
  <c r="H209" i="3" s="1"/>
  <c r="Q637" i="1"/>
  <c r="H647" i="3" s="1"/>
  <c r="Q638" i="1"/>
  <c r="H885" i="3" s="1"/>
  <c r="Q639" i="1"/>
  <c r="H361" i="3" s="1"/>
  <c r="Q640" i="1"/>
  <c r="H77" i="3" s="1"/>
  <c r="Q641" i="1"/>
  <c r="H293" i="3" s="1"/>
  <c r="Q642" i="1"/>
  <c r="H489" i="3" s="1"/>
  <c r="Q643" i="1"/>
  <c r="H927" i="3" s="1"/>
  <c r="Q644" i="1"/>
  <c r="H265" i="3" s="1"/>
  <c r="Q645" i="1"/>
  <c r="H81" i="3" s="1"/>
  <c r="Q646" i="1"/>
  <c r="H333" i="3" s="1"/>
  <c r="Q647" i="1"/>
  <c r="H890" i="3" s="1"/>
  <c r="Q648" i="1"/>
  <c r="H482" i="3" s="1"/>
  <c r="Q649" i="1"/>
  <c r="H266" i="3" s="1"/>
  <c r="Q650" i="1"/>
  <c r="H369" i="3" s="1"/>
  <c r="Q651" i="1"/>
  <c r="H230" i="3" s="1"/>
  <c r="Q652" i="1"/>
  <c r="H255" i="3" s="1"/>
  <c r="Q653" i="1"/>
  <c r="H823" i="3" s="1"/>
  <c r="Q654" i="1"/>
  <c r="H466" i="3" s="1"/>
  <c r="Q655" i="1"/>
  <c r="H860" i="3" s="1"/>
  <c r="Q656" i="1"/>
  <c r="H737" i="3" s="1"/>
  <c r="Q657" i="1"/>
  <c r="H30" i="3" s="1"/>
  <c r="Q658" i="1"/>
  <c r="H47" i="3" s="1"/>
  <c r="Q659" i="1"/>
  <c r="H802" i="3" s="1"/>
  <c r="Q660" i="1"/>
  <c r="H72" i="3" s="1"/>
  <c r="Q661" i="1"/>
  <c r="H119" i="3" s="1"/>
  <c r="Q662" i="1"/>
  <c r="H629" i="3" s="1"/>
  <c r="Q663" i="1"/>
  <c r="H217" i="3" s="1"/>
  <c r="Q664" i="1"/>
  <c r="H450" i="3" s="1"/>
  <c r="Q665" i="1"/>
  <c r="H44" i="3" s="1"/>
  <c r="Q666" i="1"/>
  <c r="H712" i="3" s="1"/>
  <c r="Q667" i="1"/>
  <c r="H148" i="3" s="1"/>
  <c r="Q668" i="1"/>
  <c r="H345" i="3" s="1"/>
  <c r="Q669" i="1"/>
  <c r="H788" i="3" s="1"/>
  <c r="Q670" i="1"/>
  <c r="H778" i="3" s="1"/>
  <c r="Q671" i="1"/>
  <c r="H858" i="3" s="1"/>
  <c r="Q672" i="1"/>
  <c r="H812" i="3" s="1"/>
  <c r="Q673" i="1"/>
  <c r="H789" i="3" s="1"/>
  <c r="Q674" i="1"/>
  <c r="H771" i="3" s="1"/>
  <c r="Q675" i="1"/>
  <c r="H340" i="3" s="1"/>
  <c r="Q676" i="1"/>
  <c r="H694" i="3" s="1"/>
  <c r="Q677" i="1"/>
  <c r="H401" i="3" s="1"/>
  <c r="Q678" i="1"/>
  <c r="H109" i="3" s="1"/>
  <c r="Q679" i="1"/>
  <c r="H302" i="3" s="1"/>
  <c r="Q680" i="1"/>
  <c r="H315" i="3" s="1"/>
  <c r="Q681" i="1"/>
  <c r="H790" i="3" s="1"/>
  <c r="Q682" i="1"/>
  <c r="H291" i="3" s="1"/>
  <c r="Q683" i="1"/>
  <c r="H934" i="3" s="1"/>
  <c r="Q684" i="1"/>
  <c r="H214" i="3" s="1"/>
  <c r="Q685" i="1"/>
  <c r="H16" i="3" s="1"/>
  <c r="Q686" i="1"/>
  <c r="H698" i="3" s="1"/>
  <c r="Q687" i="1"/>
  <c r="H219" i="3" s="1"/>
  <c r="Q688" i="1"/>
  <c r="H862" i="3" s="1"/>
  <c r="Q691" i="1"/>
  <c r="H216" i="3" s="1"/>
  <c r="Q692" i="1"/>
  <c r="H999" i="3" s="1"/>
  <c r="Q693" i="1"/>
  <c r="H442" i="3" s="1"/>
  <c r="Q695" i="1"/>
  <c r="H797" i="3" s="1"/>
  <c r="Q696" i="1"/>
  <c r="H193" i="3" s="1"/>
  <c r="Q697" i="1"/>
  <c r="H571" i="3" s="1"/>
  <c r="Q699" i="1"/>
  <c r="H456" i="3" s="1"/>
  <c r="Q700" i="1"/>
  <c r="H151" i="3" s="1"/>
  <c r="Q701" i="1"/>
  <c r="H115" i="3" s="1"/>
  <c r="Q702" i="1"/>
  <c r="H350" i="3" s="1"/>
  <c r="Q703" i="1"/>
  <c r="H398" i="3" s="1"/>
  <c r="Q704" i="1"/>
  <c r="H389" i="3" s="1"/>
  <c r="Q705" i="1"/>
  <c r="H646" i="3" s="1"/>
  <c r="Q706" i="1"/>
  <c r="H241" i="3" s="1"/>
  <c r="Q707" i="1"/>
  <c r="H680" i="3" s="1"/>
  <c r="Q708" i="1"/>
  <c r="H237" i="3" s="1"/>
  <c r="Q709" i="1"/>
  <c r="H58" i="3" s="1"/>
  <c r="Q710" i="1"/>
  <c r="H631" i="3" s="1"/>
  <c r="Q711" i="1"/>
  <c r="H488" i="3" s="1"/>
  <c r="Q712" i="1"/>
  <c r="H120" i="3" s="1"/>
  <c r="Q713" i="1"/>
  <c r="H71" i="3" s="1"/>
  <c r="Q714" i="1"/>
  <c r="H50" i="3" s="1"/>
  <c r="Q715" i="1"/>
  <c r="H152" i="3" s="1"/>
  <c r="Q716" i="1"/>
  <c r="H200" i="3" s="1"/>
  <c r="Q717" i="1"/>
  <c r="H438" i="3" s="1"/>
  <c r="Q718" i="1"/>
  <c r="H409" i="3" s="1"/>
  <c r="Q719" i="1"/>
  <c r="H689" i="3" s="1"/>
  <c r="Q720" i="1"/>
  <c r="H826" i="3" s="1"/>
  <c r="Q721" i="1"/>
  <c r="H261" i="3" s="1"/>
  <c r="Q722" i="1"/>
  <c r="H222" i="3" s="1"/>
  <c r="Q723" i="1"/>
  <c r="H99" i="3" s="1"/>
  <c r="Q724" i="1"/>
  <c r="H196" i="3" s="1"/>
  <c r="Q725" i="1"/>
  <c r="H233" i="3" s="1"/>
  <c r="Q726" i="1"/>
  <c r="H589" i="3" s="1"/>
  <c r="Q727" i="1"/>
  <c r="H532" i="3" s="1"/>
  <c r="Q728" i="1"/>
  <c r="H12" i="3" s="1"/>
  <c r="Q729" i="1"/>
  <c r="H10" i="3" s="1"/>
  <c r="Q730" i="1"/>
  <c r="H179" i="3" s="1"/>
  <c r="Q731" i="1"/>
  <c r="H987" i="3" s="1"/>
  <c r="Q732" i="1"/>
  <c r="H463" i="3" s="1"/>
  <c r="Q733" i="1"/>
  <c r="H973" i="3" s="1"/>
  <c r="Q734" i="1"/>
  <c r="H556" i="3" s="1"/>
  <c r="Q737" i="1"/>
  <c r="H663" i="3" s="1"/>
  <c r="Q738" i="1"/>
  <c r="H902" i="3" s="1"/>
  <c r="Q739" i="1"/>
  <c r="H843" i="3" s="1"/>
  <c r="Q740" i="1"/>
  <c r="H686" i="3" s="1"/>
  <c r="Q741" i="1"/>
  <c r="H685" i="3" s="1"/>
  <c r="Q742" i="1"/>
  <c r="H82" i="3" s="1"/>
  <c r="Q743" i="1"/>
  <c r="H383" i="3" s="1"/>
  <c r="Q744" i="1"/>
  <c r="H137" i="3" s="1"/>
  <c r="Q745" i="1"/>
  <c r="H738" i="3" s="1"/>
  <c r="Q746" i="1"/>
  <c r="H191" i="3" s="1"/>
  <c r="Q747" i="1"/>
  <c r="H26" i="3" s="1"/>
  <c r="Q748" i="1"/>
  <c r="H423" i="3" s="1"/>
  <c r="Q749" i="1"/>
  <c r="H650" i="3" s="1"/>
  <c r="Q750" i="1"/>
  <c r="H465" i="3" s="1"/>
  <c r="Q751" i="1"/>
  <c r="H56" i="3" s="1"/>
  <c r="Q752" i="1"/>
  <c r="H513" i="3" s="1"/>
  <c r="Q753" i="1"/>
  <c r="H541" i="3" s="1"/>
  <c r="Q754" i="1"/>
  <c r="H900" i="3" s="1"/>
  <c r="Q755" i="1"/>
  <c r="H231" i="3" s="1"/>
  <c r="Q756" i="1"/>
  <c r="H454" i="3" s="1"/>
  <c r="Q757" i="1"/>
  <c r="H857" i="3" s="1"/>
  <c r="Q758" i="1"/>
  <c r="H298" i="3" s="1"/>
  <c r="Q760" i="1"/>
  <c r="H744" i="3" s="1"/>
  <c r="Q761" i="1"/>
  <c r="H249" i="3" s="1"/>
  <c r="Q762" i="1"/>
  <c r="H14" i="3" s="1"/>
  <c r="Q763" i="1"/>
  <c r="H238" i="3" s="1"/>
  <c r="Q764" i="1"/>
  <c r="H590" i="3" s="1"/>
  <c r="Q765" i="1"/>
  <c r="H201" i="3" s="1"/>
  <c r="Q766" i="1"/>
  <c r="H825" i="3" s="1"/>
  <c r="Q767" i="1"/>
  <c r="H310" i="3" s="1"/>
  <c r="Q768" i="1"/>
  <c r="H939" i="3" s="1"/>
  <c r="Q769" i="1"/>
  <c r="H313" i="3" s="1"/>
  <c r="Q770" i="1"/>
  <c r="H162" i="3" s="1"/>
  <c r="Q771" i="1"/>
  <c r="H203" i="3" s="1"/>
  <c r="Q772" i="1"/>
  <c r="H548" i="3" s="1"/>
  <c r="Q773" i="1"/>
  <c r="H160" i="3" s="1"/>
  <c r="Q774" i="1"/>
  <c r="H942" i="3" s="1"/>
  <c r="Q775" i="1"/>
  <c r="H791" i="3" s="1"/>
  <c r="Q776" i="1"/>
  <c r="H901" i="3" s="1"/>
  <c r="Q777" i="1"/>
  <c r="H69" i="3" s="1"/>
  <c r="Q778" i="1"/>
  <c r="H116" i="3" s="1"/>
  <c r="Q779" i="1"/>
  <c r="H305" i="3" s="1"/>
  <c r="Q780" i="1"/>
  <c r="H742" i="3" s="1"/>
  <c r="Q781" i="1"/>
  <c r="H412" i="3" s="1"/>
  <c r="Q782" i="1"/>
  <c r="H464" i="3" s="1"/>
  <c r="Q783" i="1"/>
  <c r="H35" i="3" s="1"/>
  <c r="Q784" i="1"/>
  <c r="H525" i="3" s="1"/>
  <c r="Q785" i="1"/>
  <c r="H975" i="3" s="1"/>
  <c r="Q786" i="1"/>
  <c r="H185" i="3" s="1"/>
  <c r="Q787" i="1"/>
  <c r="H657" i="3" s="1"/>
  <c r="Q788" i="1"/>
  <c r="H874" i="3" s="1"/>
  <c r="Q789" i="1"/>
  <c r="H909" i="3" s="1"/>
  <c r="Q790" i="1"/>
  <c r="H106" i="3" s="1"/>
  <c r="Q791" i="1"/>
  <c r="H760" i="3" s="1"/>
  <c r="Q792" i="1"/>
  <c r="H889" i="3" s="1"/>
  <c r="Q793" i="1"/>
  <c r="H648" i="3" s="1"/>
  <c r="Q794" i="1"/>
  <c r="H990" i="3" s="1"/>
  <c r="Q795" i="1"/>
  <c r="H848" i="3" s="1"/>
  <c r="Q796" i="1"/>
  <c r="H153" i="3" s="1"/>
  <c r="Q797" i="1"/>
  <c r="H183" i="3" s="1"/>
  <c r="Q798" i="1"/>
  <c r="H708" i="3" s="1"/>
  <c r="Q799" i="1"/>
  <c r="H440" i="3" s="1"/>
  <c r="Q800" i="1"/>
  <c r="H603" i="3" s="1"/>
  <c r="Q801" i="1"/>
  <c r="H55" i="3" s="1"/>
  <c r="Q802" i="1"/>
  <c r="H550" i="3" s="1"/>
  <c r="Q803" i="1"/>
  <c r="H447" i="3" s="1"/>
  <c r="Q804" i="1"/>
  <c r="H519" i="3" s="1"/>
  <c r="Q805" i="1"/>
  <c r="H245" i="3" s="1"/>
  <c r="Q806" i="1"/>
  <c r="H906" i="3" s="1"/>
  <c r="Q808" i="1"/>
  <c r="H421" i="3" s="1"/>
  <c r="Q809" i="1"/>
  <c r="H110" i="3" s="1"/>
  <c r="Q810" i="1"/>
  <c r="H314" i="3" s="1"/>
  <c r="Q811" i="1"/>
  <c r="H375" i="3" s="1"/>
  <c r="Q812" i="1"/>
  <c r="H970" i="3" s="1"/>
  <c r="Q813" i="1"/>
  <c r="H223" i="3" s="1"/>
  <c r="Q814" i="1"/>
  <c r="H558" i="3" s="1"/>
  <c r="Q815" i="1"/>
  <c r="H762" i="3" s="1"/>
  <c r="Q816" i="1"/>
  <c r="H916" i="3" s="1"/>
  <c r="Q817" i="1"/>
  <c r="H585" i="3" s="1"/>
  <c r="Q818" i="1"/>
  <c r="H413" i="3" s="1"/>
  <c r="Q819" i="1"/>
  <c r="H175" i="3" s="1"/>
  <c r="Q820" i="1"/>
  <c r="H919" i="3" s="1"/>
  <c r="Q821" i="1"/>
  <c r="H518" i="3" s="1"/>
  <c r="Q822" i="1"/>
  <c r="H289" i="3" s="1"/>
  <c r="Q823" i="1"/>
  <c r="H774" i="3" s="1"/>
  <c r="Q824" i="1"/>
  <c r="H594" i="3" s="1"/>
  <c r="Q825" i="1"/>
  <c r="H943" i="3" s="1"/>
  <c r="Q826" i="1"/>
  <c r="H1001" i="3" s="1"/>
  <c r="Q827" i="1"/>
  <c r="H992" i="3" s="1"/>
  <c r="Q828" i="1"/>
  <c r="H993" i="3" s="1"/>
  <c r="Q829" i="1"/>
  <c r="H853" i="3" s="1"/>
  <c r="Q830" i="1"/>
  <c r="H270" i="3" s="1"/>
  <c r="Q831" i="1"/>
  <c r="H278" i="3" s="1"/>
  <c r="Q832" i="1"/>
  <c r="H157" i="3" s="1"/>
  <c r="Q833" i="1"/>
  <c r="H165" i="3" s="1"/>
  <c r="Q834" i="1"/>
  <c r="H679" i="3" s="1"/>
  <c r="Q835" i="1"/>
  <c r="H997" i="3" s="1"/>
  <c r="Q836" i="1"/>
  <c r="H785" i="3" s="1"/>
  <c r="Q837" i="1"/>
  <c r="H98" i="3" s="1"/>
  <c r="Q838" i="1"/>
  <c r="H635" i="3" s="1"/>
  <c r="Q839" i="1"/>
  <c r="H229" i="3" s="1"/>
  <c r="Q840" i="1"/>
  <c r="H417" i="3" s="1"/>
  <c r="Q841" i="1"/>
  <c r="H54" i="3" s="1"/>
  <c r="Q842" i="1"/>
  <c r="H569" i="3" s="1"/>
  <c r="Q843" i="1"/>
  <c r="H884" i="3" s="1"/>
  <c r="Q844" i="1"/>
  <c r="H783" i="3" s="1"/>
  <c r="Q845" i="1"/>
  <c r="H873" i="3" s="1"/>
  <c r="Q846" i="1"/>
  <c r="H171" i="3" s="1"/>
  <c r="Q847" i="1"/>
  <c r="H167" i="3" s="1"/>
  <c r="Q848" i="1"/>
  <c r="H189" i="3" s="1"/>
  <c r="Q849" i="1"/>
  <c r="H928" i="3" s="1"/>
  <c r="Q850" i="1"/>
  <c r="H898" i="3" s="1"/>
  <c r="Q851" i="1"/>
  <c r="H349" i="3" s="1"/>
  <c r="Q852" i="1"/>
  <c r="H897" i="3" s="1"/>
  <c r="Q853" i="1"/>
  <c r="H86" i="3" s="1"/>
  <c r="Q854" i="1"/>
  <c r="H317" i="3" s="1"/>
  <c r="Q855" i="1"/>
  <c r="H954" i="3" s="1"/>
  <c r="Q856" i="1"/>
  <c r="H701" i="3" s="1"/>
  <c r="Q857" i="1"/>
  <c r="H501" i="3" s="1"/>
  <c r="Q858" i="1"/>
  <c r="H538" i="3" s="1"/>
  <c r="Q859" i="1"/>
  <c r="H527" i="3" s="1"/>
  <c r="Q860" i="1"/>
  <c r="H978" i="3" s="1"/>
  <c r="Q862" i="1"/>
  <c r="H733" i="3" s="1"/>
  <c r="Q864" i="1"/>
  <c r="H384" i="3" s="1"/>
  <c r="Q865" i="1"/>
  <c r="H800" i="3" s="1"/>
  <c r="Q866" i="1"/>
  <c r="H560" i="3" s="1"/>
  <c r="Q867" i="1"/>
  <c r="H144" i="3" s="1"/>
  <c r="Q869" i="1"/>
  <c r="H533" i="3" s="1"/>
  <c r="Q870" i="1"/>
  <c r="H117" i="3" s="1"/>
  <c r="Q871" i="1"/>
  <c r="H79" i="3" s="1"/>
  <c r="Q872" i="1"/>
  <c r="H123" i="3" s="1"/>
  <c r="Q873" i="1"/>
  <c r="H304" i="3" s="1"/>
  <c r="Q875" i="1"/>
  <c r="H619" i="3" s="1"/>
  <c r="Q876" i="1"/>
  <c r="H984" i="3" s="1"/>
  <c r="Q878" i="1"/>
  <c r="H779" i="3" s="1"/>
  <c r="Q879" i="1"/>
  <c r="H244" i="3" s="1"/>
  <c r="Q880" i="1"/>
  <c r="H367" i="3" s="1"/>
  <c r="Q881" i="1"/>
  <c r="H868" i="3" s="1"/>
  <c r="Q882" i="1"/>
  <c r="H192" i="3" s="1"/>
  <c r="Q883" i="1"/>
  <c r="H283" i="3" s="1"/>
  <c r="Q885" i="1"/>
  <c r="H308" i="3" s="1"/>
  <c r="Q887" i="1"/>
  <c r="H713" i="3" s="1"/>
  <c r="Q888" i="1"/>
  <c r="H271" i="3" s="1"/>
  <c r="Q890" i="1"/>
  <c r="H573" i="3" s="1"/>
  <c r="Q891" i="1"/>
  <c r="H111" i="3" s="1"/>
  <c r="Q892" i="1"/>
  <c r="H510" i="3" s="1"/>
  <c r="Q893" i="1"/>
  <c r="H478" i="3" s="1"/>
  <c r="Q894" i="1"/>
  <c r="H457" i="3" s="1"/>
  <c r="Q895" i="1"/>
  <c r="H841" i="3" s="1"/>
  <c r="Q896" i="1"/>
  <c r="H428" i="3" s="1"/>
  <c r="Q897" i="1"/>
  <c r="H362" i="3" s="1"/>
  <c r="Q898" i="1"/>
  <c r="H623" i="3" s="1"/>
  <c r="Q899" i="1"/>
  <c r="H854" i="3" s="1"/>
  <c r="Q900" i="1"/>
  <c r="H963" i="3" s="1"/>
  <c r="Q901" i="1"/>
  <c r="H564" i="3" s="1"/>
  <c r="Q902" i="1"/>
  <c r="H612" i="3" s="1"/>
  <c r="Q903" i="1"/>
  <c r="H346" i="3" s="1"/>
  <c r="Q904" i="1"/>
  <c r="H184" i="3" s="1"/>
  <c r="Q905" i="1"/>
  <c r="H188" i="3" s="1"/>
  <c r="Q906" i="1"/>
  <c r="H945" i="3" s="1"/>
  <c r="Q907" i="1"/>
  <c r="H655" i="3" s="1"/>
  <c r="Q908" i="1"/>
  <c r="H765" i="3" s="1"/>
  <c r="Q909" i="1"/>
  <c r="H143" i="3" s="1"/>
  <c r="Q910" i="1"/>
  <c r="H37" i="3" s="1"/>
  <c r="Q911" i="1"/>
  <c r="H45" i="3" s="1"/>
  <c r="Q912" i="1"/>
  <c r="H360" i="3" s="1"/>
  <c r="Q913" i="1"/>
  <c r="H197" i="3" s="1"/>
  <c r="Q915" i="1"/>
  <c r="H274" i="3" s="1"/>
  <c r="Q916" i="1"/>
  <c r="H27" i="3" s="1"/>
  <c r="Q917" i="1"/>
  <c r="H707" i="3" s="1"/>
  <c r="Q918" i="1"/>
  <c r="H402" i="3" s="1"/>
  <c r="Q919" i="1"/>
  <c r="H618" i="3" s="1"/>
  <c r="Q920" i="1"/>
  <c r="H379" i="3" s="1"/>
  <c r="Q921" i="1"/>
  <c r="H176" i="3" s="1"/>
  <c r="Q922" i="1"/>
  <c r="H878" i="3" s="1"/>
  <c r="Q923" i="1"/>
  <c r="H287" i="3" s="1"/>
  <c r="Q924" i="1"/>
  <c r="H286" i="3" s="1"/>
  <c r="Q925" i="1"/>
  <c r="H299" i="3" s="1"/>
  <c r="Q926" i="1"/>
  <c r="H61" i="3" s="1"/>
  <c r="Q927" i="1"/>
  <c r="H282" i="3" s="1"/>
  <c r="Q928" i="1"/>
  <c r="H835" i="3" s="1"/>
  <c r="Q930" i="1"/>
  <c r="H208" i="3" s="1"/>
  <c r="Q931" i="1"/>
  <c r="H936" i="3" s="1"/>
  <c r="Q932" i="1"/>
  <c r="H574" i="3" s="1"/>
  <c r="Q933" i="1"/>
  <c r="H944" i="3" s="1"/>
  <c r="Q934" i="1"/>
  <c r="H477" i="3" s="1"/>
  <c r="Q935" i="1"/>
  <c r="H716" i="3" s="1"/>
  <c r="Q936" i="1"/>
  <c r="H568" i="3" s="1"/>
  <c r="Q937" i="1"/>
  <c r="H850" i="3" s="1"/>
  <c r="Q938" i="1"/>
  <c r="H432" i="3" s="1"/>
  <c r="Q939" i="1"/>
  <c r="H971" i="3" s="1"/>
  <c r="Q940" i="1"/>
  <c r="H359" i="3" s="1"/>
  <c r="Q941" i="1"/>
  <c r="H662" i="3" s="1"/>
  <c r="Q942" i="1"/>
  <c r="H593" i="3" s="1"/>
  <c r="Q943" i="1"/>
  <c r="H582" i="3" s="1"/>
  <c r="Q944" i="1"/>
  <c r="H543" i="3" s="1"/>
  <c r="Q945" i="1"/>
  <c r="H382" i="3" s="1"/>
  <c r="Q946" i="1"/>
  <c r="H122" i="3" s="1"/>
  <c r="Q947" i="1"/>
  <c r="H886" i="3" s="1"/>
  <c r="Q948" i="1"/>
  <c r="H517" i="3" s="1"/>
  <c r="Q949" i="1"/>
  <c r="H587" i="3" s="1"/>
  <c r="Q950" i="1"/>
  <c r="H805" i="3" s="1"/>
  <c r="Q951" i="1"/>
  <c r="H870" i="3" s="1"/>
  <c r="Q952" i="1"/>
  <c r="H480" i="3" s="1"/>
  <c r="Q953" i="1"/>
  <c r="H391" i="3" s="1"/>
  <c r="Q954" i="1"/>
  <c r="H351" i="3" s="1"/>
  <c r="Q955" i="1"/>
  <c r="H41" i="3" s="1"/>
  <c r="Q956" i="1"/>
  <c r="H872" i="3" s="1"/>
  <c r="Q957" i="1"/>
  <c r="H828" i="3" s="1"/>
  <c r="Q958" i="1"/>
  <c r="H94" i="3" s="1"/>
  <c r="Q959" i="1"/>
  <c r="H676" i="3" s="1"/>
  <c r="Q960" i="1"/>
  <c r="H142" i="3" s="1"/>
  <c r="Q961" i="1"/>
  <c r="H964" i="3" s="1"/>
  <c r="Q962" i="1"/>
  <c r="H181" i="3" s="1"/>
  <c r="Q963" i="1"/>
  <c r="H948" i="3" s="1"/>
  <c r="Q965" i="1"/>
  <c r="H544" i="3" s="1"/>
  <c r="Q966" i="1"/>
  <c r="H39" i="3" s="1"/>
  <c r="Q967" i="1"/>
  <c r="H394" i="3" s="1"/>
  <c r="Q968" i="1"/>
  <c r="H419" i="3" s="1"/>
  <c r="Q969" i="1"/>
  <c r="H636" i="3" s="1"/>
  <c r="Q970" i="1"/>
  <c r="H852" i="3" s="1"/>
  <c r="Q971" i="1"/>
  <c r="H292" i="3" s="1"/>
  <c r="Q972" i="1"/>
  <c r="H794" i="3" s="1"/>
  <c r="Q973" i="1"/>
  <c r="H726" i="3" s="1"/>
  <c r="Q974" i="1"/>
  <c r="H894" i="3" s="1"/>
  <c r="Q975" i="1"/>
  <c r="H658" i="3" s="1"/>
  <c r="Q976" i="1"/>
  <c r="H434" i="3" s="1"/>
  <c r="Q977" i="1"/>
  <c r="H199" i="3" s="1"/>
  <c r="Q978" i="1"/>
  <c r="H575" i="3" s="1"/>
  <c r="Q979" i="1"/>
  <c r="H74" i="3" s="1"/>
  <c r="Q980" i="1"/>
  <c r="H822" i="3" s="1"/>
  <c r="Q981" i="1"/>
  <c r="H433" i="3" s="1"/>
  <c r="Q982" i="1"/>
  <c r="H309" i="3" s="1"/>
  <c r="Q983" i="1"/>
  <c r="H842" i="3" s="1"/>
  <c r="Q984" i="1"/>
  <c r="H524" i="3" s="1"/>
  <c r="Q985" i="1"/>
  <c r="H268" i="3" s="1"/>
  <c r="Q986" i="1"/>
  <c r="H328" i="3" s="1"/>
  <c r="Q987" i="1"/>
  <c r="H5" i="3" s="1"/>
  <c r="Q989" i="1"/>
  <c r="H660" i="3" s="1"/>
  <c r="Q990" i="1"/>
  <c r="H914" i="3" s="1"/>
  <c r="Q991" i="1"/>
  <c r="H595" i="3" s="1"/>
  <c r="Q992" i="1"/>
  <c r="H962" i="3" s="1"/>
  <c r="Q993" i="1"/>
  <c r="H53" i="3" s="1"/>
  <c r="Q994" i="1"/>
  <c r="H226" i="3" s="1"/>
  <c r="Q995" i="1"/>
  <c r="H368" i="3" s="1"/>
  <c r="Q996" i="1"/>
  <c r="H678" i="3" s="1"/>
  <c r="Q997" i="1"/>
  <c r="H101" i="3" s="1"/>
  <c r="Q998" i="1"/>
  <c r="H839" i="3" s="1"/>
  <c r="Q999" i="1"/>
  <c r="H599" i="3" s="1"/>
  <c r="Q1000" i="1"/>
  <c r="H370" i="3" s="1"/>
  <c r="Q1001" i="1"/>
  <c r="H620" i="3" s="1"/>
  <c r="Q2" i="1"/>
  <c r="F207" i="1" l="1"/>
  <c r="F167" i="1"/>
  <c r="F111" i="1"/>
  <c r="F39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14" i="1"/>
  <c r="F6" i="1"/>
  <c r="F159" i="1"/>
  <c r="F95" i="1"/>
  <c r="F63" i="1"/>
  <c r="F15" i="1"/>
  <c r="F204" i="1"/>
  <c r="F196" i="1"/>
  <c r="F188" i="1"/>
  <c r="F180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60" i="1"/>
  <c r="F52" i="1"/>
  <c r="F44" i="1"/>
  <c r="F36" i="1"/>
  <c r="F28" i="1"/>
  <c r="F20" i="1"/>
  <c r="F12" i="1"/>
  <c r="F4" i="1"/>
  <c r="F183" i="1"/>
  <c r="F143" i="1"/>
  <c r="F103" i="1"/>
  <c r="F47" i="1"/>
  <c r="F181" i="1"/>
  <c r="F141" i="1"/>
  <c r="F109" i="1"/>
  <c r="F77" i="1"/>
  <c r="F45" i="1"/>
  <c r="F5" i="1"/>
  <c r="F203" i="1"/>
  <c r="F195" i="1"/>
  <c r="F187" i="1"/>
  <c r="F179" i="1"/>
  <c r="F171" i="1"/>
  <c r="F163" i="1"/>
  <c r="F155" i="1"/>
  <c r="F147" i="1"/>
  <c r="F139" i="1"/>
  <c r="F131" i="1"/>
  <c r="F115" i="1"/>
  <c r="F107" i="1"/>
  <c r="F99" i="1"/>
  <c r="F91" i="1"/>
  <c r="F83" i="1"/>
  <c r="F75" i="1"/>
  <c r="F67" i="1"/>
  <c r="F59" i="1"/>
  <c r="F51" i="1"/>
  <c r="F43" i="1"/>
  <c r="F35" i="1"/>
  <c r="F27" i="1"/>
  <c r="F19" i="1"/>
  <c r="F11" i="1"/>
  <c r="F3" i="1"/>
  <c r="F191" i="1"/>
  <c r="F151" i="1"/>
  <c r="F127" i="1"/>
  <c r="F87" i="1"/>
  <c r="F55" i="1"/>
  <c r="F7" i="1"/>
  <c r="F189" i="1"/>
  <c r="F149" i="1"/>
  <c r="F101" i="1"/>
  <c r="F69" i="1"/>
  <c r="F37" i="1"/>
  <c r="F29" i="1"/>
  <c r="F199" i="1"/>
  <c r="F135" i="1"/>
  <c r="F79" i="1"/>
  <c r="F31" i="1"/>
  <c r="F197" i="1"/>
  <c r="F173" i="1"/>
  <c r="F157" i="1"/>
  <c r="F125" i="1"/>
  <c r="F85" i="1"/>
  <c r="F53" i="1"/>
  <c r="F21" i="1"/>
  <c r="F209" i="1"/>
  <c r="F201" i="1"/>
  <c r="F193" i="1"/>
  <c r="F185" i="1"/>
  <c r="F177" i="1"/>
  <c r="F169" i="1"/>
  <c r="F161" i="1"/>
  <c r="F153" i="1"/>
  <c r="F145" i="1"/>
  <c r="F137" i="1"/>
  <c r="F129" i="1"/>
  <c r="F121" i="1"/>
  <c r="F113" i="1"/>
  <c r="F105" i="1"/>
  <c r="F97" i="1"/>
  <c r="F89" i="1"/>
  <c r="F81" i="1"/>
  <c r="F73" i="1"/>
  <c r="F65" i="1"/>
  <c r="F57" i="1"/>
  <c r="F49" i="1"/>
  <c r="F41" i="1"/>
  <c r="F33" i="1"/>
  <c r="F25" i="1"/>
  <c r="F17" i="1"/>
  <c r="F9" i="1"/>
  <c r="F175" i="1"/>
  <c r="F119" i="1"/>
  <c r="F71" i="1"/>
  <c r="F23" i="1"/>
  <c r="F205" i="1"/>
  <c r="F165" i="1"/>
  <c r="F133" i="1"/>
  <c r="F117" i="1"/>
  <c r="F93" i="1"/>
  <c r="F61" i="1"/>
  <c r="F13" i="1"/>
  <c r="F208" i="1"/>
  <c r="F200" i="1"/>
  <c r="F192" i="1"/>
  <c r="F184" i="1"/>
  <c r="F176" i="1"/>
  <c r="F168" i="1"/>
  <c r="F160" i="1"/>
  <c r="F152" i="1"/>
  <c r="F144" i="1"/>
  <c r="F136" i="1"/>
  <c r="F128" i="1"/>
  <c r="F120" i="1"/>
  <c r="F112" i="1"/>
  <c r="F104" i="1"/>
  <c r="F96" i="1"/>
  <c r="F88" i="1"/>
  <c r="F80" i="1"/>
  <c r="F72" i="1"/>
  <c r="F64" i="1"/>
  <c r="F56" i="1"/>
  <c r="F48" i="1"/>
  <c r="F40" i="1"/>
  <c r="F32" i="1"/>
  <c r="F24" i="1"/>
  <c r="F16" i="1"/>
  <c r="F8" i="1"/>
  <c r="AG32" i="1"/>
  <c r="L221" i="3"/>
  <c r="AG30" i="1"/>
  <c r="J221" i="3"/>
  <c r="AB2" i="1"/>
  <c r="K221" i="3" s="1"/>
  <c r="AG31" i="1"/>
  <c r="H221" i="3"/>
  <c r="K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3" i="1"/>
  <c r="K154" i="1"/>
  <c r="K155" i="1"/>
  <c r="K156" i="1"/>
  <c r="K157" i="1"/>
  <c r="K158" i="1"/>
  <c r="K159" i="1"/>
  <c r="K160" i="1"/>
  <c r="K161" i="1"/>
  <c r="K162" i="1"/>
  <c r="K164" i="1"/>
  <c r="K165" i="1"/>
  <c r="K166" i="1"/>
  <c r="K167" i="1"/>
  <c r="K168" i="1"/>
  <c r="K169" i="1"/>
  <c r="K170" i="1"/>
  <c r="K171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6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9" i="1"/>
  <c r="K370" i="1"/>
  <c r="K371" i="1"/>
  <c r="K372" i="1"/>
  <c r="K373" i="1"/>
  <c r="K374" i="1"/>
  <c r="K375" i="1"/>
  <c r="K377" i="1"/>
  <c r="K378" i="1"/>
  <c r="K379" i="1"/>
  <c r="K380" i="1"/>
  <c r="K381" i="1"/>
  <c r="K382" i="1"/>
  <c r="K383" i="1"/>
  <c r="K384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I3" i="1"/>
  <c r="C227" i="3" s="1"/>
  <c r="I4" i="1"/>
  <c r="C187" i="3" s="1"/>
  <c r="I5" i="1"/>
  <c r="C565" i="3" s="1"/>
  <c r="I6" i="1"/>
  <c r="C190" i="3" s="1"/>
  <c r="I7" i="1"/>
  <c r="C40" i="3" s="1"/>
  <c r="I8" i="1"/>
  <c r="C211" i="3" s="1"/>
  <c r="I9" i="1"/>
  <c r="C446" i="3" s="1"/>
  <c r="I10" i="1"/>
  <c r="C855" i="3" s="1"/>
  <c r="I11" i="1"/>
  <c r="C220" i="3" s="1"/>
  <c r="I12" i="1"/>
  <c r="C530" i="3" s="1"/>
  <c r="I13" i="1"/>
  <c r="C146" i="3" s="1"/>
  <c r="I14" i="1"/>
  <c r="C75" i="3" s="1"/>
  <c r="I15" i="1"/>
  <c r="C584" i="3" s="1"/>
  <c r="I16" i="1"/>
  <c r="C263" i="3" s="1"/>
  <c r="I17" i="1"/>
  <c r="C472" i="3" s="1"/>
  <c r="I18" i="1"/>
  <c r="C557" i="3" s="1"/>
  <c r="I19" i="1"/>
  <c r="C124" i="3" s="1"/>
  <c r="I20" i="1"/>
  <c r="C129" i="3" s="1"/>
  <c r="I21" i="1"/>
  <c r="C92" i="3" s="1"/>
  <c r="I22" i="1"/>
  <c r="C494" i="3" s="1"/>
  <c r="I23" i="1"/>
  <c r="C251" i="3" s="1"/>
  <c r="I24" i="1"/>
  <c r="C234" i="3" s="1"/>
  <c r="I25" i="1"/>
  <c r="C246" i="3" s="1"/>
  <c r="I26" i="1"/>
  <c r="C161" i="3" s="1"/>
  <c r="I27" i="1"/>
  <c r="C917" i="3" s="1"/>
  <c r="I28" i="1"/>
  <c r="C683" i="3" s="1"/>
  <c r="I29" i="1"/>
  <c r="C613" i="3" s="1"/>
  <c r="I30" i="1"/>
  <c r="C352" i="3" s="1"/>
  <c r="I31" i="1"/>
  <c r="C504" i="3" s="1"/>
  <c r="I32" i="1"/>
  <c r="C923" i="3" s="1"/>
  <c r="I33" i="1"/>
  <c r="C586" i="3" s="1"/>
  <c r="I34" i="1"/>
  <c r="C381" i="3" s="1"/>
  <c r="I35" i="1"/>
  <c r="C508" i="3" s="1"/>
  <c r="I36" i="1"/>
  <c r="C163" i="3" s="1"/>
  <c r="I37" i="1"/>
  <c r="C210" i="3" s="1"/>
  <c r="I38" i="1"/>
  <c r="C459" i="3" s="1"/>
  <c r="I39" i="1"/>
  <c r="C784" i="3" s="1"/>
  <c r="I40" i="1"/>
  <c r="C467" i="3" s="1"/>
  <c r="I41" i="1"/>
  <c r="C11" i="3" s="1"/>
  <c r="I42" i="1"/>
  <c r="C23" i="3" s="1"/>
  <c r="I43" i="1"/>
  <c r="C972" i="3" s="1"/>
  <c r="I44" i="1"/>
  <c r="C654" i="3" s="1"/>
  <c r="I45" i="1"/>
  <c r="C496" i="3" s="1"/>
  <c r="I46" i="1"/>
  <c r="C248" i="3" s="1"/>
  <c r="I47" i="1"/>
  <c r="C493" i="3" s="1"/>
  <c r="I48" i="1"/>
  <c r="C357" i="3" s="1"/>
  <c r="I49" i="1"/>
  <c r="C861" i="3" s="1"/>
  <c r="I50" i="1"/>
  <c r="C864" i="3" s="1"/>
  <c r="I51" i="1"/>
  <c r="C798" i="3" s="1"/>
  <c r="I52" i="1"/>
  <c r="C904" i="3" s="1"/>
  <c r="I53" i="1"/>
  <c r="C750" i="3" s="1"/>
  <c r="I54" i="1"/>
  <c r="C243" i="3" s="1"/>
  <c r="I55" i="1"/>
  <c r="C497" i="3" s="1"/>
  <c r="I56" i="1"/>
  <c r="C795" i="3" s="1"/>
  <c r="I57" i="1"/>
  <c r="C267" i="3" s="1"/>
  <c r="I58" i="1"/>
  <c r="C851" i="3" s="1"/>
  <c r="I59" i="1"/>
  <c r="C578" i="3" s="1"/>
  <c r="I60" i="1"/>
  <c r="C912" i="3" s="1"/>
  <c r="I61" i="1"/>
  <c r="C232" i="3" s="1"/>
  <c r="I62" i="1"/>
  <c r="C235" i="3" s="1"/>
  <c r="I63" i="1"/>
  <c r="C337" i="3" s="1"/>
  <c r="I64" i="1"/>
  <c r="C671" i="3" s="1"/>
  <c r="I65" i="1"/>
  <c r="C66" i="3" s="1"/>
  <c r="I66" i="1"/>
  <c r="C276" i="3" s="1"/>
  <c r="I67" i="1"/>
  <c r="C673" i="3" s="1"/>
  <c r="I68" i="1"/>
  <c r="C388" i="3" s="1"/>
  <c r="I69" i="1"/>
  <c r="C150" i="3" s="1"/>
  <c r="I70" i="1"/>
  <c r="C485" i="3" s="1"/>
  <c r="I71" i="1"/>
  <c r="C9" i="3" s="1"/>
  <c r="I72" i="1"/>
  <c r="C718" i="3" s="1"/>
  <c r="I73" i="1"/>
  <c r="C22" i="3" s="1"/>
  <c r="I74" i="1"/>
  <c r="C539" i="3" s="1"/>
  <c r="I75" i="1"/>
  <c r="C34" i="3" s="1"/>
  <c r="I76" i="1"/>
  <c r="C632" i="3" s="1"/>
  <c r="I77" i="1"/>
  <c r="C724" i="3" s="1"/>
  <c r="I78" i="1"/>
  <c r="C46" i="3" s="1"/>
  <c r="I79" i="1"/>
  <c r="C156" i="3" s="1"/>
  <c r="I80" i="1"/>
  <c r="C601" i="3" s="1"/>
  <c r="I81" i="1"/>
  <c r="C170" i="3" s="1"/>
  <c r="I82" i="1"/>
  <c r="C695" i="3" s="1"/>
  <c r="I83" i="1"/>
  <c r="C877" i="3" s="1"/>
  <c r="I84" i="1"/>
  <c r="C475" i="3" s="1"/>
  <c r="I85" i="1"/>
  <c r="C659" i="3" s="1"/>
  <c r="I86" i="1"/>
  <c r="C25" i="3" s="1"/>
  <c r="I87" i="1"/>
  <c r="C946" i="3" s="1"/>
  <c r="I88" i="1"/>
  <c r="C875" i="3" s="1"/>
  <c r="I89" i="1"/>
  <c r="C567" i="3" s="1"/>
  <c r="I90" i="1"/>
  <c r="C95" i="3" s="1"/>
  <c r="I91" i="1"/>
  <c r="C729" i="3" s="1"/>
  <c r="I92" i="1"/>
  <c r="C959" i="3" s="1"/>
  <c r="I93" i="1"/>
  <c r="C93" i="3" s="1"/>
  <c r="I94" i="1"/>
  <c r="C195" i="3" s="1"/>
  <c r="I95" i="1"/>
  <c r="C652" i="3" s="1"/>
  <c r="I96" i="1"/>
  <c r="C155" i="3" s="1"/>
  <c r="I97" i="1"/>
  <c r="C638" i="3" s="1"/>
  <c r="I98" i="1"/>
  <c r="C288" i="3" s="1"/>
  <c r="I99" i="1"/>
  <c r="C591" i="3" s="1"/>
  <c r="I100" i="1"/>
  <c r="C476" i="3" s="1"/>
  <c r="I101" i="1"/>
  <c r="C727" i="3" s="1"/>
  <c r="I102" i="1"/>
  <c r="C666" i="3" s="1"/>
  <c r="I103" i="1"/>
  <c r="C254" i="3" s="1"/>
  <c r="I104" i="1"/>
  <c r="C280" i="3" s="1"/>
  <c r="I105" i="1"/>
  <c r="C957" i="3" s="1"/>
  <c r="I106" i="1"/>
  <c r="C876" i="3" s="1"/>
  <c r="I107" i="1"/>
  <c r="C85" i="3" s="1"/>
  <c r="I108" i="1"/>
  <c r="C67" i="3" s="1"/>
  <c r="I109" i="1"/>
  <c r="C399" i="3" s="1"/>
  <c r="I110" i="1"/>
  <c r="C899" i="3" s="1"/>
  <c r="I111" i="1"/>
  <c r="C372" i="3" s="1"/>
  <c r="I112" i="1"/>
  <c r="C834" i="3" s="1"/>
  <c r="I113" i="1"/>
  <c r="C723" i="3" s="1"/>
  <c r="I114" i="1"/>
  <c r="C323" i="3" s="1"/>
  <c r="I115" i="1"/>
  <c r="C776" i="3" s="1"/>
  <c r="I116" i="1"/>
  <c r="C43" i="3" s="1"/>
  <c r="I117" i="1"/>
  <c r="C725" i="3" s="1"/>
  <c r="I118" i="1"/>
  <c r="C97" i="3" s="1"/>
  <c r="I119" i="1"/>
  <c r="C824" i="3" s="1"/>
  <c r="I120" i="1"/>
  <c r="C702" i="3" s="1"/>
  <c r="I121" i="1"/>
  <c r="C796" i="3" s="1"/>
  <c r="I122" i="1"/>
  <c r="C614" i="3" s="1"/>
  <c r="I123" i="1"/>
  <c r="C335" i="3" s="1"/>
  <c r="I124" i="1"/>
  <c r="C311" i="3" s="1"/>
  <c r="I125" i="1"/>
  <c r="C820" i="3" s="1"/>
  <c r="I126" i="1"/>
  <c r="C668" i="3" s="1"/>
  <c r="I127" i="1"/>
  <c r="C294" i="3" s="1"/>
  <c r="I128" i="1"/>
  <c r="C769" i="3" s="1"/>
  <c r="I129" i="1"/>
  <c r="C746" i="3" s="1"/>
  <c r="I130" i="1"/>
  <c r="C63" i="3" s="1"/>
  <c r="I131" i="1"/>
  <c r="C332" i="3" s="1"/>
  <c r="I132" i="1"/>
  <c r="C408" i="3" s="1"/>
  <c r="I133" i="1"/>
  <c r="C88" i="3" s="1"/>
  <c r="I134" i="1"/>
  <c r="C259" i="3" s="1"/>
  <c r="I135" i="1"/>
  <c r="C523" i="3" s="1"/>
  <c r="I136" i="1"/>
  <c r="C406" i="3" s="1"/>
  <c r="I137" i="1"/>
  <c r="C21" i="3" s="1"/>
  <c r="I138" i="1"/>
  <c r="C437" i="3" s="1"/>
  <c r="I139" i="1"/>
  <c r="C553" i="3" s="1"/>
  <c r="I140" i="1"/>
  <c r="C847" i="3" s="1"/>
  <c r="I141" i="1"/>
  <c r="C756" i="3" s="1"/>
  <c r="I142" i="1"/>
  <c r="C206" i="3" s="1"/>
  <c r="I143" i="1"/>
  <c r="C682" i="3" s="1"/>
  <c r="I144" i="1"/>
  <c r="C395" i="3" s="1"/>
  <c r="I145" i="1"/>
  <c r="C374" i="3" s="1"/>
  <c r="I146" i="1"/>
  <c r="C126" i="3" s="1"/>
  <c r="I147" i="1"/>
  <c r="C24" i="3" s="1"/>
  <c r="I148" i="1"/>
  <c r="C159" i="3" s="1"/>
  <c r="I149" i="1"/>
  <c r="C641" i="3" s="1"/>
  <c r="I150" i="1"/>
  <c r="C866" i="3" s="1"/>
  <c r="I151" i="1"/>
  <c r="C602" i="3" s="1"/>
  <c r="I152" i="1"/>
  <c r="C506" i="3" s="1"/>
  <c r="I153" i="1"/>
  <c r="C801" i="3" s="1"/>
  <c r="I154" i="1"/>
  <c r="C134" i="3" s="1"/>
  <c r="I155" i="1"/>
  <c r="C566" i="3" s="1"/>
  <c r="I156" i="1"/>
  <c r="C356" i="3" s="1"/>
  <c r="I157" i="1"/>
  <c r="C17" i="3" s="1"/>
  <c r="I158" i="1"/>
  <c r="C445" i="3" s="1"/>
  <c r="I159" i="1"/>
  <c r="C107" i="3" s="1"/>
  <c r="I160" i="1"/>
  <c r="C469" i="3" s="1"/>
  <c r="I161" i="1"/>
  <c r="C996" i="3" s="1"/>
  <c r="I162" i="1"/>
  <c r="C355" i="3" s="1"/>
  <c r="I163" i="1"/>
  <c r="C490" i="3" s="1"/>
  <c r="I164" i="1"/>
  <c r="C125" i="3" s="1"/>
  <c r="I165" i="1"/>
  <c r="C32" i="3" s="1"/>
  <c r="I166" i="1"/>
  <c r="C127" i="3" s="1"/>
  <c r="I167" i="1"/>
  <c r="C763" i="3" s="1"/>
  <c r="I168" i="1"/>
  <c r="C13" i="3" s="1"/>
  <c r="I169" i="1"/>
  <c r="C766" i="3" s="1"/>
  <c r="I170" i="1"/>
  <c r="C4" i="3" s="1"/>
  <c r="I171" i="1"/>
  <c r="C377" i="3" s="1"/>
  <c r="I172" i="1"/>
  <c r="C528" i="3" s="1"/>
  <c r="I173" i="1"/>
  <c r="C692" i="3" s="1"/>
  <c r="I174" i="1"/>
  <c r="C451" i="3" s="1"/>
  <c r="I175" i="1"/>
  <c r="C755" i="3" s="1"/>
  <c r="I176" i="1"/>
  <c r="C787" i="3" s="1"/>
  <c r="I177" i="1"/>
  <c r="C76" i="3" s="1"/>
  <c r="I178" i="1"/>
  <c r="C338" i="3" s="1"/>
  <c r="I179" i="1"/>
  <c r="C354" i="3" s="1"/>
  <c r="I180" i="1"/>
  <c r="C405" i="3" s="1"/>
  <c r="I181" i="1"/>
  <c r="C892" i="3" s="1"/>
  <c r="I182" i="1"/>
  <c r="C767" i="3" s="1"/>
  <c r="I183" i="1"/>
  <c r="C986" i="3" s="1"/>
  <c r="I184" i="1"/>
  <c r="C581" i="3" s="1"/>
  <c r="I185" i="1"/>
  <c r="C706" i="3" s="1"/>
  <c r="I186" i="1"/>
  <c r="C753" i="3" s="1"/>
  <c r="I187" i="1"/>
  <c r="C481" i="3" s="1"/>
  <c r="I188" i="1"/>
  <c r="C166" i="3" s="1"/>
  <c r="I189" i="1"/>
  <c r="C264" i="3" s="1"/>
  <c r="I190" i="1"/>
  <c r="C318" i="3" s="1"/>
  <c r="I191" i="1"/>
  <c r="C300" i="3" s="1"/>
  <c r="I192" i="1"/>
  <c r="C965" i="3" s="1"/>
  <c r="I193" i="1"/>
  <c r="C73" i="3" s="1"/>
  <c r="I194" i="1"/>
  <c r="C507" i="3" s="1"/>
  <c r="I195" i="1"/>
  <c r="C60" i="3" s="1"/>
  <c r="I196" i="1"/>
  <c r="C257" i="3" s="1"/>
  <c r="I197" i="1"/>
  <c r="C228" i="3" s="1"/>
  <c r="I198" i="1"/>
  <c r="C690" i="3" s="1"/>
  <c r="I199" i="1"/>
  <c r="C721" i="3" s="1"/>
  <c r="I200" i="1"/>
  <c r="C279" i="3" s="1"/>
  <c r="I201" i="1"/>
  <c r="C561" i="3" s="1"/>
  <c r="I202" i="1"/>
  <c r="C869" i="3" s="1"/>
  <c r="I203" i="1"/>
  <c r="C138" i="3" s="1"/>
  <c r="I204" i="1"/>
  <c r="C461" i="3" s="1"/>
  <c r="I205" i="1"/>
  <c r="C429" i="3" s="1"/>
  <c r="I206" i="1"/>
  <c r="C174" i="3" s="1"/>
  <c r="I207" i="1"/>
  <c r="C974" i="3" s="1"/>
  <c r="I208" i="1"/>
  <c r="C380" i="3" s="1"/>
  <c r="I209" i="1"/>
  <c r="C777" i="3" s="1"/>
  <c r="I210" i="1"/>
  <c r="C642" i="3" s="1"/>
  <c r="I211" i="1"/>
  <c r="C342" i="3" s="1"/>
  <c r="I212" i="1"/>
  <c r="C441" i="3" s="1"/>
  <c r="I213" i="1"/>
  <c r="C83" i="3" s="1"/>
  <c r="I214" i="1"/>
  <c r="C225" i="3" s="1"/>
  <c r="I215" i="1"/>
  <c r="C509" i="3" s="1"/>
  <c r="I216" i="1"/>
  <c r="C933" i="3" s="1"/>
  <c r="I217" i="1"/>
  <c r="C486" i="3" s="1"/>
  <c r="I218" i="1"/>
  <c r="C64" i="3" s="1"/>
  <c r="I219" i="1"/>
  <c r="C563" i="3" s="1"/>
  <c r="I220" i="1"/>
  <c r="C736" i="3" s="1"/>
  <c r="I221" i="1"/>
  <c r="C607" i="3" s="1"/>
  <c r="I222" i="1"/>
  <c r="C955" i="3" s="1"/>
  <c r="I223" i="1"/>
  <c r="C495" i="3" s="1"/>
  <c r="I224" i="1"/>
  <c r="C961" i="3" s="1"/>
  <c r="I225" i="1"/>
  <c r="C57" i="3" s="1"/>
  <c r="I226" i="1"/>
  <c r="C7" i="3" s="1"/>
  <c r="I227" i="1"/>
  <c r="C831" i="3" s="1"/>
  <c r="I228" i="1"/>
  <c r="C786" i="3" s="1"/>
  <c r="I229" i="1"/>
  <c r="C158" i="3" s="1"/>
  <c r="I230" i="1"/>
  <c r="C213" i="3" s="1"/>
  <c r="I231" i="1"/>
  <c r="C145" i="3" s="1"/>
  <c r="I232" i="1"/>
  <c r="C609" i="3" s="1"/>
  <c r="I233" i="1"/>
  <c r="C670" i="3" s="1"/>
  <c r="I234" i="1"/>
  <c r="C994" i="3" s="1"/>
  <c r="I235" i="1"/>
  <c r="C932" i="3" s="1"/>
  <c r="I236" i="1"/>
  <c r="C903" i="3" s="1"/>
  <c r="I237" i="1"/>
  <c r="C177" i="3" s="1"/>
  <c r="I238" i="1"/>
  <c r="C105" i="3" s="1"/>
  <c r="I239" i="1"/>
  <c r="C819" i="3" s="1"/>
  <c r="I240" i="1"/>
  <c r="C674" i="3" s="1"/>
  <c r="I241" i="1"/>
  <c r="C799" i="3" s="1"/>
  <c r="I242" i="1"/>
  <c r="C672" i="3" s="1"/>
  <c r="I243" i="1"/>
  <c r="C735" i="3" s="1"/>
  <c r="I244" i="1"/>
  <c r="C976" i="3" s="1"/>
  <c r="I245" i="1"/>
  <c r="C995" i="3" s="1"/>
  <c r="I246" i="1"/>
  <c r="C661" i="3" s="1"/>
  <c r="I247" i="1"/>
  <c r="C348" i="3" s="1"/>
  <c r="I248" i="1"/>
  <c r="C511" i="3" s="1"/>
  <c r="I249" i="1"/>
  <c r="C49" i="3" s="1"/>
  <c r="I250" i="1"/>
  <c r="C693" i="3" s="1"/>
  <c r="I251" i="1"/>
  <c r="C281" i="3" s="1"/>
  <c r="I252" i="1"/>
  <c r="C449" i="3" s="1"/>
  <c r="I253" i="1"/>
  <c r="C439" i="3" s="1"/>
  <c r="I254" i="1"/>
  <c r="C677" i="3" s="1"/>
  <c r="I255" i="1"/>
  <c r="C879" i="3" s="1"/>
  <c r="I256" i="1"/>
  <c r="C330" i="3" s="1"/>
  <c r="I257" i="1"/>
  <c r="C554" i="3" s="1"/>
  <c r="I258" i="1"/>
  <c r="C78" i="3" s="1"/>
  <c r="I259" i="1"/>
  <c r="C414" i="3" s="1"/>
  <c r="I260" i="1"/>
  <c r="C610" i="3" s="1"/>
  <c r="I261" i="1"/>
  <c r="C272" i="3" s="1"/>
  <c r="I262" i="1"/>
  <c r="C258" i="3" s="1"/>
  <c r="I263" i="1"/>
  <c r="C807" i="3" s="1"/>
  <c r="I264" i="1"/>
  <c r="C316" i="3" s="1"/>
  <c r="I265" i="1"/>
  <c r="C460" i="3" s="1"/>
  <c r="I266" i="1"/>
  <c r="C596" i="3" s="1"/>
  <c r="I267" i="1"/>
  <c r="C947" i="3" s="1"/>
  <c r="I268" i="1"/>
  <c r="C260" i="3" s="1"/>
  <c r="I269" i="1"/>
  <c r="C930" i="3" s="1"/>
  <c r="I270" i="1"/>
  <c r="C549" i="3" s="1"/>
  <c r="I271" i="1"/>
  <c r="C867" i="3" s="1"/>
  <c r="I272" i="1"/>
  <c r="C353" i="3" s="1"/>
  <c r="I273" i="1"/>
  <c r="C649" i="3" s="1"/>
  <c r="I274" i="1"/>
  <c r="C537" i="3" s="1"/>
  <c r="I275" i="1"/>
  <c r="C653" i="3" s="1"/>
  <c r="I276" i="1"/>
  <c r="C48" i="3" s="1"/>
  <c r="I277" i="1"/>
  <c r="C844" i="3" s="1"/>
  <c r="I278" i="1"/>
  <c r="C425" i="3" s="1"/>
  <c r="I279" i="1"/>
  <c r="C764" i="3" s="1"/>
  <c r="I280" i="1"/>
  <c r="C3" i="3" s="1"/>
  <c r="I281" i="1"/>
  <c r="C908" i="3" s="1"/>
  <c r="I282" i="1"/>
  <c r="C453" i="3" s="1"/>
  <c r="I283" i="1"/>
  <c r="C321" i="3" s="1"/>
  <c r="I284" i="1"/>
  <c r="C455" i="3" s="1"/>
  <c r="I285" i="1"/>
  <c r="C202" i="3" s="1"/>
  <c r="I286" i="1"/>
  <c r="C131" i="3" s="1"/>
  <c r="I287" i="1"/>
  <c r="C68" i="3" s="1"/>
  <c r="I288" i="1"/>
  <c r="C373" i="3" s="1"/>
  <c r="I289" i="1"/>
  <c r="C390" i="3" s="1"/>
  <c r="I290" i="1"/>
  <c r="C114" i="3" s="1"/>
  <c r="I291" i="1"/>
  <c r="C422" i="3" s="1"/>
  <c r="I292" i="1"/>
  <c r="C371" i="3" s="1"/>
  <c r="I293" i="1"/>
  <c r="C817" i="3" s="1"/>
  <c r="I294" i="1"/>
  <c r="C290" i="3" s="1"/>
  <c r="I295" i="1"/>
  <c r="C194" i="3" s="1"/>
  <c r="I296" i="1"/>
  <c r="C112" i="3" s="1"/>
  <c r="I297" i="1"/>
  <c r="C103" i="3" s="1"/>
  <c r="I298" i="1"/>
  <c r="C577" i="3" s="1"/>
  <c r="I299" i="1"/>
  <c r="C977" i="3" s="1"/>
  <c r="I300" i="1"/>
  <c r="C583" i="3" s="1"/>
  <c r="I301" i="1"/>
  <c r="C521" i="3" s="1"/>
  <c r="I302" i="1"/>
  <c r="C376" i="3" s="1"/>
  <c r="I303" i="1"/>
  <c r="C640" i="3" s="1"/>
  <c r="I304" i="1"/>
  <c r="C705" i="3" s="1"/>
  <c r="I305" i="1"/>
  <c r="C606" i="3" s="1"/>
  <c r="I306" i="1"/>
  <c r="C980" i="3" s="1"/>
  <c r="I307" i="1"/>
  <c r="C307" i="3" s="1"/>
  <c r="I308" i="1"/>
  <c r="C829" i="3" s="1"/>
  <c r="I309" i="1"/>
  <c r="C675" i="3" s="1"/>
  <c r="I310" i="1"/>
  <c r="C133" i="3" s="1"/>
  <c r="I311" i="1"/>
  <c r="C411" i="3" s="1"/>
  <c r="I312" i="1"/>
  <c r="C758" i="3" s="1"/>
  <c r="I313" i="1"/>
  <c r="C687" i="3" s="1"/>
  <c r="I314" i="1"/>
  <c r="C334" i="3" s="1"/>
  <c r="I315" i="1"/>
  <c r="C277" i="3" s="1"/>
  <c r="I316" i="1"/>
  <c r="C552" i="3" s="1"/>
  <c r="I317" i="1"/>
  <c r="C838" i="3" s="1"/>
  <c r="I318" i="1"/>
  <c r="C474" i="3" s="1"/>
  <c r="I319" i="1"/>
  <c r="C732" i="3" s="1"/>
  <c r="I320" i="1"/>
  <c r="C136" i="3" s="1"/>
  <c r="I321" i="1"/>
  <c r="C739" i="3" s="1"/>
  <c r="I322" i="1"/>
  <c r="C770" i="3" s="1"/>
  <c r="I323" i="1"/>
  <c r="C598" i="3" s="1"/>
  <c r="I324" i="1"/>
  <c r="C224" i="3" s="1"/>
  <c r="I325" i="1"/>
  <c r="C320" i="3" s="1"/>
  <c r="I326" i="1"/>
  <c r="C811" i="3" s="1"/>
  <c r="I327" i="1"/>
  <c r="C59" i="3" s="1"/>
  <c r="I328" i="1"/>
  <c r="C781" i="3" s="1"/>
  <c r="I329" i="1"/>
  <c r="C343" i="3" s="1"/>
  <c r="I330" i="1"/>
  <c r="C424" i="3" s="1"/>
  <c r="I331" i="1"/>
  <c r="C113" i="3" s="1"/>
  <c r="I332" i="1"/>
  <c r="C198" i="3" s="1"/>
  <c r="I333" i="1"/>
  <c r="C42" i="3" s="1"/>
  <c r="I334" i="1"/>
  <c r="C8" i="3" s="1"/>
  <c r="I335" i="1"/>
  <c r="C710" i="3" s="1"/>
  <c r="I336" i="1"/>
  <c r="C967" i="3" s="1"/>
  <c r="I337" i="1"/>
  <c r="C164" i="3" s="1"/>
  <c r="I338" i="1"/>
  <c r="C696" i="3" s="1"/>
  <c r="I339" i="1"/>
  <c r="C90" i="3" s="1"/>
  <c r="I340" i="1"/>
  <c r="C627" i="3" s="1"/>
  <c r="I341" i="1"/>
  <c r="C256" i="3" s="1"/>
  <c r="I342" i="1"/>
  <c r="C611" i="3" s="1"/>
  <c r="I343" i="1"/>
  <c r="C180" i="3" s="1"/>
  <c r="I344" i="1"/>
  <c r="C920" i="3" s="1"/>
  <c r="I345" i="1"/>
  <c r="C147" i="3" s="1"/>
  <c r="I346" i="1"/>
  <c r="C922" i="3" s="1"/>
  <c r="I347" i="1"/>
  <c r="C396" i="3" s="1"/>
  <c r="I348" i="1"/>
  <c r="C634" i="3" s="1"/>
  <c r="I349" i="1"/>
  <c r="C905" i="3" s="1"/>
  <c r="I350" i="1"/>
  <c r="C140" i="3" s="1"/>
  <c r="I351" i="1"/>
  <c r="C269" i="3" s="1"/>
  <c r="I352" i="1"/>
  <c r="C325" i="3" s="1"/>
  <c r="I353" i="1"/>
  <c r="C910" i="3" s="1"/>
  <c r="I354" i="1"/>
  <c r="C285" i="3" s="1"/>
  <c r="I355" i="1"/>
  <c r="C344" i="3" s="1"/>
  <c r="I356" i="1"/>
  <c r="C102" i="3" s="1"/>
  <c r="I357" i="1"/>
  <c r="C52" i="3" s="1"/>
  <c r="I358" i="1"/>
  <c r="C720" i="3" s="1"/>
  <c r="I359" i="1"/>
  <c r="C207" i="3" s="1"/>
  <c r="I360" i="1"/>
  <c r="C931" i="3" s="1"/>
  <c r="I361" i="1"/>
  <c r="C988" i="3" s="1"/>
  <c r="I362" i="1"/>
  <c r="C108" i="3" s="1"/>
  <c r="I363" i="1"/>
  <c r="C479" i="3" s="1"/>
  <c r="I364" i="1"/>
  <c r="C859" i="3" s="1"/>
  <c r="I365" i="1"/>
  <c r="C410" i="3" s="1"/>
  <c r="I366" i="1"/>
  <c r="C386" i="3" s="1"/>
  <c r="I367" i="1"/>
  <c r="C531" i="3" s="1"/>
  <c r="I368" i="1"/>
  <c r="C483" i="3" s="1"/>
  <c r="I369" i="1"/>
  <c r="C759" i="3" s="1"/>
  <c r="I370" i="1"/>
  <c r="C714" i="3" s="1"/>
  <c r="I371" i="1"/>
  <c r="C748" i="3" s="1"/>
  <c r="I372" i="1"/>
  <c r="C296" i="3" s="1"/>
  <c r="I373" i="1"/>
  <c r="C651" i="3" s="1"/>
  <c r="I374" i="1"/>
  <c r="C397" i="3" s="1"/>
  <c r="I375" i="1"/>
  <c r="C551" i="3" s="1"/>
  <c r="I376" i="1"/>
  <c r="C491" i="3" s="1"/>
  <c r="I377" i="1"/>
  <c r="C891" i="3" s="1"/>
  <c r="I378" i="1"/>
  <c r="C273" i="3" s="1"/>
  <c r="I379" i="1"/>
  <c r="C907" i="3" s="1"/>
  <c r="I380" i="1"/>
  <c r="C830" i="3" s="1"/>
  <c r="I381" i="1"/>
  <c r="C51" i="3" s="1"/>
  <c r="I382" i="1"/>
  <c r="C592" i="3" s="1"/>
  <c r="I383" i="1"/>
  <c r="C555" i="3" s="1"/>
  <c r="I384" i="1"/>
  <c r="C378" i="3" s="1"/>
  <c r="I385" i="1"/>
  <c r="C542" i="3" s="1"/>
  <c r="I386" i="1"/>
  <c r="C562" i="3" s="1"/>
  <c r="I387" i="1"/>
  <c r="C31" i="3" s="1"/>
  <c r="I388" i="1"/>
  <c r="C966" i="3" s="1"/>
  <c r="I389" i="1"/>
  <c r="C913" i="3" s="1"/>
  <c r="I390" i="1"/>
  <c r="C827" i="3" s="1"/>
  <c r="I391" i="1"/>
  <c r="C818" i="3" s="1"/>
  <c r="I392" i="1"/>
  <c r="C319" i="3" s="1"/>
  <c r="I393" i="1"/>
  <c r="C950" i="3" s="1"/>
  <c r="I394" i="1"/>
  <c r="C597" i="3" s="1"/>
  <c r="I395" i="1"/>
  <c r="C752" i="3" s="1"/>
  <c r="I396" i="1"/>
  <c r="C503" i="3" s="1"/>
  <c r="I397" i="1"/>
  <c r="C743" i="3" s="1"/>
  <c r="I398" i="1"/>
  <c r="C70" i="3" s="1"/>
  <c r="I399" i="1"/>
  <c r="C392" i="3" s="1"/>
  <c r="I400" i="1"/>
  <c r="C236" i="3" s="1"/>
  <c r="I401" i="1"/>
  <c r="C154" i="3" s="1"/>
  <c r="I402" i="1"/>
  <c r="C924" i="3" s="1"/>
  <c r="I403" i="1"/>
  <c r="C617" i="3" s="1"/>
  <c r="I404" i="1"/>
  <c r="C275" i="3" s="1"/>
  <c r="I405" i="1"/>
  <c r="C516" i="3" s="1"/>
  <c r="I406" i="1"/>
  <c r="C492" i="3" s="1"/>
  <c r="I407" i="1"/>
  <c r="C250" i="3" s="1"/>
  <c r="I408" i="1"/>
  <c r="C949" i="3" s="1"/>
  <c r="I409" i="1"/>
  <c r="C252" i="3" s="1"/>
  <c r="I410" i="1"/>
  <c r="C604" i="3" s="1"/>
  <c r="I411" i="1"/>
  <c r="C982" i="3" s="1"/>
  <c r="I412" i="1"/>
  <c r="C262" i="3" s="1"/>
  <c r="I413" i="1"/>
  <c r="C62" i="3" s="1"/>
  <c r="I414" i="1"/>
  <c r="C546" i="3" s="1"/>
  <c r="I415" i="1"/>
  <c r="C837" i="3" s="1"/>
  <c r="I416" i="1"/>
  <c r="C426" i="3" s="1"/>
  <c r="I417" i="1"/>
  <c r="C452" i="3" s="1"/>
  <c r="I418" i="1"/>
  <c r="C570" i="3" s="1"/>
  <c r="I419" i="1"/>
  <c r="C240" i="3" s="1"/>
  <c r="I420" i="1"/>
  <c r="C628" i="3" s="1"/>
  <c r="I421" i="1"/>
  <c r="C605" i="3" s="1"/>
  <c r="I422" i="1"/>
  <c r="C761" i="3" s="1"/>
  <c r="I423" i="1"/>
  <c r="C358" i="3" s="1"/>
  <c r="I424" i="1"/>
  <c r="C18" i="3" s="1"/>
  <c r="I425" i="1"/>
  <c r="C324" i="3" s="1"/>
  <c r="I426" i="1"/>
  <c r="C896" i="3" s="1"/>
  <c r="I427" i="1"/>
  <c r="C643" i="3" s="1"/>
  <c r="I428" i="1"/>
  <c r="C644" i="3" s="1"/>
  <c r="I429" i="1"/>
  <c r="C803" i="3" s="1"/>
  <c r="I430" i="1"/>
  <c r="C622" i="3" s="1"/>
  <c r="I431" i="1"/>
  <c r="C420" i="3" s="1"/>
  <c r="I432" i="1"/>
  <c r="C415" i="3" s="1"/>
  <c r="I433" i="1"/>
  <c r="C529" i="3" s="1"/>
  <c r="I434" i="1"/>
  <c r="C178" i="3" s="1"/>
  <c r="I435" i="1"/>
  <c r="C656" i="3" s="1"/>
  <c r="I436" i="1"/>
  <c r="C821" i="3" s="1"/>
  <c r="I437" i="1"/>
  <c r="C669" i="3" s="1"/>
  <c r="I438" i="1"/>
  <c r="C887" i="3" s="1"/>
  <c r="I439" i="1"/>
  <c r="C91" i="3" s="1"/>
  <c r="I440" i="1"/>
  <c r="C813" i="3" s="1"/>
  <c r="I441" i="1"/>
  <c r="C856" i="3" s="1"/>
  <c r="I442" i="1"/>
  <c r="C688" i="3" s="1"/>
  <c r="I443" i="1"/>
  <c r="C448" i="3" s="1"/>
  <c r="I444" i="1"/>
  <c r="C757" i="3" s="1"/>
  <c r="I445" i="1"/>
  <c r="C667" i="3" s="1"/>
  <c r="I446" i="1"/>
  <c r="C719" i="3" s="1"/>
  <c r="I447" i="1"/>
  <c r="C883" i="3" s="1"/>
  <c r="I448" i="1"/>
  <c r="C664" i="3" s="1"/>
  <c r="I449" i="1"/>
  <c r="C921" i="3" s="1"/>
  <c r="I450" i="1"/>
  <c r="C130" i="3" s="1"/>
  <c r="I451" i="1"/>
  <c r="C168" i="3" s="1"/>
  <c r="I452" i="1"/>
  <c r="C630" i="3" s="1"/>
  <c r="I453" i="1"/>
  <c r="C639" i="3" s="1"/>
  <c r="I454" i="1"/>
  <c r="C865" i="3" s="1"/>
  <c r="I455" i="1"/>
  <c r="C364" i="3" s="1"/>
  <c r="I456" i="1"/>
  <c r="C473" i="3" s="1"/>
  <c r="I457" i="1"/>
  <c r="C956" i="3" s="1"/>
  <c r="I458" i="1"/>
  <c r="C792" i="3" s="1"/>
  <c r="I459" i="1"/>
  <c r="C418" i="3" s="1"/>
  <c r="I460" i="1"/>
  <c r="C526" i="3" s="1"/>
  <c r="I461" i="1"/>
  <c r="C833" i="3" s="1"/>
  <c r="I462" i="1"/>
  <c r="C186" i="3" s="1"/>
  <c r="I463" i="1"/>
  <c r="C981" i="3" s="1"/>
  <c r="I464" i="1"/>
  <c r="C540" i="3" s="1"/>
  <c r="I465" i="1"/>
  <c r="C846" i="3" s="1"/>
  <c r="I466" i="1"/>
  <c r="C297" i="3" s="1"/>
  <c r="I467" i="1"/>
  <c r="C985" i="3" s="1"/>
  <c r="I468" i="1"/>
  <c r="C559" i="3" s="1"/>
  <c r="I469" i="1"/>
  <c r="C499" i="3" s="1"/>
  <c r="I470" i="1"/>
  <c r="C36" i="3" s="1"/>
  <c r="I471" i="1"/>
  <c r="C400" i="3" s="1"/>
  <c r="I472" i="1"/>
  <c r="C925" i="3" s="1"/>
  <c r="I473" i="1"/>
  <c r="C326" i="3" s="1"/>
  <c r="I474" i="1"/>
  <c r="C625" i="3" s="1"/>
  <c r="I475" i="1"/>
  <c r="C89" i="3" s="1"/>
  <c r="I476" i="1"/>
  <c r="C462" i="3" s="1"/>
  <c r="I477" i="1"/>
  <c r="C754" i="3" s="1"/>
  <c r="I478" i="1"/>
  <c r="C218" i="3" s="1"/>
  <c r="I479" i="1"/>
  <c r="C118" i="3" s="1"/>
  <c r="I480" i="1"/>
  <c r="C881" i="3" s="1"/>
  <c r="I481" i="1"/>
  <c r="C327" i="3" s="1"/>
  <c r="I482" i="1"/>
  <c r="C29" i="3" s="1"/>
  <c r="I483" i="1"/>
  <c r="C512" i="3" s="1"/>
  <c r="I484" i="1"/>
  <c r="C522" i="3" s="1"/>
  <c r="I485" i="1"/>
  <c r="C871" i="3" s="1"/>
  <c r="I486" i="1"/>
  <c r="C747" i="3" s="1"/>
  <c r="I487" i="1"/>
  <c r="C520" i="3" s="1"/>
  <c r="I488" i="1"/>
  <c r="C306" i="3" s="1"/>
  <c r="I489" i="1"/>
  <c r="C888" i="3" s="1"/>
  <c r="I490" i="1"/>
  <c r="C703" i="3" s="1"/>
  <c r="I491" i="1"/>
  <c r="C430" i="3" s="1"/>
  <c r="I492" i="1"/>
  <c r="C444" i="3" s="1"/>
  <c r="I493" i="1"/>
  <c r="C704" i="3" s="1"/>
  <c r="I494" i="1"/>
  <c r="C295" i="3" s="1"/>
  <c r="I495" i="1"/>
  <c r="C149" i="3" s="1"/>
  <c r="I496" i="1"/>
  <c r="C700" i="3" s="1"/>
  <c r="I497" i="1"/>
  <c r="C728" i="3" s="1"/>
  <c r="I498" i="1"/>
  <c r="C65" i="3" s="1"/>
  <c r="I499" i="1"/>
  <c r="C284" i="3" s="1"/>
  <c r="I500" i="1"/>
  <c r="C937" i="3" s="1"/>
  <c r="I501" i="1"/>
  <c r="C547" i="3" s="1"/>
  <c r="I502" i="1"/>
  <c r="C139" i="3" s="1"/>
  <c r="I503" i="1"/>
  <c r="C731" i="3" s="1"/>
  <c r="I504" i="1"/>
  <c r="C951" i="3" s="1"/>
  <c r="I505" i="1"/>
  <c r="C911" i="3" s="1"/>
  <c r="I506" i="1"/>
  <c r="C969" i="3" s="1"/>
  <c r="I507" i="1"/>
  <c r="C749" i="3" s="1"/>
  <c r="I508" i="1"/>
  <c r="C952" i="3" s="1"/>
  <c r="I509" i="1"/>
  <c r="C697" i="3" s="1"/>
  <c r="I510" i="1"/>
  <c r="C87" i="3" s="1"/>
  <c r="I511" i="1"/>
  <c r="C204" i="3" s="1"/>
  <c r="I512" i="1"/>
  <c r="C958" i="3" s="1"/>
  <c r="I513" i="1"/>
  <c r="C615" i="3" s="1"/>
  <c r="I514" i="1"/>
  <c r="C711" i="3" s="1"/>
  <c r="I515" i="1"/>
  <c r="C169" i="3" s="1"/>
  <c r="I516" i="1"/>
  <c r="C717" i="3" s="1"/>
  <c r="I517" i="1"/>
  <c r="C624" i="3" s="1"/>
  <c r="I518" i="1"/>
  <c r="C621" i="3" s="1"/>
  <c r="I519" i="1"/>
  <c r="C435" i="3" s="1"/>
  <c r="I520" i="1"/>
  <c r="C215" i="3" s="1"/>
  <c r="I521" i="1"/>
  <c r="C815" i="3" s="1"/>
  <c r="I522" i="1"/>
  <c r="C336" i="3" s="1"/>
  <c r="I523" i="1"/>
  <c r="C782" i="3" s="1"/>
  <c r="I524" i="1"/>
  <c r="C637" i="3" s="1"/>
  <c r="I525" i="1"/>
  <c r="C404" i="3" s="1"/>
  <c r="I526" i="1"/>
  <c r="C253" i="3" s="1"/>
  <c r="I527" i="1"/>
  <c r="C385" i="3" s="1"/>
  <c r="I528" i="1"/>
  <c r="C572" i="3" s="1"/>
  <c r="I529" i="1"/>
  <c r="C845" i="3" s="1"/>
  <c r="I530" i="1"/>
  <c r="C536" i="3" s="1"/>
  <c r="I531" i="1"/>
  <c r="C608" i="3" s="1"/>
  <c r="I532" i="1"/>
  <c r="C816" i="3" s="1"/>
  <c r="I533" i="1"/>
  <c r="C329" i="3" s="1"/>
  <c r="I534" i="1"/>
  <c r="C940" i="3" s="1"/>
  <c r="I535" i="1"/>
  <c r="C505" i="3" s="1"/>
  <c r="I536" i="1"/>
  <c r="C588" i="3" s="1"/>
  <c r="I537" i="1"/>
  <c r="C745" i="3" s="1"/>
  <c r="I538" i="1"/>
  <c r="C780" i="3" s="1"/>
  <c r="I539" i="1"/>
  <c r="C242" i="3" s="1"/>
  <c r="I540" i="1"/>
  <c r="C953" i="3" s="1"/>
  <c r="I541" i="1"/>
  <c r="C979" i="3" s="1"/>
  <c r="I542" i="1"/>
  <c r="C775" i="3" s="1"/>
  <c r="I543" i="1"/>
  <c r="C502" i="3" s="1"/>
  <c r="I544" i="1"/>
  <c r="C941" i="3" s="1"/>
  <c r="I545" i="1"/>
  <c r="C407" i="3" s="1"/>
  <c r="I546" i="1"/>
  <c r="C929" i="3" s="1"/>
  <c r="I547" i="1"/>
  <c r="C991" i="3" s="1"/>
  <c r="I548" i="1"/>
  <c r="C983" i="3" s="1"/>
  <c r="I549" i="1"/>
  <c r="C968" i="3" s="1"/>
  <c r="I550" i="1"/>
  <c r="C926" i="3" s="1"/>
  <c r="I551" i="1"/>
  <c r="C810" i="3" s="1"/>
  <c r="I552" i="1"/>
  <c r="C28" i="3" s="1"/>
  <c r="I553" i="1"/>
  <c r="C809" i="3" s="1"/>
  <c r="I554" i="1"/>
  <c r="C534" i="3" s="1"/>
  <c r="I555" i="1"/>
  <c r="C100" i="3" s="1"/>
  <c r="I556" i="1"/>
  <c r="C341" i="3" s="1"/>
  <c r="I557" i="1"/>
  <c r="C312" i="3" s="1"/>
  <c r="I558" i="1"/>
  <c r="C814" i="3" s="1"/>
  <c r="I559" i="1"/>
  <c r="C515" i="3" s="1"/>
  <c r="I560" i="1"/>
  <c r="C84" i="3" s="1"/>
  <c r="I561" i="1"/>
  <c r="C19" i="3" s="1"/>
  <c r="I562" i="1"/>
  <c r="C322" i="3" s="1"/>
  <c r="I563" i="1"/>
  <c r="C895" i="3" s="1"/>
  <c r="I564" i="1"/>
  <c r="C699" i="3" s="1"/>
  <c r="I565" i="1"/>
  <c r="C989" i="3" s="1"/>
  <c r="I566" i="1"/>
  <c r="C33" i="3" s="1"/>
  <c r="I567" i="1"/>
  <c r="C470" i="3" s="1"/>
  <c r="I568" i="1"/>
  <c r="C938" i="3" s="1"/>
  <c r="I569" i="1"/>
  <c r="C500" i="3" s="1"/>
  <c r="I570" i="1"/>
  <c r="C863" i="3" s="1"/>
  <c r="I571" i="1"/>
  <c r="C576" i="3" s="1"/>
  <c r="I572" i="1"/>
  <c r="C431" i="3" s="1"/>
  <c r="I573" i="1"/>
  <c r="C173" i="3" s="1"/>
  <c r="I574" i="1"/>
  <c r="C751" i="3" s="1"/>
  <c r="I575" i="1"/>
  <c r="C104" i="3" s="1"/>
  <c r="I576" i="1"/>
  <c r="C363" i="3" s="1"/>
  <c r="I577" i="1"/>
  <c r="C15" i="3" s="1"/>
  <c r="I578" i="1"/>
  <c r="C808" i="3" s="1"/>
  <c r="I579" i="1"/>
  <c r="C436" i="3" s="1"/>
  <c r="I580" i="1"/>
  <c r="C498" i="3" s="1"/>
  <c r="I581" i="1"/>
  <c r="C484" i="3" s="1"/>
  <c r="I582" i="1"/>
  <c r="C545" i="3" s="1"/>
  <c r="I583" i="1"/>
  <c r="C403" i="3" s="1"/>
  <c r="I584" i="1"/>
  <c r="C347" i="3" s="1"/>
  <c r="I585" i="1"/>
  <c r="C691" i="3" s="1"/>
  <c r="I586" i="1"/>
  <c r="C339" i="3" s="1"/>
  <c r="I587" i="1"/>
  <c r="C722" i="3" s="1"/>
  <c r="I588" i="1"/>
  <c r="C806" i="3" s="1"/>
  <c r="I589" i="1"/>
  <c r="C730" i="3" s="1"/>
  <c r="I590" i="1"/>
  <c r="C301" i="3" s="1"/>
  <c r="I591" i="1"/>
  <c r="C626" i="3" s="1"/>
  <c r="I592" i="1"/>
  <c r="C38" i="3" s="1"/>
  <c r="I593" i="1"/>
  <c r="C212" i="3" s="1"/>
  <c r="I594" i="1"/>
  <c r="C880" i="3" s="1"/>
  <c r="I595" i="1"/>
  <c r="C849" i="3" s="1"/>
  <c r="I596" i="1"/>
  <c r="C135" i="3" s="1"/>
  <c r="I597" i="1"/>
  <c r="C121" i="3" s="1"/>
  <c r="I598" i="1"/>
  <c r="C633" i="3" s="1"/>
  <c r="I599" i="1"/>
  <c r="C331" i="3" s="1"/>
  <c r="I600" i="1"/>
  <c r="C141" i="3" s="1"/>
  <c r="I601" i="1"/>
  <c r="C128" i="3" s="1"/>
  <c r="I602" i="1"/>
  <c r="C804" i="3" s="1"/>
  <c r="I603" i="1"/>
  <c r="C20" i="3" s="1"/>
  <c r="I604" i="1"/>
  <c r="C684" i="3" s="1"/>
  <c r="I605" i="1"/>
  <c r="C579" i="3" s="1"/>
  <c r="I606" i="1"/>
  <c r="C239" i="3" s="1"/>
  <c r="I607" i="1"/>
  <c r="C960" i="3" s="1"/>
  <c r="I608" i="1"/>
  <c r="C665" i="3" s="1"/>
  <c r="I609" i="1"/>
  <c r="C832" i="3" s="1"/>
  <c r="I610" i="1"/>
  <c r="C471" i="3" s="1"/>
  <c r="I611" i="1"/>
  <c r="C205" i="3" s="1"/>
  <c r="I612" i="1"/>
  <c r="C182" i="3" s="1"/>
  <c r="I613" i="1"/>
  <c r="C172" i="3" s="1"/>
  <c r="I614" i="1"/>
  <c r="C247" i="3" s="1"/>
  <c r="I615" i="1"/>
  <c r="C772" i="3" s="1"/>
  <c r="I616" i="1"/>
  <c r="C393" i="3" s="1"/>
  <c r="I617" i="1"/>
  <c r="C80" i="3" s="1"/>
  <c r="I618" i="1"/>
  <c r="C580" i="3" s="1"/>
  <c r="I619" i="1"/>
  <c r="C468" i="3" s="1"/>
  <c r="I620" i="1"/>
  <c r="C768" i="3" s="1"/>
  <c r="I621" i="1"/>
  <c r="C443" i="3" s="1"/>
  <c r="I622" i="1"/>
  <c r="C918" i="3" s="1"/>
  <c r="I623" i="1"/>
  <c r="C96" i="3" s="1"/>
  <c r="I624" i="1"/>
  <c r="C416" i="3" s="1"/>
  <c r="I625" i="1"/>
  <c r="C366" i="3" s="1"/>
  <c r="I626" i="1"/>
  <c r="C487" i="3" s="1"/>
  <c r="I627" i="1"/>
  <c r="C681" i="3" s="1"/>
  <c r="I628" i="1"/>
  <c r="C365" i="3" s="1"/>
  <c r="I629" i="1"/>
  <c r="C935" i="3" s="1"/>
  <c r="I630" i="1"/>
  <c r="C915" i="3" s="1"/>
  <c r="I631" i="1"/>
  <c r="C2" i="3" s="1"/>
  <c r="I632" i="1"/>
  <c r="C998" i="3" s="1"/>
  <c r="I633" i="1"/>
  <c r="C514" i="3" s="1"/>
  <c r="I634" i="1"/>
  <c r="C882" i="3" s="1"/>
  <c r="I635" i="1"/>
  <c r="C427" i="3" s="1"/>
  <c r="I636" i="1"/>
  <c r="C209" i="3" s="1"/>
  <c r="I637" i="1"/>
  <c r="C647" i="3" s="1"/>
  <c r="I638" i="1"/>
  <c r="C885" i="3" s="1"/>
  <c r="I639" i="1"/>
  <c r="C361" i="3" s="1"/>
  <c r="I640" i="1"/>
  <c r="C77" i="3" s="1"/>
  <c r="I641" i="1"/>
  <c r="C293" i="3" s="1"/>
  <c r="I642" i="1"/>
  <c r="C489" i="3" s="1"/>
  <c r="I643" i="1"/>
  <c r="C927" i="3" s="1"/>
  <c r="I644" i="1"/>
  <c r="C265" i="3" s="1"/>
  <c r="I645" i="1"/>
  <c r="C81" i="3" s="1"/>
  <c r="I646" i="1"/>
  <c r="C333" i="3" s="1"/>
  <c r="I647" i="1"/>
  <c r="C890" i="3" s="1"/>
  <c r="I648" i="1"/>
  <c r="C482" i="3" s="1"/>
  <c r="I649" i="1"/>
  <c r="C266" i="3" s="1"/>
  <c r="I650" i="1"/>
  <c r="C369" i="3" s="1"/>
  <c r="I651" i="1"/>
  <c r="C230" i="3" s="1"/>
  <c r="I652" i="1"/>
  <c r="C255" i="3" s="1"/>
  <c r="I653" i="1"/>
  <c r="C823" i="3" s="1"/>
  <c r="I654" i="1"/>
  <c r="C466" i="3" s="1"/>
  <c r="I655" i="1"/>
  <c r="C860" i="3" s="1"/>
  <c r="I656" i="1"/>
  <c r="C737" i="3" s="1"/>
  <c r="I657" i="1"/>
  <c r="C30" i="3" s="1"/>
  <c r="I658" i="1"/>
  <c r="C47" i="3" s="1"/>
  <c r="I659" i="1"/>
  <c r="C802" i="3" s="1"/>
  <c r="I660" i="1"/>
  <c r="C72" i="3" s="1"/>
  <c r="I661" i="1"/>
  <c r="C119" i="3" s="1"/>
  <c r="I662" i="1"/>
  <c r="C629" i="3" s="1"/>
  <c r="I663" i="1"/>
  <c r="C217" i="3" s="1"/>
  <c r="I664" i="1"/>
  <c r="C450" i="3" s="1"/>
  <c r="I665" i="1"/>
  <c r="C44" i="3" s="1"/>
  <c r="I666" i="1"/>
  <c r="C712" i="3" s="1"/>
  <c r="I667" i="1"/>
  <c r="C148" i="3" s="1"/>
  <c r="I668" i="1"/>
  <c r="C345" i="3" s="1"/>
  <c r="I669" i="1"/>
  <c r="C788" i="3" s="1"/>
  <c r="I670" i="1"/>
  <c r="C778" i="3" s="1"/>
  <c r="I671" i="1"/>
  <c r="C858" i="3" s="1"/>
  <c r="I672" i="1"/>
  <c r="C812" i="3" s="1"/>
  <c r="I673" i="1"/>
  <c r="C789" i="3" s="1"/>
  <c r="I674" i="1"/>
  <c r="C771" i="3" s="1"/>
  <c r="I675" i="1"/>
  <c r="C340" i="3" s="1"/>
  <c r="I676" i="1"/>
  <c r="C694" i="3" s="1"/>
  <c r="I677" i="1"/>
  <c r="C401" i="3" s="1"/>
  <c r="I678" i="1"/>
  <c r="C109" i="3" s="1"/>
  <c r="I679" i="1"/>
  <c r="C302" i="3" s="1"/>
  <c r="I680" i="1"/>
  <c r="C315" i="3" s="1"/>
  <c r="I681" i="1"/>
  <c r="C790" i="3" s="1"/>
  <c r="I682" i="1"/>
  <c r="C291" i="3" s="1"/>
  <c r="I683" i="1"/>
  <c r="C934" i="3" s="1"/>
  <c r="I684" i="1"/>
  <c r="C214" i="3" s="1"/>
  <c r="I685" i="1"/>
  <c r="C16" i="3" s="1"/>
  <c r="I686" i="1"/>
  <c r="C698" i="3" s="1"/>
  <c r="I687" i="1"/>
  <c r="C219" i="3" s="1"/>
  <c r="I688" i="1"/>
  <c r="C862" i="3" s="1"/>
  <c r="I689" i="1"/>
  <c r="C715" i="3" s="1"/>
  <c r="I690" i="1"/>
  <c r="C709" i="3" s="1"/>
  <c r="I691" i="1"/>
  <c r="C216" i="3" s="1"/>
  <c r="I692" i="1"/>
  <c r="C999" i="3" s="1"/>
  <c r="I693" i="1"/>
  <c r="C442" i="3" s="1"/>
  <c r="I694" i="1"/>
  <c r="C740" i="3" s="1"/>
  <c r="I695" i="1"/>
  <c r="C797" i="3" s="1"/>
  <c r="I696" i="1"/>
  <c r="C193" i="3" s="1"/>
  <c r="I697" i="1"/>
  <c r="C571" i="3" s="1"/>
  <c r="I698" i="1"/>
  <c r="C793" i="3" s="1"/>
  <c r="I699" i="1"/>
  <c r="C456" i="3" s="1"/>
  <c r="I700" i="1"/>
  <c r="C151" i="3" s="1"/>
  <c r="I701" i="1"/>
  <c r="C115" i="3" s="1"/>
  <c r="I702" i="1"/>
  <c r="C350" i="3" s="1"/>
  <c r="I703" i="1"/>
  <c r="C398" i="3" s="1"/>
  <c r="I704" i="1"/>
  <c r="C389" i="3" s="1"/>
  <c r="I705" i="1"/>
  <c r="C646" i="3" s="1"/>
  <c r="I706" i="1"/>
  <c r="C241" i="3" s="1"/>
  <c r="I707" i="1"/>
  <c r="C680" i="3" s="1"/>
  <c r="I708" i="1"/>
  <c r="C237" i="3" s="1"/>
  <c r="I709" i="1"/>
  <c r="C58" i="3" s="1"/>
  <c r="I710" i="1"/>
  <c r="C631" i="3" s="1"/>
  <c r="I711" i="1"/>
  <c r="C488" i="3" s="1"/>
  <c r="I712" i="1"/>
  <c r="C120" i="3" s="1"/>
  <c r="I713" i="1"/>
  <c r="C71" i="3" s="1"/>
  <c r="I714" i="1"/>
  <c r="C50" i="3" s="1"/>
  <c r="I715" i="1"/>
  <c r="C152" i="3" s="1"/>
  <c r="I716" i="1"/>
  <c r="C200" i="3" s="1"/>
  <c r="I717" i="1"/>
  <c r="C438" i="3" s="1"/>
  <c r="I718" i="1"/>
  <c r="C409" i="3" s="1"/>
  <c r="I719" i="1"/>
  <c r="C689" i="3" s="1"/>
  <c r="I720" i="1"/>
  <c r="C826" i="3" s="1"/>
  <c r="I721" i="1"/>
  <c r="C261" i="3" s="1"/>
  <c r="I722" i="1"/>
  <c r="C222" i="3" s="1"/>
  <c r="I723" i="1"/>
  <c r="C99" i="3" s="1"/>
  <c r="I724" i="1"/>
  <c r="C196" i="3" s="1"/>
  <c r="I725" i="1"/>
  <c r="C233" i="3" s="1"/>
  <c r="I726" i="1"/>
  <c r="C589" i="3" s="1"/>
  <c r="I727" i="1"/>
  <c r="C532" i="3" s="1"/>
  <c r="I728" i="1"/>
  <c r="C12" i="3" s="1"/>
  <c r="I729" i="1"/>
  <c r="C10" i="3" s="1"/>
  <c r="I730" i="1"/>
  <c r="C179" i="3" s="1"/>
  <c r="I731" i="1"/>
  <c r="C987" i="3" s="1"/>
  <c r="I732" i="1"/>
  <c r="C463" i="3" s="1"/>
  <c r="I733" i="1"/>
  <c r="C973" i="3" s="1"/>
  <c r="I734" i="1"/>
  <c r="C556" i="3" s="1"/>
  <c r="I735" i="1"/>
  <c r="C734" i="3" s="1"/>
  <c r="I736" i="1"/>
  <c r="C645" i="3" s="1"/>
  <c r="I737" i="1"/>
  <c r="C663" i="3" s="1"/>
  <c r="I738" i="1"/>
  <c r="C902" i="3" s="1"/>
  <c r="I739" i="1"/>
  <c r="C843" i="3" s="1"/>
  <c r="I740" i="1"/>
  <c r="C686" i="3" s="1"/>
  <c r="I741" i="1"/>
  <c r="C685" i="3" s="1"/>
  <c r="I742" i="1"/>
  <c r="C82" i="3" s="1"/>
  <c r="I743" i="1"/>
  <c r="C383" i="3" s="1"/>
  <c r="I744" i="1"/>
  <c r="C137" i="3" s="1"/>
  <c r="I745" i="1"/>
  <c r="C738" i="3" s="1"/>
  <c r="I746" i="1"/>
  <c r="C191" i="3" s="1"/>
  <c r="I747" i="1"/>
  <c r="C26" i="3" s="1"/>
  <c r="I748" i="1"/>
  <c r="C423" i="3" s="1"/>
  <c r="I749" i="1"/>
  <c r="C650" i="3" s="1"/>
  <c r="I750" i="1"/>
  <c r="C465" i="3" s="1"/>
  <c r="I751" i="1"/>
  <c r="C56" i="3" s="1"/>
  <c r="I752" i="1"/>
  <c r="C513" i="3" s="1"/>
  <c r="I753" i="1"/>
  <c r="C541" i="3" s="1"/>
  <c r="I754" i="1"/>
  <c r="C900" i="3" s="1"/>
  <c r="I755" i="1"/>
  <c r="C231" i="3" s="1"/>
  <c r="I756" i="1"/>
  <c r="C454" i="3" s="1"/>
  <c r="I757" i="1"/>
  <c r="C857" i="3" s="1"/>
  <c r="I758" i="1"/>
  <c r="C298" i="3" s="1"/>
  <c r="I759" i="1"/>
  <c r="C600" i="3" s="1"/>
  <c r="I760" i="1"/>
  <c r="C744" i="3" s="1"/>
  <c r="I761" i="1"/>
  <c r="C249" i="3" s="1"/>
  <c r="I762" i="1"/>
  <c r="C14" i="3" s="1"/>
  <c r="I763" i="1"/>
  <c r="C238" i="3" s="1"/>
  <c r="I764" i="1"/>
  <c r="C590" i="3" s="1"/>
  <c r="I765" i="1"/>
  <c r="C201" i="3" s="1"/>
  <c r="I766" i="1"/>
  <c r="C825" i="3" s="1"/>
  <c r="I767" i="1"/>
  <c r="C310" i="3" s="1"/>
  <c r="I768" i="1"/>
  <c r="C939" i="3" s="1"/>
  <c r="I769" i="1"/>
  <c r="C313" i="3" s="1"/>
  <c r="I770" i="1"/>
  <c r="C162" i="3" s="1"/>
  <c r="I771" i="1"/>
  <c r="C203" i="3" s="1"/>
  <c r="I772" i="1"/>
  <c r="C548" i="3" s="1"/>
  <c r="I773" i="1"/>
  <c r="C160" i="3" s="1"/>
  <c r="I774" i="1"/>
  <c r="C942" i="3" s="1"/>
  <c r="I775" i="1"/>
  <c r="C791" i="3" s="1"/>
  <c r="I776" i="1"/>
  <c r="C901" i="3" s="1"/>
  <c r="I777" i="1"/>
  <c r="C69" i="3" s="1"/>
  <c r="I778" i="1"/>
  <c r="C116" i="3" s="1"/>
  <c r="I779" i="1"/>
  <c r="C305" i="3" s="1"/>
  <c r="I780" i="1"/>
  <c r="C742" i="3" s="1"/>
  <c r="I781" i="1"/>
  <c r="C412" i="3" s="1"/>
  <c r="I782" i="1"/>
  <c r="C464" i="3" s="1"/>
  <c r="I783" i="1"/>
  <c r="C35" i="3" s="1"/>
  <c r="I784" i="1"/>
  <c r="C525" i="3" s="1"/>
  <c r="I785" i="1"/>
  <c r="C975" i="3" s="1"/>
  <c r="I786" i="1"/>
  <c r="C185" i="3" s="1"/>
  <c r="I787" i="1"/>
  <c r="C657" i="3" s="1"/>
  <c r="I788" i="1"/>
  <c r="C874" i="3" s="1"/>
  <c r="I789" i="1"/>
  <c r="C909" i="3" s="1"/>
  <c r="I790" i="1"/>
  <c r="C106" i="3" s="1"/>
  <c r="I791" i="1"/>
  <c r="C760" i="3" s="1"/>
  <c r="I792" i="1"/>
  <c r="C889" i="3" s="1"/>
  <c r="I793" i="1"/>
  <c r="C648" i="3" s="1"/>
  <c r="I794" i="1"/>
  <c r="C990" i="3" s="1"/>
  <c r="I795" i="1"/>
  <c r="C848" i="3" s="1"/>
  <c r="I796" i="1"/>
  <c r="C153" i="3" s="1"/>
  <c r="I797" i="1"/>
  <c r="C183" i="3" s="1"/>
  <c r="I798" i="1"/>
  <c r="C708" i="3" s="1"/>
  <c r="I799" i="1"/>
  <c r="C440" i="3" s="1"/>
  <c r="I800" i="1"/>
  <c r="C603" i="3" s="1"/>
  <c r="I801" i="1"/>
  <c r="C55" i="3" s="1"/>
  <c r="I802" i="1"/>
  <c r="C550" i="3" s="1"/>
  <c r="I803" i="1"/>
  <c r="C447" i="3" s="1"/>
  <c r="I804" i="1"/>
  <c r="C519" i="3" s="1"/>
  <c r="I805" i="1"/>
  <c r="C245" i="3" s="1"/>
  <c r="I806" i="1"/>
  <c r="C906" i="3" s="1"/>
  <c r="I807" i="1"/>
  <c r="C741" i="3" s="1"/>
  <c r="I808" i="1"/>
  <c r="C421" i="3" s="1"/>
  <c r="I809" i="1"/>
  <c r="C110" i="3" s="1"/>
  <c r="I810" i="1"/>
  <c r="C314" i="3" s="1"/>
  <c r="I811" i="1"/>
  <c r="C375" i="3" s="1"/>
  <c r="I812" i="1"/>
  <c r="C970" i="3" s="1"/>
  <c r="I813" i="1"/>
  <c r="C223" i="3" s="1"/>
  <c r="I814" i="1"/>
  <c r="C558" i="3" s="1"/>
  <c r="I815" i="1"/>
  <c r="C762" i="3" s="1"/>
  <c r="I816" i="1"/>
  <c r="C916" i="3" s="1"/>
  <c r="I817" i="1"/>
  <c r="C585" i="3" s="1"/>
  <c r="I818" i="1"/>
  <c r="C413" i="3" s="1"/>
  <c r="I819" i="1"/>
  <c r="C175" i="3" s="1"/>
  <c r="I820" i="1"/>
  <c r="C919" i="3" s="1"/>
  <c r="I821" i="1"/>
  <c r="C518" i="3" s="1"/>
  <c r="I822" i="1"/>
  <c r="C289" i="3" s="1"/>
  <c r="I823" i="1"/>
  <c r="C774" i="3" s="1"/>
  <c r="I824" i="1"/>
  <c r="C594" i="3" s="1"/>
  <c r="I825" i="1"/>
  <c r="C943" i="3" s="1"/>
  <c r="I826" i="1"/>
  <c r="C1001" i="3" s="1"/>
  <c r="I827" i="1"/>
  <c r="C992" i="3" s="1"/>
  <c r="I828" i="1"/>
  <c r="C993" i="3" s="1"/>
  <c r="I829" i="1"/>
  <c r="C853" i="3" s="1"/>
  <c r="I830" i="1"/>
  <c r="C270" i="3" s="1"/>
  <c r="I831" i="1"/>
  <c r="C278" i="3" s="1"/>
  <c r="I832" i="1"/>
  <c r="C157" i="3" s="1"/>
  <c r="I833" i="1"/>
  <c r="C165" i="3" s="1"/>
  <c r="I834" i="1"/>
  <c r="C679" i="3" s="1"/>
  <c r="I835" i="1"/>
  <c r="C997" i="3" s="1"/>
  <c r="I836" i="1"/>
  <c r="C785" i="3" s="1"/>
  <c r="I837" i="1"/>
  <c r="C98" i="3" s="1"/>
  <c r="I838" i="1"/>
  <c r="C635" i="3" s="1"/>
  <c r="I839" i="1"/>
  <c r="C229" i="3" s="1"/>
  <c r="I840" i="1"/>
  <c r="C417" i="3" s="1"/>
  <c r="I841" i="1"/>
  <c r="C54" i="3" s="1"/>
  <c r="I842" i="1"/>
  <c r="C569" i="3" s="1"/>
  <c r="I843" i="1"/>
  <c r="C884" i="3" s="1"/>
  <c r="I844" i="1"/>
  <c r="C783" i="3" s="1"/>
  <c r="I845" i="1"/>
  <c r="C873" i="3" s="1"/>
  <c r="I846" i="1"/>
  <c r="C171" i="3" s="1"/>
  <c r="I847" i="1"/>
  <c r="C167" i="3" s="1"/>
  <c r="I848" i="1"/>
  <c r="C189" i="3" s="1"/>
  <c r="I849" i="1"/>
  <c r="C928" i="3" s="1"/>
  <c r="I850" i="1"/>
  <c r="C898" i="3" s="1"/>
  <c r="I851" i="1"/>
  <c r="C349" i="3" s="1"/>
  <c r="I852" i="1"/>
  <c r="C897" i="3" s="1"/>
  <c r="I853" i="1"/>
  <c r="C86" i="3" s="1"/>
  <c r="I854" i="1"/>
  <c r="C317" i="3" s="1"/>
  <c r="I855" i="1"/>
  <c r="C954" i="3" s="1"/>
  <c r="I856" i="1"/>
  <c r="C701" i="3" s="1"/>
  <c r="I857" i="1"/>
  <c r="C501" i="3" s="1"/>
  <c r="I858" i="1"/>
  <c r="C538" i="3" s="1"/>
  <c r="I859" i="1"/>
  <c r="C527" i="3" s="1"/>
  <c r="I860" i="1"/>
  <c r="C978" i="3" s="1"/>
  <c r="I861" i="1"/>
  <c r="C458" i="3" s="1"/>
  <c r="I862" i="1"/>
  <c r="C733" i="3" s="1"/>
  <c r="I863" i="1"/>
  <c r="C6" i="3" s="1"/>
  <c r="I864" i="1"/>
  <c r="C384" i="3" s="1"/>
  <c r="I865" i="1"/>
  <c r="C800" i="3" s="1"/>
  <c r="I866" i="1"/>
  <c r="C560" i="3" s="1"/>
  <c r="I867" i="1"/>
  <c r="C144" i="3" s="1"/>
  <c r="I868" i="1"/>
  <c r="C132" i="3" s="1"/>
  <c r="I869" i="1"/>
  <c r="C533" i="3" s="1"/>
  <c r="I870" i="1"/>
  <c r="C117" i="3" s="1"/>
  <c r="I871" i="1"/>
  <c r="C79" i="3" s="1"/>
  <c r="I872" i="1"/>
  <c r="C123" i="3" s="1"/>
  <c r="I873" i="1"/>
  <c r="C304" i="3" s="1"/>
  <c r="I874" i="1"/>
  <c r="C836" i="3" s="1"/>
  <c r="I875" i="1"/>
  <c r="C619" i="3" s="1"/>
  <c r="I876" i="1"/>
  <c r="C984" i="3" s="1"/>
  <c r="I877" i="1"/>
  <c r="C535" i="3" s="1"/>
  <c r="I878" i="1"/>
  <c r="C779" i="3" s="1"/>
  <c r="I879" i="1"/>
  <c r="C244" i="3" s="1"/>
  <c r="I880" i="1"/>
  <c r="C367" i="3" s="1"/>
  <c r="I881" i="1"/>
  <c r="C868" i="3" s="1"/>
  <c r="I882" i="1"/>
  <c r="C192" i="3" s="1"/>
  <c r="I883" i="1"/>
  <c r="C283" i="3" s="1"/>
  <c r="I884" i="1"/>
  <c r="C387" i="3" s="1"/>
  <c r="I885" i="1"/>
  <c r="C308" i="3" s="1"/>
  <c r="I886" i="1"/>
  <c r="C773" i="3" s="1"/>
  <c r="I887" i="1"/>
  <c r="C713" i="3" s="1"/>
  <c r="I888" i="1"/>
  <c r="C271" i="3" s="1"/>
  <c r="I889" i="1"/>
  <c r="C893" i="3" s="1"/>
  <c r="I890" i="1"/>
  <c r="C573" i="3" s="1"/>
  <c r="I891" i="1"/>
  <c r="C111" i="3" s="1"/>
  <c r="I892" i="1"/>
  <c r="C510" i="3" s="1"/>
  <c r="I893" i="1"/>
  <c r="C478" i="3" s="1"/>
  <c r="I894" i="1"/>
  <c r="C457" i="3" s="1"/>
  <c r="I895" i="1"/>
  <c r="C841" i="3" s="1"/>
  <c r="I896" i="1"/>
  <c r="C428" i="3" s="1"/>
  <c r="I897" i="1"/>
  <c r="C362" i="3" s="1"/>
  <c r="I898" i="1"/>
  <c r="C623" i="3" s="1"/>
  <c r="I899" i="1"/>
  <c r="C854" i="3" s="1"/>
  <c r="I900" i="1"/>
  <c r="C963" i="3" s="1"/>
  <c r="I901" i="1"/>
  <c r="C564" i="3" s="1"/>
  <c r="I902" i="1"/>
  <c r="C612" i="3" s="1"/>
  <c r="I903" i="1"/>
  <c r="C346" i="3" s="1"/>
  <c r="I904" i="1"/>
  <c r="C184" i="3" s="1"/>
  <c r="I905" i="1"/>
  <c r="C188" i="3" s="1"/>
  <c r="I906" i="1"/>
  <c r="C945" i="3" s="1"/>
  <c r="I907" i="1"/>
  <c r="C655" i="3" s="1"/>
  <c r="I908" i="1"/>
  <c r="C765" i="3" s="1"/>
  <c r="I909" i="1"/>
  <c r="C143" i="3" s="1"/>
  <c r="I910" i="1"/>
  <c r="C37" i="3" s="1"/>
  <c r="I911" i="1"/>
  <c r="C45" i="3" s="1"/>
  <c r="I912" i="1"/>
  <c r="C360" i="3" s="1"/>
  <c r="I913" i="1"/>
  <c r="C197" i="3" s="1"/>
  <c r="I914" i="1"/>
  <c r="C303" i="3" s="1"/>
  <c r="I915" i="1"/>
  <c r="C274" i="3" s="1"/>
  <c r="I916" i="1"/>
  <c r="C27" i="3" s="1"/>
  <c r="I917" i="1"/>
  <c r="C707" i="3" s="1"/>
  <c r="I918" i="1"/>
  <c r="C402" i="3" s="1"/>
  <c r="I919" i="1"/>
  <c r="C618" i="3" s="1"/>
  <c r="I920" i="1"/>
  <c r="C379" i="3" s="1"/>
  <c r="I921" i="1"/>
  <c r="C176" i="3" s="1"/>
  <c r="I922" i="1"/>
  <c r="C878" i="3" s="1"/>
  <c r="I923" i="1"/>
  <c r="C287" i="3" s="1"/>
  <c r="I924" i="1"/>
  <c r="C286" i="3" s="1"/>
  <c r="I925" i="1"/>
  <c r="C299" i="3" s="1"/>
  <c r="I926" i="1"/>
  <c r="C61" i="3" s="1"/>
  <c r="I927" i="1"/>
  <c r="C282" i="3" s="1"/>
  <c r="I928" i="1"/>
  <c r="C835" i="3" s="1"/>
  <c r="I929" i="1"/>
  <c r="C1000" i="3" s="1"/>
  <c r="I930" i="1"/>
  <c r="C208" i="3" s="1"/>
  <c r="I931" i="1"/>
  <c r="C936" i="3" s="1"/>
  <c r="I932" i="1"/>
  <c r="C574" i="3" s="1"/>
  <c r="I933" i="1"/>
  <c r="C944" i="3" s="1"/>
  <c r="I934" i="1"/>
  <c r="C477" i="3" s="1"/>
  <c r="I935" i="1"/>
  <c r="C716" i="3" s="1"/>
  <c r="I936" i="1"/>
  <c r="C568" i="3" s="1"/>
  <c r="I937" i="1"/>
  <c r="C850" i="3" s="1"/>
  <c r="I938" i="1"/>
  <c r="C432" i="3" s="1"/>
  <c r="I939" i="1"/>
  <c r="C971" i="3" s="1"/>
  <c r="I940" i="1"/>
  <c r="C359" i="3" s="1"/>
  <c r="I941" i="1"/>
  <c r="C662" i="3" s="1"/>
  <c r="I942" i="1"/>
  <c r="C593" i="3" s="1"/>
  <c r="I943" i="1"/>
  <c r="C582" i="3" s="1"/>
  <c r="I944" i="1"/>
  <c r="C543" i="3" s="1"/>
  <c r="I945" i="1"/>
  <c r="C382" i="3" s="1"/>
  <c r="I946" i="1"/>
  <c r="C122" i="3" s="1"/>
  <c r="I947" i="1"/>
  <c r="C886" i="3" s="1"/>
  <c r="I948" i="1"/>
  <c r="C517" i="3" s="1"/>
  <c r="I949" i="1"/>
  <c r="C587" i="3" s="1"/>
  <c r="I950" i="1"/>
  <c r="C805" i="3" s="1"/>
  <c r="I951" i="1"/>
  <c r="C870" i="3" s="1"/>
  <c r="I952" i="1"/>
  <c r="C480" i="3" s="1"/>
  <c r="I953" i="1"/>
  <c r="C391" i="3" s="1"/>
  <c r="I954" i="1"/>
  <c r="C351" i="3" s="1"/>
  <c r="I955" i="1"/>
  <c r="C41" i="3" s="1"/>
  <c r="I956" i="1"/>
  <c r="C872" i="3" s="1"/>
  <c r="I957" i="1"/>
  <c r="C828" i="3" s="1"/>
  <c r="I958" i="1"/>
  <c r="C94" i="3" s="1"/>
  <c r="I959" i="1"/>
  <c r="C676" i="3" s="1"/>
  <c r="I960" i="1"/>
  <c r="C142" i="3" s="1"/>
  <c r="I961" i="1"/>
  <c r="C964" i="3" s="1"/>
  <c r="I962" i="1"/>
  <c r="C181" i="3" s="1"/>
  <c r="I963" i="1"/>
  <c r="C948" i="3" s="1"/>
  <c r="I964" i="1"/>
  <c r="C616" i="3" s="1"/>
  <c r="I965" i="1"/>
  <c r="C544" i="3" s="1"/>
  <c r="I966" i="1"/>
  <c r="C39" i="3" s="1"/>
  <c r="I967" i="1"/>
  <c r="C394" i="3" s="1"/>
  <c r="I968" i="1"/>
  <c r="C419" i="3" s="1"/>
  <c r="I969" i="1"/>
  <c r="C636" i="3" s="1"/>
  <c r="I970" i="1"/>
  <c r="C852" i="3" s="1"/>
  <c r="I971" i="1"/>
  <c r="C292" i="3" s="1"/>
  <c r="I972" i="1"/>
  <c r="C794" i="3" s="1"/>
  <c r="I973" i="1"/>
  <c r="C726" i="3" s="1"/>
  <c r="I974" i="1"/>
  <c r="C894" i="3" s="1"/>
  <c r="I975" i="1"/>
  <c r="C658" i="3" s="1"/>
  <c r="I976" i="1"/>
  <c r="C434" i="3" s="1"/>
  <c r="I977" i="1"/>
  <c r="C199" i="3" s="1"/>
  <c r="I978" i="1"/>
  <c r="C575" i="3" s="1"/>
  <c r="I979" i="1"/>
  <c r="C74" i="3" s="1"/>
  <c r="I980" i="1"/>
  <c r="C822" i="3" s="1"/>
  <c r="I981" i="1"/>
  <c r="C433" i="3" s="1"/>
  <c r="I982" i="1"/>
  <c r="C309" i="3" s="1"/>
  <c r="I983" i="1"/>
  <c r="C842" i="3" s="1"/>
  <c r="I984" i="1"/>
  <c r="C524" i="3" s="1"/>
  <c r="I985" i="1"/>
  <c r="C268" i="3" s="1"/>
  <c r="I986" i="1"/>
  <c r="C328" i="3" s="1"/>
  <c r="I987" i="1"/>
  <c r="C5" i="3" s="1"/>
  <c r="I988" i="1"/>
  <c r="C840" i="3" s="1"/>
  <c r="I989" i="1"/>
  <c r="C660" i="3" s="1"/>
  <c r="I990" i="1"/>
  <c r="C914" i="3" s="1"/>
  <c r="I991" i="1"/>
  <c r="C595" i="3" s="1"/>
  <c r="I992" i="1"/>
  <c r="C962" i="3" s="1"/>
  <c r="I993" i="1"/>
  <c r="C53" i="3" s="1"/>
  <c r="I994" i="1"/>
  <c r="C226" i="3" s="1"/>
  <c r="I995" i="1"/>
  <c r="C368" i="3" s="1"/>
  <c r="I996" i="1"/>
  <c r="C678" i="3" s="1"/>
  <c r="I997" i="1"/>
  <c r="C101" i="3" s="1"/>
  <c r="I998" i="1"/>
  <c r="C839" i="3" s="1"/>
  <c r="I999" i="1"/>
  <c r="C599" i="3" s="1"/>
  <c r="I1000" i="1"/>
  <c r="C370" i="3" s="1"/>
  <c r="I1001" i="1"/>
  <c r="C620" i="3" s="1"/>
  <c r="I2" i="1"/>
  <c r="C221" i="3" s="1"/>
  <c r="AG27" i="1"/>
  <c r="AG26" i="1"/>
  <c r="AG25" i="1"/>
  <c r="AG23" i="1"/>
  <c r="AG22" i="1"/>
  <c r="AG21" i="1"/>
  <c r="L997" i="1" l="1"/>
  <c r="D101" i="3"/>
  <c r="L947" i="1"/>
  <c r="D886" i="3"/>
  <c r="L899" i="1"/>
  <c r="D854" i="3"/>
  <c r="L850" i="1"/>
  <c r="D898" i="3"/>
  <c r="L794" i="1"/>
  <c r="D990" i="3"/>
  <c r="L728" i="1"/>
  <c r="D12" i="3"/>
  <c r="L646" i="1"/>
  <c r="D333" i="3"/>
  <c r="L501" i="1"/>
  <c r="D547" i="3"/>
  <c r="L32" i="1"/>
  <c r="D923" i="3"/>
  <c r="L999" i="1"/>
  <c r="D599" i="3"/>
  <c r="L991" i="1"/>
  <c r="D595" i="3"/>
  <c r="L982" i="1"/>
  <c r="D309" i="3"/>
  <c r="L974" i="1"/>
  <c r="D894" i="3"/>
  <c r="L966" i="1"/>
  <c r="D39" i="3"/>
  <c r="L958" i="1"/>
  <c r="D94" i="3"/>
  <c r="L950" i="1"/>
  <c r="D805" i="3"/>
  <c r="L941" i="1"/>
  <c r="D662" i="3"/>
  <c r="L933" i="1"/>
  <c r="D944" i="3"/>
  <c r="L925" i="1"/>
  <c r="D299" i="3"/>
  <c r="L917" i="1"/>
  <c r="D707" i="3"/>
  <c r="L909" i="1"/>
  <c r="D143" i="3"/>
  <c r="L901" i="1"/>
  <c r="D564" i="3"/>
  <c r="L892" i="1"/>
  <c r="D510" i="3"/>
  <c r="L884" i="1"/>
  <c r="D387" i="3"/>
  <c r="L876" i="1"/>
  <c r="D984" i="3"/>
  <c r="L868" i="1"/>
  <c r="D132" i="3"/>
  <c r="L860" i="1"/>
  <c r="D978" i="3"/>
  <c r="L852" i="1"/>
  <c r="D897" i="3"/>
  <c r="L844" i="1"/>
  <c r="D783" i="3"/>
  <c r="L836" i="1"/>
  <c r="D785" i="3"/>
  <c r="L828" i="1"/>
  <c r="D993" i="3"/>
  <c r="L820" i="1"/>
  <c r="D919" i="3"/>
  <c r="L812" i="1"/>
  <c r="D970" i="3"/>
  <c r="L804" i="1"/>
  <c r="D519" i="3"/>
  <c r="L796" i="1"/>
  <c r="D153" i="3"/>
  <c r="L788" i="1"/>
  <c r="D874" i="3"/>
  <c r="L779" i="1"/>
  <c r="D305" i="3"/>
  <c r="L771" i="1"/>
  <c r="D203" i="3"/>
  <c r="L763" i="1"/>
  <c r="D238" i="3"/>
  <c r="L755" i="1"/>
  <c r="D231" i="3"/>
  <c r="L746" i="1"/>
  <c r="D191" i="3"/>
  <c r="L738" i="1"/>
  <c r="D902" i="3"/>
  <c r="L730" i="1"/>
  <c r="D179" i="3"/>
  <c r="L722" i="1"/>
  <c r="D222" i="3"/>
  <c r="L714" i="1"/>
  <c r="D50" i="3"/>
  <c r="L705" i="1"/>
  <c r="D646" i="3"/>
  <c r="L697" i="1"/>
  <c r="D571" i="3"/>
  <c r="L689" i="1"/>
  <c r="D715" i="3"/>
  <c r="L681" i="1"/>
  <c r="D790" i="3"/>
  <c r="L673" i="1"/>
  <c r="D789" i="3"/>
  <c r="L665" i="1"/>
  <c r="D44" i="3"/>
  <c r="L657" i="1"/>
  <c r="D30" i="3"/>
  <c r="L649" i="1"/>
  <c r="D266" i="3"/>
  <c r="L640" i="1"/>
  <c r="D77" i="3"/>
  <c r="L632" i="1"/>
  <c r="D998" i="3"/>
  <c r="L623" i="1"/>
  <c r="D96" i="3"/>
  <c r="L615" i="1"/>
  <c r="D772" i="3"/>
  <c r="L607" i="1"/>
  <c r="D960" i="3"/>
  <c r="L599" i="1"/>
  <c r="D331" i="3"/>
  <c r="L591" i="1"/>
  <c r="D626" i="3"/>
  <c r="L583" i="1"/>
  <c r="D403" i="3"/>
  <c r="L575" i="1"/>
  <c r="D104" i="3"/>
  <c r="L567" i="1"/>
  <c r="D470" i="3"/>
  <c r="L559" i="1"/>
  <c r="D515" i="3"/>
  <c r="L551" i="1"/>
  <c r="D810" i="3"/>
  <c r="L543" i="1"/>
  <c r="D502" i="3"/>
  <c r="L535" i="1"/>
  <c r="D505" i="3"/>
  <c r="L527" i="1"/>
  <c r="D385" i="3"/>
  <c r="L519" i="1"/>
  <c r="D435" i="3"/>
  <c r="L511" i="1"/>
  <c r="D204" i="3"/>
  <c r="L503" i="1"/>
  <c r="D731" i="3"/>
  <c r="L495" i="1"/>
  <c r="D149" i="3"/>
  <c r="L487" i="1"/>
  <c r="D520" i="3"/>
  <c r="L477" i="1"/>
  <c r="D754" i="3"/>
  <c r="L469" i="1"/>
  <c r="D499" i="3"/>
  <c r="L460" i="1"/>
  <c r="D526" i="3"/>
  <c r="L452" i="1"/>
  <c r="D630" i="3"/>
  <c r="L444" i="1"/>
  <c r="D757" i="3"/>
  <c r="L436" i="1"/>
  <c r="D821" i="3"/>
  <c r="L428" i="1"/>
  <c r="D644" i="3"/>
  <c r="L420" i="1"/>
  <c r="D628" i="3"/>
  <c r="L412" i="1"/>
  <c r="D262" i="3"/>
  <c r="L403" i="1"/>
  <c r="D617" i="3"/>
  <c r="L395" i="1"/>
  <c r="D752" i="3"/>
  <c r="L387" i="1"/>
  <c r="D31" i="3"/>
  <c r="L378" i="1"/>
  <c r="D273" i="3"/>
  <c r="L369" i="1"/>
  <c r="D759" i="3"/>
  <c r="L360" i="1"/>
  <c r="D931" i="3"/>
  <c r="L352" i="1"/>
  <c r="D325" i="3"/>
  <c r="L344" i="1"/>
  <c r="D920" i="3"/>
  <c r="L336" i="1"/>
  <c r="D967" i="3"/>
  <c r="L328" i="1"/>
  <c r="D781" i="3"/>
  <c r="L320" i="1"/>
  <c r="D136" i="3"/>
  <c r="L311" i="1"/>
  <c r="D411" i="3"/>
  <c r="L303" i="1"/>
  <c r="D640" i="3"/>
  <c r="L294" i="1"/>
  <c r="D290" i="3"/>
  <c r="L286" i="1"/>
  <c r="D131" i="3"/>
  <c r="L278" i="1"/>
  <c r="D425" i="3"/>
  <c r="L269" i="1"/>
  <c r="D930" i="3"/>
  <c r="L261" i="1"/>
  <c r="D272" i="3"/>
  <c r="L253" i="1"/>
  <c r="D439" i="3"/>
  <c r="L245" i="1"/>
  <c r="D995" i="3"/>
  <c r="L237" i="1"/>
  <c r="D177" i="3"/>
  <c r="L229" i="1"/>
  <c r="D158" i="3"/>
  <c r="L221" i="1"/>
  <c r="D607" i="3"/>
  <c r="L211" i="1"/>
  <c r="D342" i="3"/>
  <c r="L203" i="1"/>
  <c r="D138" i="3"/>
  <c r="L195" i="1"/>
  <c r="D60" i="3"/>
  <c r="L187" i="1"/>
  <c r="D481" i="3"/>
  <c r="L179" i="1"/>
  <c r="D354" i="3"/>
  <c r="L170" i="1"/>
  <c r="D4" i="3"/>
  <c r="L161" i="1"/>
  <c r="D996" i="3"/>
  <c r="L153" i="1"/>
  <c r="D801" i="3"/>
  <c r="L144" i="1"/>
  <c r="D395" i="3"/>
  <c r="L136" i="1"/>
  <c r="D406" i="3"/>
  <c r="L127" i="1"/>
  <c r="D294" i="3"/>
  <c r="L119" i="1"/>
  <c r="D824" i="3"/>
  <c r="L111" i="1"/>
  <c r="D372" i="3"/>
  <c r="L103" i="1"/>
  <c r="D254" i="3"/>
  <c r="L94" i="1"/>
  <c r="D195" i="3"/>
  <c r="L86" i="1"/>
  <c r="D25" i="3"/>
  <c r="L77" i="1"/>
  <c r="D724" i="3"/>
  <c r="L68" i="1"/>
  <c r="D388" i="3"/>
  <c r="L60" i="1"/>
  <c r="D912" i="3"/>
  <c r="L51" i="1"/>
  <c r="D798" i="3"/>
  <c r="L43" i="1"/>
  <c r="D972" i="3"/>
  <c r="L34" i="1"/>
  <c r="D381" i="3"/>
  <c r="L26" i="1"/>
  <c r="D161" i="3"/>
  <c r="L17" i="1"/>
  <c r="D472" i="3"/>
  <c r="L9" i="1"/>
  <c r="D446" i="3"/>
  <c r="L964" i="1"/>
  <c r="D616" i="3"/>
  <c r="L923" i="1"/>
  <c r="D287" i="3"/>
  <c r="L874" i="1"/>
  <c r="D836" i="3"/>
  <c r="L834" i="1"/>
  <c r="D679" i="3"/>
  <c r="L786" i="1"/>
  <c r="D185" i="3"/>
  <c r="L744" i="1"/>
  <c r="D137" i="3"/>
  <c r="L703" i="1"/>
  <c r="D398" i="3"/>
  <c r="L671" i="1"/>
  <c r="D858" i="3"/>
  <c r="L630" i="1"/>
  <c r="D915" i="3"/>
  <c r="L589" i="1"/>
  <c r="D730" i="3"/>
  <c r="L549" i="1"/>
  <c r="D968" i="3"/>
  <c r="L442" i="1"/>
  <c r="D688" i="3"/>
  <c r="L58" i="1"/>
  <c r="D851" i="3"/>
  <c r="L998" i="1"/>
  <c r="D839" i="3"/>
  <c r="L990" i="1"/>
  <c r="D914" i="3"/>
  <c r="L981" i="1"/>
  <c r="D433" i="3"/>
  <c r="L973" i="1"/>
  <c r="D726" i="3"/>
  <c r="L965" i="1"/>
  <c r="D544" i="3"/>
  <c r="L957" i="1"/>
  <c r="D828" i="3"/>
  <c r="L949" i="1"/>
  <c r="D587" i="3"/>
  <c r="L940" i="1"/>
  <c r="D359" i="3"/>
  <c r="L932" i="1"/>
  <c r="D574" i="3"/>
  <c r="L924" i="1"/>
  <c r="D286" i="3"/>
  <c r="L916" i="1"/>
  <c r="D27" i="3"/>
  <c r="L908" i="1"/>
  <c r="D765" i="3"/>
  <c r="L900" i="1"/>
  <c r="D963" i="3"/>
  <c r="L891" i="1"/>
  <c r="D111" i="3"/>
  <c r="L883" i="1"/>
  <c r="D283" i="3"/>
  <c r="L875" i="1"/>
  <c r="D619" i="3"/>
  <c r="L867" i="1"/>
  <c r="D144" i="3"/>
  <c r="L859" i="1"/>
  <c r="D527" i="3"/>
  <c r="L851" i="1"/>
  <c r="D349" i="3"/>
  <c r="L843" i="1"/>
  <c r="D884" i="3"/>
  <c r="L835" i="1"/>
  <c r="D997" i="3"/>
  <c r="L827" i="1"/>
  <c r="D992" i="3"/>
  <c r="L819" i="1"/>
  <c r="D175" i="3"/>
  <c r="L811" i="1"/>
  <c r="D375" i="3"/>
  <c r="L803" i="1"/>
  <c r="D447" i="3"/>
  <c r="L795" i="1"/>
  <c r="D848" i="3"/>
  <c r="L787" i="1"/>
  <c r="D657" i="3"/>
  <c r="L778" i="1"/>
  <c r="D116" i="3"/>
  <c r="L770" i="1"/>
  <c r="D162" i="3"/>
  <c r="L762" i="1"/>
  <c r="D14" i="3"/>
  <c r="L754" i="1"/>
  <c r="D900" i="3"/>
  <c r="L745" i="1"/>
  <c r="D738" i="3"/>
  <c r="L737" i="1"/>
  <c r="D663" i="3"/>
  <c r="L729" i="1"/>
  <c r="D10" i="3"/>
  <c r="L721" i="1"/>
  <c r="D261" i="3"/>
  <c r="L713" i="1"/>
  <c r="D71" i="3"/>
  <c r="L704" i="1"/>
  <c r="D389" i="3"/>
  <c r="L696" i="1"/>
  <c r="D193" i="3"/>
  <c r="L688" i="1"/>
  <c r="D862" i="3"/>
  <c r="L680" i="1"/>
  <c r="D315" i="3"/>
  <c r="L672" i="1"/>
  <c r="D812" i="3"/>
  <c r="L664" i="1"/>
  <c r="D450" i="3"/>
  <c r="L656" i="1"/>
  <c r="D737" i="3"/>
  <c r="L647" i="1"/>
  <c r="D890" i="3"/>
  <c r="L639" i="1"/>
  <c r="D361" i="3"/>
  <c r="L631" i="1"/>
  <c r="D2" i="3"/>
  <c r="L622" i="1"/>
  <c r="D918" i="3"/>
  <c r="L614" i="1"/>
  <c r="D247" i="3"/>
  <c r="L606" i="1"/>
  <c r="D239" i="3"/>
  <c r="L598" i="1"/>
  <c r="D633" i="3"/>
  <c r="L590" i="1"/>
  <c r="D301" i="3"/>
  <c r="L582" i="1"/>
  <c r="D545" i="3"/>
  <c r="L574" i="1"/>
  <c r="D751" i="3"/>
  <c r="L566" i="1"/>
  <c r="D33" i="3"/>
  <c r="L558" i="1"/>
  <c r="D814" i="3"/>
  <c r="L550" i="1"/>
  <c r="D926" i="3"/>
  <c r="L542" i="1"/>
  <c r="D775" i="3"/>
  <c r="L534" i="1"/>
  <c r="D940" i="3"/>
  <c r="L526" i="1"/>
  <c r="D253" i="3"/>
  <c r="L518" i="1"/>
  <c r="D621" i="3"/>
  <c r="L510" i="1"/>
  <c r="D87" i="3"/>
  <c r="L502" i="1"/>
  <c r="D139" i="3"/>
  <c r="L494" i="1"/>
  <c r="D295" i="3"/>
  <c r="L486" i="1"/>
  <c r="D747" i="3"/>
  <c r="L476" i="1"/>
  <c r="D462" i="3"/>
  <c r="L468" i="1"/>
  <c r="D559" i="3"/>
  <c r="L459" i="1"/>
  <c r="D418" i="3"/>
  <c r="L451" i="1"/>
  <c r="D168" i="3"/>
  <c r="L443" i="1"/>
  <c r="D448" i="3"/>
  <c r="L435" i="1"/>
  <c r="D656" i="3"/>
  <c r="L427" i="1"/>
  <c r="D643" i="3"/>
  <c r="L419" i="1"/>
  <c r="D240" i="3"/>
  <c r="L411" i="1"/>
  <c r="D982" i="3"/>
  <c r="L402" i="1"/>
  <c r="D924" i="3"/>
  <c r="L394" i="1"/>
  <c r="D597" i="3"/>
  <c r="L386" i="1"/>
  <c r="D562" i="3"/>
  <c r="L377" i="1"/>
  <c r="D891" i="3"/>
  <c r="L367" i="1"/>
  <c r="D531" i="3"/>
  <c r="L359" i="1"/>
  <c r="D207" i="3"/>
  <c r="L351" i="1"/>
  <c r="D269" i="3"/>
  <c r="L343" i="1"/>
  <c r="D180" i="3"/>
  <c r="L335" i="1"/>
  <c r="D710" i="3"/>
  <c r="L327" i="1"/>
  <c r="D59" i="3"/>
  <c r="L319" i="1"/>
  <c r="D732" i="3"/>
  <c r="L310" i="1"/>
  <c r="D133" i="3"/>
  <c r="L302" i="1"/>
  <c r="D376" i="3"/>
  <c r="L293" i="1"/>
  <c r="D817" i="3"/>
  <c r="L285" i="1"/>
  <c r="D202" i="3"/>
  <c r="L277" i="1"/>
  <c r="D844" i="3"/>
  <c r="L268" i="1"/>
  <c r="D260" i="3"/>
  <c r="L260" i="1"/>
  <c r="D610" i="3"/>
  <c r="L252" i="1"/>
  <c r="D449" i="3"/>
  <c r="L244" i="1"/>
  <c r="D976" i="3"/>
  <c r="L236" i="1"/>
  <c r="D903" i="3"/>
  <c r="L228" i="1"/>
  <c r="D786" i="3"/>
  <c r="L220" i="1"/>
  <c r="D736" i="3"/>
  <c r="L210" i="1"/>
  <c r="D642" i="3"/>
  <c r="L202" i="1"/>
  <c r="D869" i="3"/>
  <c r="L194" i="1"/>
  <c r="D507" i="3"/>
  <c r="L186" i="1"/>
  <c r="D753" i="3"/>
  <c r="L178" i="1"/>
  <c r="D338" i="3"/>
  <c r="L169" i="1"/>
  <c r="D766" i="3"/>
  <c r="L160" i="1"/>
  <c r="D469" i="3"/>
  <c r="L151" i="1"/>
  <c r="D602" i="3"/>
  <c r="L143" i="1"/>
  <c r="D682" i="3"/>
  <c r="L134" i="1"/>
  <c r="D259" i="3"/>
  <c r="L126" i="1"/>
  <c r="D668" i="3"/>
  <c r="L118" i="1"/>
  <c r="D97" i="3"/>
  <c r="L110" i="1"/>
  <c r="D899" i="3"/>
  <c r="L102" i="1"/>
  <c r="D666" i="3"/>
  <c r="L93" i="1"/>
  <c r="D93" i="3"/>
  <c r="L85" i="1"/>
  <c r="D659" i="3"/>
  <c r="L76" i="1"/>
  <c r="D632" i="3"/>
  <c r="L67" i="1"/>
  <c r="D673" i="3"/>
  <c r="L59" i="1"/>
  <c r="D578" i="3"/>
  <c r="L50" i="1"/>
  <c r="D864" i="3"/>
  <c r="L42" i="1"/>
  <c r="D23" i="3"/>
  <c r="L33" i="1"/>
  <c r="D586" i="3"/>
  <c r="L25" i="1"/>
  <c r="D246" i="3"/>
  <c r="L16" i="1"/>
  <c r="D263" i="3"/>
  <c r="L8" i="1"/>
  <c r="D211" i="3"/>
  <c r="L972" i="1"/>
  <c r="D794" i="3"/>
  <c r="L915" i="1"/>
  <c r="D274" i="3"/>
  <c r="L858" i="1"/>
  <c r="D538" i="3"/>
  <c r="L810" i="1"/>
  <c r="D314" i="3"/>
  <c r="L752" i="1"/>
  <c r="D513" i="3"/>
  <c r="L695" i="1"/>
  <c r="D797" i="3"/>
  <c r="L621" i="1"/>
  <c r="D443" i="3"/>
  <c r="L493" i="1"/>
  <c r="D704" i="3"/>
  <c r="L41" i="1"/>
  <c r="D11" i="3"/>
  <c r="L996" i="1"/>
  <c r="D678" i="3"/>
  <c r="L988" i="1"/>
  <c r="D840" i="3"/>
  <c r="L979" i="1"/>
  <c r="D74" i="3"/>
  <c r="L971" i="1"/>
  <c r="D292" i="3"/>
  <c r="L963" i="1"/>
  <c r="D948" i="3"/>
  <c r="L955" i="1"/>
  <c r="D41" i="3"/>
  <c r="L946" i="1"/>
  <c r="D122" i="3"/>
  <c r="L938" i="1"/>
  <c r="D432" i="3"/>
  <c r="L930" i="1"/>
  <c r="D208" i="3"/>
  <c r="L922" i="1"/>
  <c r="D878" i="3"/>
  <c r="L914" i="1"/>
  <c r="D303" i="3"/>
  <c r="L906" i="1"/>
  <c r="D945" i="3"/>
  <c r="L898" i="1"/>
  <c r="D623" i="3"/>
  <c r="L889" i="1"/>
  <c r="D893" i="3"/>
  <c r="L881" i="1"/>
  <c r="D868" i="3"/>
  <c r="L873" i="1"/>
  <c r="D304" i="3"/>
  <c r="L865" i="1"/>
  <c r="D800" i="3"/>
  <c r="L857" i="1"/>
  <c r="D501" i="3"/>
  <c r="L849" i="1"/>
  <c r="D928" i="3"/>
  <c r="L841" i="1"/>
  <c r="D54" i="3"/>
  <c r="L833" i="1"/>
  <c r="D165" i="3"/>
  <c r="L825" i="1"/>
  <c r="D943" i="3"/>
  <c r="L817" i="1"/>
  <c r="D585" i="3"/>
  <c r="L809" i="1"/>
  <c r="D110" i="3"/>
  <c r="L801" i="1"/>
  <c r="D55" i="3"/>
  <c r="L793" i="1"/>
  <c r="D648" i="3"/>
  <c r="L785" i="1"/>
  <c r="D975" i="3"/>
  <c r="L776" i="1"/>
  <c r="D901" i="3"/>
  <c r="L768" i="1"/>
  <c r="D939" i="3"/>
  <c r="L760" i="1"/>
  <c r="D744" i="3"/>
  <c r="L751" i="1"/>
  <c r="D56" i="3"/>
  <c r="L743" i="1"/>
  <c r="D383" i="3"/>
  <c r="L735" i="1"/>
  <c r="D734" i="3"/>
  <c r="L727" i="1"/>
  <c r="D532" i="3"/>
  <c r="L719" i="1"/>
  <c r="D689" i="3"/>
  <c r="L710" i="1"/>
  <c r="D631" i="3"/>
  <c r="L702" i="1"/>
  <c r="D350" i="3"/>
  <c r="L694" i="1"/>
  <c r="D740" i="3"/>
  <c r="L686" i="1"/>
  <c r="D698" i="3"/>
  <c r="L678" i="1"/>
  <c r="D109" i="3"/>
  <c r="L670" i="1"/>
  <c r="D778" i="3"/>
  <c r="L662" i="1"/>
  <c r="D629" i="3"/>
  <c r="L654" i="1"/>
  <c r="D466" i="3"/>
  <c r="L645" i="1"/>
  <c r="D81" i="3"/>
  <c r="L637" i="1"/>
  <c r="D647" i="3"/>
  <c r="L629" i="1"/>
  <c r="D935" i="3"/>
  <c r="L620" i="1"/>
  <c r="D768" i="3"/>
  <c r="L612" i="1"/>
  <c r="D182" i="3"/>
  <c r="L604" i="1"/>
  <c r="D684" i="3"/>
  <c r="L596" i="1"/>
  <c r="D135" i="3"/>
  <c r="L588" i="1"/>
  <c r="D806" i="3"/>
  <c r="L580" i="1"/>
  <c r="D498" i="3"/>
  <c r="L572" i="1"/>
  <c r="D431" i="3"/>
  <c r="L564" i="1"/>
  <c r="D699" i="3"/>
  <c r="L556" i="1"/>
  <c r="D341" i="3"/>
  <c r="L548" i="1"/>
  <c r="D983" i="3"/>
  <c r="L540" i="1"/>
  <c r="D953" i="3"/>
  <c r="L532" i="1"/>
  <c r="D816" i="3"/>
  <c r="L524" i="1"/>
  <c r="D637" i="3"/>
  <c r="L516" i="1"/>
  <c r="D717" i="3"/>
  <c r="L508" i="1"/>
  <c r="D952" i="3"/>
  <c r="L500" i="1"/>
  <c r="D937" i="3"/>
  <c r="L492" i="1"/>
  <c r="D444" i="3"/>
  <c r="L482" i="1"/>
  <c r="D29" i="3"/>
  <c r="L474" i="1"/>
  <c r="D625" i="3"/>
  <c r="L466" i="1"/>
  <c r="D297" i="3"/>
  <c r="L457" i="1"/>
  <c r="D956" i="3"/>
  <c r="L449" i="1"/>
  <c r="D921" i="3"/>
  <c r="L441" i="1"/>
  <c r="D856" i="3"/>
  <c r="L433" i="1"/>
  <c r="D529" i="3"/>
  <c r="L425" i="1"/>
  <c r="D324" i="3"/>
  <c r="L417" i="1"/>
  <c r="D452" i="3"/>
  <c r="L409" i="1"/>
  <c r="D252" i="3"/>
  <c r="L400" i="1"/>
  <c r="D236" i="3"/>
  <c r="L392" i="1"/>
  <c r="D319" i="3"/>
  <c r="L383" i="1"/>
  <c r="D555" i="3"/>
  <c r="L374" i="1"/>
  <c r="D397" i="3"/>
  <c r="L365" i="1"/>
  <c r="D410" i="3"/>
  <c r="L357" i="1"/>
  <c r="D52" i="3"/>
  <c r="L349" i="1"/>
  <c r="D905" i="3"/>
  <c r="L341" i="1"/>
  <c r="D256" i="3"/>
  <c r="L333" i="1"/>
  <c r="D42" i="3"/>
  <c r="L325" i="1"/>
  <c r="D320" i="3"/>
  <c r="L316" i="1"/>
  <c r="D552" i="3"/>
  <c r="L308" i="1"/>
  <c r="D829" i="3"/>
  <c r="L299" i="1"/>
  <c r="D977" i="3"/>
  <c r="L291" i="1"/>
  <c r="D422" i="3"/>
  <c r="L283" i="1"/>
  <c r="D321" i="3"/>
  <c r="L275" i="1"/>
  <c r="D653" i="3"/>
  <c r="L266" i="1"/>
  <c r="D596" i="3"/>
  <c r="L258" i="1"/>
  <c r="D78" i="3"/>
  <c r="L250" i="1"/>
  <c r="D693" i="3"/>
  <c r="L242" i="1"/>
  <c r="D672" i="3"/>
  <c r="L234" i="1"/>
  <c r="D994" i="3"/>
  <c r="L226" i="1"/>
  <c r="D7" i="3"/>
  <c r="L218" i="1"/>
  <c r="D64" i="3"/>
  <c r="L208" i="1"/>
  <c r="D380" i="3"/>
  <c r="L200" i="1"/>
  <c r="D279" i="3"/>
  <c r="L192" i="1"/>
  <c r="D965" i="3"/>
  <c r="L184" i="1"/>
  <c r="D581" i="3"/>
  <c r="L176" i="1"/>
  <c r="D787" i="3"/>
  <c r="L167" i="1"/>
  <c r="D763" i="3"/>
  <c r="L158" i="1"/>
  <c r="D445" i="3"/>
  <c r="L149" i="1"/>
  <c r="D641" i="3"/>
  <c r="L141" i="1"/>
  <c r="D756" i="3"/>
  <c r="L132" i="1"/>
  <c r="D408" i="3"/>
  <c r="L124" i="1"/>
  <c r="D311" i="3"/>
  <c r="L116" i="1"/>
  <c r="D43" i="3"/>
  <c r="L108" i="1"/>
  <c r="D67" i="3"/>
  <c r="L99" i="1"/>
  <c r="D591" i="3"/>
  <c r="L91" i="1"/>
  <c r="D729" i="3"/>
  <c r="L82" i="1"/>
  <c r="D695" i="3"/>
  <c r="L74" i="1"/>
  <c r="D539" i="3"/>
  <c r="L65" i="1"/>
  <c r="D66" i="3"/>
  <c r="L57" i="1"/>
  <c r="D267" i="3"/>
  <c r="L48" i="1"/>
  <c r="D357" i="3"/>
  <c r="L40" i="1"/>
  <c r="D467" i="3"/>
  <c r="L31" i="1"/>
  <c r="D504" i="3"/>
  <c r="L23" i="1"/>
  <c r="D251" i="3"/>
  <c r="L14" i="1"/>
  <c r="D75" i="3"/>
  <c r="L6" i="1"/>
  <c r="D190" i="3"/>
  <c r="L956" i="1"/>
  <c r="D872" i="3"/>
  <c r="L907" i="1"/>
  <c r="D655" i="3"/>
  <c r="L866" i="1"/>
  <c r="D560" i="3"/>
  <c r="L826" i="1"/>
  <c r="D1001" i="3"/>
  <c r="L777" i="1"/>
  <c r="D69" i="3"/>
  <c r="L736" i="1"/>
  <c r="D645" i="3"/>
  <c r="L687" i="1"/>
  <c r="D219" i="3"/>
  <c r="L655" i="1"/>
  <c r="D860" i="3"/>
  <c r="L605" i="1"/>
  <c r="D579" i="3"/>
  <c r="L581" i="1"/>
  <c r="D484" i="3"/>
  <c r="L557" i="1"/>
  <c r="D312" i="3"/>
  <c r="L525" i="1"/>
  <c r="D404" i="3"/>
  <c r="L485" i="1"/>
  <c r="D871" i="3"/>
  <c r="L450" i="1"/>
  <c r="D130" i="3"/>
  <c r="L418" i="1"/>
  <c r="D570" i="3"/>
  <c r="L393" i="1"/>
  <c r="D950" i="3"/>
  <c r="L375" i="1"/>
  <c r="D551" i="3"/>
  <c r="L350" i="1"/>
  <c r="D140" i="3"/>
  <c r="L326" i="1"/>
  <c r="D811" i="3"/>
  <c r="L292" i="1"/>
  <c r="D371" i="3"/>
  <c r="L259" i="1"/>
  <c r="D414" i="3"/>
  <c r="L227" i="1"/>
  <c r="D831" i="3"/>
  <c r="L177" i="1"/>
  <c r="D76" i="3"/>
  <c r="L24" i="1"/>
  <c r="D234" i="3"/>
  <c r="L995" i="1"/>
  <c r="D368" i="3"/>
  <c r="L987" i="1"/>
  <c r="D5" i="3"/>
  <c r="L978" i="1"/>
  <c r="D575" i="3"/>
  <c r="L970" i="1"/>
  <c r="D852" i="3"/>
  <c r="L962" i="1"/>
  <c r="D181" i="3"/>
  <c r="L954" i="1"/>
  <c r="D351" i="3"/>
  <c r="L945" i="1"/>
  <c r="D382" i="3"/>
  <c r="L937" i="1"/>
  <c r="D850" i="3"/>
  <c r="L929" i="1"/>
  <c r="D1000" i="3"/>
  <c r="L921" i="1"/>
  <c r="D176" i="3"/>
  <c r="L913" i="1"/>
  <c r="D197" i="3"/>
  <c r="L905" i="1"/>
  <c r="D188" i="3"/>
  <c r="L897" i="1"/>
  <c r="D362" i="3"/>
  <c r="L888" i="1"/>
  <c r="D271" i="3"/>
  <c r="L880" i="1"/>
  <c r="D367" i="3"/>
  <c r="L872" i="1"/>
  <c r="D123" i="3"/>
  <c r="L864" i="1"/>
  <c r="D384" i="3"/>
  <c r="L856" i="1"/>
  <c r="D701" i="3"/>
  <c r="L848" i="1"/>
  <c r="D189" i="3"/>
  <c r="L840" i="1"/>
  <c r="D417" i="3"/>
  <c r="L832" i="1"/>
  <c r="D157" i="3"/>
  <c r="L824" i="1"/>
  <c r="D594" i="3"/>
  <c r="L816" i="1"/>
  <c r="D916" i="3"/>
  <c r="L808" i="1"/>
  <c r="D421" i="3"/>
  <c r="L800" i="1"/>
  <c r="D603" i="3"/>
  <c r="L792" i="1"/>
  <c r="D889" i="3"/>
  <c r="L783" i="1"/>
  <c r="D35" i="3"/>
  <c r="L775" i="1"/>
  <c r="D791" i="3"/>
  <c r="L767" i="1"/>
  <c r="D310" i="3"/>
  <c r="L759" i="1"/>
  <c r="D600" i="3"/>
  <c r="L750" i="1"/>
  <c r="D465" i="3"/>
  <c r="L742" i="1"/>
  <c r="D82" i="3"/>
  <c r="L734" i="1"/>
  <c r="D556" i="3"/>
  <c r="L726" i="1"/>
  <c r="D589" i="3"/>
  <c r="L718" i="1"/>
  <c r="D409" i="3"/>
  <c r="L709" i="1"/>
  <c r="D58" i="3"/>
  <c r="L701" i="1"/>
  <c r="D115" i="3"/>
  <c r="L693" i="1"/>
  <c r="D442" i="3"/>
  <c r="L685" i="1"/>
  <c r="D16" i="3"/>
  <c r="L677" i="1"/>
  <c r="D401" i="3"/>
  <c r="L669" i="1"/>
  <c r="D788" i="3"/>
  <c r="L661" i="1"/>
  <c r="D119" i="3"/>
  <c r="L653" i="1"/>
  <c r="D823" i="3"/>
  <c r="L644" i="1"/>
  <c r="D265" i="3"/>
  <c r="L636" i="1"/>
  <c r="D209" i="3"/>
  <c r="L628" i="1"/>
  <c r="D365" i="3"/>
  <c r="L619" i="1"/>
  <c r="D468" i="3"/>
  <c r="L611" i="1"/>
  <c r="D205" i="3"/>
  <c r="L603" i="1"/>
  <c r="D20" i="3"/>
  <c r="L595" i="1"/>
  <c r="D849" i="3"/>
  <c r="L587" i="1"/>
  <c r="D722" i="3"/>
  <c r="L579" i="1"/>
  <c r="D436" i="3"/>
  <c r="L571" i="1"/>
  <c r="D576" i="3"/>
  <c r="L563" i="1"/>
  <c r="D895" i="3"/>
  <c r="L555" i="1"/>
  <c r="D100" i="3"/>
  <c r="L547" i="1"/>
  <c r="D991" i="3"/>
  <c r="L539" i="1"/>
  <c r="D242" i="3"/>
  <c r="L531" i="1"/>
  <c r="D608" i="3"/>
  <c r="L523" i="1"/>
  <c r="D782" i="3"/>
  <c r="L515" i="1"/>
  <c r="D169" i="3"/>
  <c r="L507" i="1"/>
  <c r="D749" i="3"/>
  <c r="L499" i="1"/>
  <c r="D284" i="3"/>
  <c r="L491" i="1"/>
  <c r="D430" i="3"/>
  <c r="L481" i="1"/>
  <c r="D327" i="3"/>
  <c r="L473" i="1"/>
  <c r="D326" i="3"/>
  <c r="L465" i="1"/>
  <c r="D846" i="3"/>
  <c r="L456" i="1"/>
  <c r="D473" i="3"/>
  <c r="L448" i="1"/>
  <c r="D664" i="3"/>
  <c r="L440" i="1"/>
  <c r="D813" i="3"/>
  <c r="L432" i="1"/>
  <c r="D415" i="3"/>
  <c r="L424" i="1"/>
  <c r="D18" i="3"/>
  <c r="L416" i="1"/>
  <c r="D426" i="3"/>
  <c r="L408" i="1"/>
  <c r="D949" i="3"/>
  <c r="L399" i="1"/>
  <c r="D392" i="3"/>
  <c r="L391" i="1"/>
  <c r="D818" i="3"/>
  <c r="L382" i="1"/>
  <c r="D592" i="3"/>
  <c r="L373" i="1"/>
  <c r="D651" i="3"/>
  <c r="L364" i="1"/>
  <c r="D859" i="3"/>
  <c r="L356" i="1"/>
  <c r="D102" i="3"/>
  <c r="L348" i="1"/>
  <c r="D634" i="3"/>
  <c r="L340" i="1"/>
  <c r="D627" i="3"/>
  <c r="L332" i="1"/>
  <c r="D198" i="3"/>
  <c r="L324" i="1"/>
  <c r="D224" i="3"/>
  <c r="L315" i="1"/>
  <c r="D277" i="3"/>
  <c r="L307" i="1"/>
  <c r="D307" i="3"/>
  <c r="L298" i="1"/>
  <c r="D577" i="3"/>
  <c r="L290" i="1"/>
  <c r="D114" i="3"/>
  <c r="L282" i="1"/>
  <c r="D453" i="3"/>
  <c r="L273" i="1"/>
  <c r="D649" i="3"/>
  <c r="L265" i="1"/>
  <c r="D460" i="3"/>
  <c r="L257" i="1"/>
  <c r="D554" i="3"/>
  <c r="L249" i="1"/>
  <c r="D49" i="3"/>
  <c r="L241" i="1"/>
  <c r="D799" i="3"/>
  <c r="L233" i="1"/>
  <c r="D670" i="3"/>
  <c r="L225" i="1"/>
  <c r="D57" i="3"/>
  <c r="L216" i="1"/>
  <c r="D933" i="3"/>
  <c r="L207" i="1"/>
  <c r="D974" i="3"/>
  <c r="L199" i="1"/>
  <c r="D721" i="3"/>
  <c r="L191" i="1"/>
  <c r="D300" i="3"/>
  <c r="L183" i="1"/>
  <c r="D986" i="3"/>
  <c r="L175" i="1"/>
  <c r="D755" i="3"/>
  <c r="L166" i="1"/>
  <c r="D127" i="3"/>
  <c r="L157" i="1"/>
  <c r="D17" i="3"/>
  <c r="L148" i="1"/>
  <c r="D159" i="3"/>
  <c r="L140" i="1"/>
  <c r="D847" i="3"/>
  <c r="L131" i="1"/>
  <c r="D332" i="3"/>
  <c r="L123" i="1"/>
  <c r="D335" i="3"/>
  <c r="L115" i="1"/>
  <c r="D776" i="3"/>
  <c r="L107" i="1"/>
  <c r="D85" i="3"/>
  <c r="L98" i="1"/>
  <c r="D288" i="3"/>
  <c r="L90" i="1"/>
  <c r="D95" i="3"/>
  <c r="L81" i="1"/>
  <c r="D170" i="3"/>
  <c r="L73" i="1"/>
  <c r="D22" i="3"/>
  <c r="L64" i="1"/>
  <c r="D671" i="3"/>
  <c r="L56" i="1"/>
  <c r="D795" i="3"/>
  <c r="L47" i="1"/>
  <c r="D493" i="3"/>
  <c r="L39" i="1"/>
  <c r="D784" i="3"/>
  <c r="L30" i="1"/>
  <c r="D352" i="3"/>
  <c r="L21" i="1"/>
  <c r="D92" i="3"/>
  <c r="L13" i="1"/>
  <c r="D146" i="3"/>
  <c r="L5" i="1"/>
  <c r="D565" i="3"/>
  <c r="L994" i="1"/>
  <c r="D226" i="3"/>
  <c r="L986" i="1"/>
  <c r="D328" i="3"/>
  <c r="L977" i="1"/>
  <c r="D199" i="3"/>
  <c r="L969" i="1"/>
  <c r="D636" i="3"/>
  <c r="L961" i="1"/>
  <c r="D964" i="3"/>
  <c r="L953" i="1"/>
  <c r="D391" i="3"/>
  <c r="L944" i="1"/>
  <c r="D543" i="3"/>
  <c r="L936" i="1"/>
  <c r="D568" i="3"/>
  <c r="L928" i="1"/>
  <c r="D835" i="3"/>
  <c r="L920" i="1"/>
  <c r="D379" i="3"/>
  <c r="L912" i="1"/>
  <c r="D360" i="3"/>
  <c r="L904" i="1"/>
  <c r="D184" i="3"/>
  <c r="L896" i="1"/>
  <c r="D428" i="3"/>
  <c r="L887" i="1"/>
  <c r="D713" i="3"/>
  <c r="L879" i="1"/>
  <c r="D244" i="3"/>
  <c r="L871" i="1"/>
  <c r="D79" i="3"/>
  <c r="L863" i="1"/>
  <c r="D6" i="3"/>
  <c r="L855" i="1"/>
  <c r="D954" i="3"/>
  <c r="L847" i="1"/>
  <c r="D167" i="3"/>
  <c r="L839" i="1"/>
  <c r="D229" i="3"/>
  <c r="L831" i="1"/>
  <c r="D278" i="3"/>
  <c r="L823" i="1"/>
  <c r="D774" i="3"/>
  <c r="L815" i="1"/>
  <c r="D762" i="3"/>
  <c r="L807" i="1"/>
  <c r="D741" i="3"/>
  <c r="L799" i="1"/>
  <c r="D440" i="3"/>
  <c r="L791" i="1"/>
  <c r="D760" i="3"/>
  <c r="L782" i="1"/>
  <c r="D464" i="3"/>
  <c r="L774" i="1"/>
  <c r="D942" i="3"/>
  <c r="L766" i="1"/>
  <c r="D825" i="3"/>
  <c r="L758" i="1"/>
  <c r="D298" i="3"/>
  <c r="L749" i="1"/>
  <c r="D650" i="3"/>
  <c r="L741" i="1"/>
  <c r="D685" i="3"/>
  <c r="L733" i="1"/>
  <c r="D973" i="3"/>
  <c r="L725" i="1"/>
  <c r="D233" i="3"/>
  <c r="L717" i="1"/>
  <c r="D438" i="3"/>
  <c r="L708" i="1"/>
  <c r="D237" i="3"/>
  <c r="L700" i="1"/>
  <c r="D151" i="3"/>
  <c r="L692" i="1"/>
  <c r="D999" i="3"/>
  <c r="L684" i="1"/>
  <c r="D214" i="3"/>
  <c r="L676" i="1"/>
  <c r="D694" i="3"/>
  <c r="L668" i="1"/>
  <c r="D345" i="3"/>
  <c r="L660" i="1"/>
  <c r="D72" i="3"/>
  <c r="L652" i="1"/>
  <c r="D255" i="3"/>
  <c r="L643" i="1"/>
  <c r="D927" i="3"/>
  <c r="L635" i="1"/>
  <c r="D427" i="3"/>
  <c r="L627" i="1"/>
  <c r="D681" i="3"/>
  <c r="L618" i="1"/>
  <c r="D580" i="3"/>
  <c r="L610" i="1"/>
  <c r="D471" i="3"/>
  <c r="L602" i="1"/>
  <c r="D804" i="3"/>
  <c r="L594" i="1"/>
  <c r="D880" i="3"/>
  <c r="L586" i="1"/>
  <c r="D339" i="3"/>
  <c r="L578" i="1"/>
  <c r="D808" i="3"/>
  <c r="L570" i="1"/>
  <c r="D863" i="3"/>
  <c r="L562" i="1"/>
  <c r="D322" i="3"/>
  <c r="L554" i="1"/>
  <c r="D534" i="3"/>
  <c r="L546" i="1"/>
  <c r="D929" i="3"/>
  <c r="L538" i="1"/>
  <c r="D780" i="3"/>
  <c r="L530" i="1"/>
  <c r="D536" i="3"/>
  <c r="L522" i="1"/>
  <c r="D336" i="3"/>
  <c r="L514" i="1"/>
  <c r="D711" i="3"/>
  <c r="L506" i="1"/>
  <c r="D969" i="3"/>
  <c r="L498" i="1"/>
  <c r="D65" i="3"/>
  <c r="L490" i="1"/>
  <c r="D703" i="3"/>
  <c r="L480" i="1"/>
  <c r="D881" i="3"/>
  <c r="L472" i="1"/>
  <c r="D925" i="3"/>
  <c r="L463" i="1"/>
  <c r="D981" i="3"/>
  <c r="L455" i="1"/>
  <c r="D364" i="3"/>
  <c r="L447" i="1"/>
  <c r="D883" i="3"/>
  <c r="L439" i="1"/>
  <c r="D91" i="3"/>
  <c r="L431" i="1"/>
  <c r="D420" i="3"/>
  <c r="L423" i="1"/>
  <c r="D358" i="3"/>
  <c r="L415" i="1"/>
  <c r="D837" i="3"/>
  <c r="L407" i="1"/>
  <c r="D250" i="3"/>
  <c r="L398" i="1"/>
  <c r="D70" i="3"/>
  <c r="L390" i="1"/>
  <c r="D827" i="3"/>
  <c r="L381" i="1"/>
  <c r="D51" i="3"/>
  <c r="L372" i="1"/>
  <c r="D296" i="3"/>
  <c r="L363" i="1"/>
  <c r="D479" i="3"/>
  <c r="L355" i="1"/>
  <c r="D344" i="3"/>
  <c r="L347" i="1"/>
  <c r="D396" i="3"/>
  <c r="L339" i="1"/>
  <c r="D90" i="3"/>
  <c r="L331" i="1"/>
  <c r="D113" i="3"/>
  <c r="L323" i="1"/>
  <c r="D598" i="3"/>
  <c r="L314" i="1"/>
  <c r="D334" i="3"/>
  <c r="L306" i="1"/>
  <c r="D980" i="3"/>
  <c r="L297" i="1"/>
  <c r="D103" i="3"/>
  <c r="L289" i="1"/>
  <c r="D390" i="3"/>
  <c r="L281" i="1"/>
  <c r="D908" i="3"/>
  <c r="L272" i="1"/>
  <c r="D353" i="3"/>
  <c r="L264" i="1"/>
  <c r="D316" i="3"/>
  <c r="L256" i="1"/>
  <c r="D330" i="3"/>
  <c r="L248" i="1"/>
  <c r="D511" i="3"/>
  <c r="L240" i="1"/>
  <c r="D674" i="3"/>
  <c r="L232" i="1"/>
  <c r="D609" i="3"/>
  <c r="L224" i="1"/>
  <c r="D961" i="3"/>
  <c r="L214" i="1"/>
  <c r="D225" i="3"/>
  <c r="L206" i="1"/>
  <c r="D174" i="3"/>
  <c r="L198" i="1"/>
  <c r="D690" i="3"/>
  <c r="L190" i="1"/>
  <c r="D318" i="3"/>
  <c r="L182" i="1"/>
  <c r="D767" i="3"/>
  <c r="L174" i="1"/>
  <c r="D451" i="3"/>
  <c r="L165" i="1"/>
  <c r="D32" i="3"/>
  <c r="L156" i="1"/>
  <c r="D356" i="3"/>
  <c r="L147" i="1"/>
  <c r="D24" i="3"/>
  <c r="L139" i="1"/>
  <c r="D553" i="3"/>
  <c r="L130" i="1"/>
  <c r="D63" i="3"/>
  <c r="L122" i="1"/>
  <c r="D614" i="3"/>
  <c r="L114" i="1"/>
  <c r="D323" i="3"/>
  <c r="L106" i="1"/>
  <c r="D876" i="3"/>
  <c r="L97" i="1"/>
  <c r="D638" i="3"/>
  <c r="L89" i="1"/>
  <c r="D567" i="3"/>
  <c r="L80" i="1"/>
  <c r="D601" i="3"/>
  <c r="L72" i="1"/>
  <c r="D718" i="3"/>
  <c r="L63" i="1"/>
  <c r="D337" i="3"/>
  <c r="L54" i="1"/>
  <c r="D243" i="3"/>
  <c r="L46" i="1"/>
  <c r="D248" i="3"/>
  <c r="L38" i="1"/>
  <c r="D459" i="3"/>
  <c r="L29" i="1"/>
  <c r="D613" i="3"/>
  <c r="L20" i="1"/>
  <c r="D129" i="3"/>
  <c r="L12" i="1"/>
  <c r="D530" i="3"/>
  <c r="L4" i="1"/>
  <c r="D187" i="3"/>
  <c r="L989" i="1"/>
  <c r="D660" i="3"/>
  <c r="L939" i="1"/>
  <c r="D971" i="3"/>
  <c r="L890" i="1"/>
  <c r="D573" i="3"/>
  <c r="L842" i="1"/>
  <c r="D569" i="3"/>
  <c r="L802" i="1"/>
  <c r="D550" i="3"/>
  <c r="L761" i="1"/>
  <c r="D249" i="3"/>
  <c r="L720" i="1"/>
  <c r="D826" i="3"/>
  <c r="L679" i="1"/>
  <c r="D302" i="3"/>
  <c r="L638" i="1"/>
  <c r="D885" i="3"/>
  <c r="L597" i="1"/>
  <c r="D121" i="3"/>
  <c r="L565" i="1"/>
  <c r="D989" i="3"/>
  <c r="L533" i="1"/>
  <c r="D329" i="3"/>
  <c r="L517" i="1"/>
  <c r="D624" i="3"/>
  <c r="L475" i="1"/>
  <c r="D89" i="3"/>
  <c r="L458" i="1"/>
  <c r="D792" i="3"/>
  <c r="L426" i="1"/>
  <c r="D896" i="3"/>
  <c r="L410" i="1"/>
  <c r="D604" i="3"/>
  <c r="L384" i="1"/>
  <c r="D378" i="3"/>
  <c r="L358" i="1"/>
  <c r="D720" i="3"/>
  <c r="L342" i="1"/>
  <c r="D611" i="3"/>
  <c r="L317" i="1"/>
  <c r="D838" i="3"/>
  <c r="L300" i="1"/>
  <c r="D583" i="3"/>
  <c r="L284" i="1"/>
  <c r="D455" i="3"/>
  <c r="L267" i="1"/>
  <c r="D947" i="3"/>
  <c r="L251" i="1"/>
  <c r="D281" i="3"/>
  <c r="L235" i="1"/>
  <c r="D932" i="3"/>
  <c r="L209" i="1"/>
  <c r="D777" i="3"/>
  <c r="L201" i="1"/>
  <c r="D561" i="3"/>
  <c r="L185" i="1"/>
  <c r="D706" i="3"/>
  <c r="L159" i="1"/>
  <c r="D107" i="3"/>
  <c r="L150" i="1"/>
  <c r="D866" i="3"/>
  <c r="L133" i="1"/>
  <c r="D88" i="3"/>
  <c r="L125" i="1"/>
  <c r="D820" i="3"/>
  <c r="L109" i="1"/>
  <c r="D399" i="3"/>
  <c r="L92" i="1"/>
  <c r="D959" i="3"/>
  <c r="L83" i="1"/>
  <c r="D877" i="3"/>
  <c r="L66" i="1"/>
  <c r="D276" i="3"/>
  <c r="L49" i="1"/>
  <c r="D861" i="3"/>
  <c r="L7" i="1"/>
  <c r="D40" i="3"/>
  <c r="L1001" i="1"/>
  <c r="D620" i="3"/>
  <c r="L993" i="1"/>
  <c r="D53" i="3"/>
  <c r="L985" i="1"/>
  <c r="D268" i="3"/>
  <c r="L976" i="1"/>
  <c r="D434" i="3"/>
  <c r="L968" i="1"/>
  <c r="D419" i="3"/>
  <c r="L960" i="1"/>
  <c r="D142" i="3"/>
  <c r="L952" i="1"/>
  <c r="D480" i="3"/>
  <c r="L943" i="1"/>
  <c r="D582" i="3"/>
  <c r="L935" i="1"/>
  <c r="D716" i="3"/>
  <c r="L927" i="1"/>
  <c r="D282" i="3"/>
  <c r="L919" i="1"/>
  <c r="D618" i="3"/>
  <c r="L911" i="1"/>
  <c r="D45" i="3"/>
  <c r="L903" i="1"/>
  <c r="D346" i="3"/>
  <c r="L895" i="1"/>
  <c r="D841" i="3"/>
  <c r="L886" i="1"/>
  <c r="D773" i="3"/>
  <c r="L878" i="1"/>
  <c r="D779" i="3"/>
  <c r="L870" i="1"/>
  <c r="D117" i="3"/>
  <c r="L862" i="1"/>
  <c r="D733" i="3"/>
  <c r="L854" i="1"/>
  <c r="D317" i="3"/>
  <c r="L846" i="1"/>
  <c r="D171" i="3"/>
  <c r="L838" i="1"/>
  <c r="D635" i="3"/>
  <c r="L830" i="1"/>
  <c r="D270" i="3"/>
  <c r="L822" i="1"/>
  <c r="D289" i="3"/>
  <c r="L814" i="1"/>
  <c r="D558" i="3"/>
  <c r="L806" i="1"/>
  <c r="D906" i="3"/>
  <c r="L798" i="1"/>
  <c r="D708" i="3"/>
  <c r="L790" i="1"/>
  <c r="D106" i="3"/>
  <c r="L781" i="1"/>
  <c r="D412" i="3"/>
  <c r="L773" i="1"/>
  <c r="D160" i="3"/>
  <c r="L765" i="1"/>
  <c r="D201" i="3"/>
  <c r="L757" i="1"/>
  <c r="D857" i="3"/>
  <c r="L748" i="1"/>
  <c r="D423" i="3"/>
  <c r="L740" i="1"/>
  <c r="D686" i="3"/>
  <c r="L732" i="1"/>
  <c r="D463" i="3"/>
  <c r="L724" i="1"/>
  <c r="D196" i="3"/>
  <c r="L716" i="1"/>
  <c r="D200" i="3"/>
  <c r="L707" i="1"/>
  <c r="D680" i="3"/>
  <c r="L699" i="1"/>
  <c r="D456" i="3"/>
  <c r="L691" i="1"/>
  <c r="D216" i="3"/>
  <c r="L683" i="1"/>
  <c r="D934" i="3"/>
  <c r="L675" i="1"/>
  <c r="D340" i="3"/>
  <c r="L667" i="1"/>
  <c r="D148" i="3"/>
  <c r="L659" i="1"/>
  <c r="D802" i="3"/>
  <c r="L651" i="1"/>
  <c r="D230" i="3"/>
  <c r="L642" i="1"/>
  <c r="D489" i="3"/>
  <c r="L634" i="1"/>
  <c r="D882" i="3"/>
  <c r="L625" i="1"/>
  <c r="D366" i="3"/>
  <c r="L617" i="1"/>
  <c r="D80" i="3"/>
  <c r="L609" i="1"/>
  <c r="D832" i="3"/>
  <c r="L601" i="1"/>
  <c r="D128" i="3"/>
  <c r="L593" i="1"/>
  <c r="D212" i="3"/>
  <c r="L585" i="1"/>
  <c r="D691" i="3"/>
  <c r="L577" i="1"/>
  <c r="D15" i="3"/>
  <c r="L569" i="1"/>
  <c r="D500" i="3"/>
  <c r="L561" i="1"/>
  <c r="D19" i="3"/>
  <c r="L553" i="1"/>
  <c r="D809" i="3"/>
  <c r="L545" i="1"/>
  <c r="D407" i="3"/>
  <c r="L537" i="1"/>
  <c r="D745" i="3"/>
  <c r="L529" i="1"/>
  <c r="D845" i="3"/>
  <c r="L521" i="1"/>
  <c r="D815" i="3"/>
  <c r="L513" i="1"/>
  <c r="D615" i="3"/>
  <c r="L505" i="1"/>
  <c r="D911" i="3"/>
  <c r="L497" i="1"/>
  <c r="D728" i="3"/>
  <c r="L489" i="1"/>
  <c r="D888" i="3"/>
  <c r="L479" i="1"/>
  <c r="D118" i="3"/>
  <c r="L471" i="1"/>
  <c r="D400" i="3"/>
  <c r="L462" i="1"/>
  <c r="D186" i="3"/>
  <c r="L454" i="1"/>
  <c r="D865" i="3"/>
  <c r="L446" i="1"/>
  <c r="D719" i="3"/>
  <c r="L438" i="1"/>
  <c r="D887" i="3"/>
  <c r="L430" i="1"/>
  <c r="D622" i="3"/>
  <c r="L422" i="1"/>
  <c r="D761" i="3"/>
  <c r="L414" i="1"/>
  <c r="D546" i="3"/>
  <c r="L405" i="1"/>
  <c r="D516" i="3"/>
  <c r="L397" i="1"/>
  <c r="D743" i="3"/>
  <c r="L389" i="1"/>
  <c r="D913" i="3"/>
  <c r="L380" i="1"/>
  <c r="D830" i="3"/>
  <c r="L371" i="1"/>
  <c r="D748" i="3"/>
  <c r="L362" i="1"/>
  <c r="D108" i="3"/>
  <c r="L354" i="1"/>
  <c r="D285" i="3"/>
  <c r="L346" i="1"/>
  <c r="D922" i="3"/>
  <c r="L338" i="1"/>
  <c r="D696" i="3"/>
  <c r="L330" i="1"/>
  <c r="D424" i="3"/>
  <c r="L322" i="1"/>
  <c r="D770" i="3"/>
  <c r="L313" i="1"/>
  <c r="D687" i="3"/>
  <c r="L305" i="1"/>
  <c r="D606" i="3"/>
  <c r="L296" i="1"/>
  <c r="D112" i="3"/>
  <c r="L288" i="1"/>
  <c r="D373" i="3"/>
  <c r="L280" i="1"/>
  <c r="D3" i="3"/>
  <c r="L271" i="1"/>
  <c r="D867" i="3"/>
  <c r="L263" i="1"/>
  <c r="D807" i="3"/>
  <c r="L255" i="1"/>
  <c r="D879" i="3"/>
  <c r="L247" i="1"/>
  <c r="D348" i="3"/>
  <c r="L239" i="1"/>
  <c r="D819" i="3"/>
  <c r="L231" i="1"/>
  <c r="D145" i="3"/>
  <c r="L223" i="1"/>
  <c r="D495" i="3"/>
  <c r="L213" i="1"/>
  <c r="D83" i="3"/>
  <c r="L205" i="1"/>
  <c r="D429" i="3"/>
  <c r="L197" i="1"/>
  <c r="D228" i="3"/>
  <c r="L189" i="1"/>
  <c r="D264" i="3"/>
  <c r="L181" i="1"/>
  <c r="D892" i="3"/>
  <c r="L173" i="1"/>
  <c r="D692" i="3"/>
  <c r="L164" i="1"/>
  <c r="D125" i="3"/>
  <c r="L155" i="1"/>
  <c r="D566" i="3"/>
  <c r="L146" i="1"/>
  <c r="D126" i="3"/>
  <c r="L138" i="1"/>
  <c r="D437" i="3"/>
  <c r="L129" i="1"/>
  <c r="D746" i="3"/>
  <c r="L121" i="1"/>
  <c r="D796" i="3"/>
  <c r="L113" i="1"/>
  <c r="D723" i="3"/>
  <c r="L105" i="1"/>
  <c r="D957" i="3"/>
  <c r="L96" i="1"/>
  <c r="D155" i="3"/>
  <c r="L88" i="1"/>
  <c r="D875" i="3"/>
  <c r="L79" i="1"/>
  <c r="D156" i="3"/>
  <c r="L71" i="1"/>
  <c r="D9" i="3"/>
  <c r="L62" i="1"/>
  <c r="D235" i="3"/>
  <c r="L53" i="1"/>
  <c r="D750" i="3"/>
  <c r="L45" i="1"/>
  <c r="D496" i="3"/>
  <c r="L37" i="1"/>
  <c r="D210" i="3"/>
  <c r="L28" i="1"/>
  <c r="D683" i="3"/>
  <c r="L19" i="1"/>
  <c r="D124" i="3"/>
  <c r="L11" i="1"/>
  <c r="D220" i="3"/>
  <c r="L3" i="1"/>
  <c r="D227" i="3"/>
  <c r="L980" i="1"/>
  <c r="D822" i="3"/>
  <c r="L931" i="1"/>
  <c r="D936" i="3"/>
  <c r="L882" i="1"/>
  <c r="D192" i="3"/>
  <c r="L818" i="1"/>
  <c r="D413" i="3"/>
  <c r="L769" i="1"/>
  <c r="D313" i="3"/>
  <c r="L712" i="1"/>
  <c r="D120" i="3"/>
  <c r="L663" i="1"/>
  <c r="D217" i="3"/>
  <c r="L613" i="1"/>
  <c r="D172" i="3"/>
  <c r="L573" i="1"/>
  <c r="D173" i="3"/>
  <c r="L541" i="1"/>
  <c r="D979" i="3"/>
  <c r="L509" i="1"/>
  <c r="D697" i="3"/>
  <c r="L467" i="1"/>
  <c r="D985" i="3"/>
  <c r="L434" i="1"/>
  <c r="D178" i="3"/>
  <c r="L401" i="1"/>
  <c r="D154" i="3"/>
  <c r="L366" i="1"/>
  <c r="D386" i="3"/>
  <c r="L334" i="1"/>
  <c r="D8" i="3"/>
  <c r="L309" i="1"/>
  <c r="D675" i="3"/>
  <c r="L276" i="1"/>
  <c r="D48" i="3"/>
  <c r="L243" i="1"/>
  <c r="D735" i="3"/>
  <c r="L219" i="1"/>
  <c r="D563" i="3"/>
  <c r="L193" i="1"/>
  <c r="D73" i="3"/>
  <c r="L168" i="1"/>
  <c r="D13" i="3"/>
  <c r="L142" i="1"/>
  <c r="D206" i="3"/>
  <c r="L117" i="1"/>
  <c r="D725" i="3"/>
  <c r="L101" i="1"/>
  <c r="D727" i="3"/>
  <c r="L75" i="1"/>
  <c r="D34" i="3"/>
  <c r="L15" i="1"/>
  <c r="D584" i="3"/>
  <c r="L1000" i="1"/>
  <c r="D370" i="3"/>
  <c r="L992" i="1"/>
  <c r="D962" i="3"/>
  <c r="L983" i="1"/>
  <c r="D842" i="3"/>
  <c r="L975" i="1"/>
  <c r="D658" i="3"/>
  <c r="L967" i="1"/>
  <c r="D394" i="3"/>
  <c r="L959" i="1"/>
  <c r="D676" i="3"/>
  <c r="L951" i="1"/>
  <c r="D870" i="3"/>
  <c r="L942" i="1"/>
  <c r="D593" i="3"/>
  <c r="L934" i="1"/>
  <c r="D477" i="3"/>
  <c r="L926" i="1"/>
  <c r="D61" i="3"/>
  <c r="L918" i="1"/>
  <c r="D402" i="3"/>
  <c r="L910" i="1"/>
  <c r="D37" i="3"/>
  <c r="L902" i="1"/>
  <c r="D612" i="3"/>
  <c r="L894" i="1"/>
  <c r="D457" i="3"/>
  <c r="L885" i="1"/>
  <c r="D308" i="3"/>
  <c r="L877" i="1"/>
  <c r="D535" i="3"/>
  <c r="L869" i="1"/>
  <c r="D533" i="3"/>
  <c r="L861" i="1"/>
  <c r="D458" i="3"/>
  <c r="L853" i="1"/>
  <c r="D86" i="3"/>
  <c r="L845" i="1"/>
  <c r="D873" i="3"/>
  <c r="L837" i="1"/>
  <c r="D98" i="3"/>
  <c r="L829" i="1"/>
  <c r="D853" i="3"/>
  <c r="L821" i="1"/>
  <c r="D518" i="3"/>
  <c r="L813" i="1"/>
  <c r="D223" i="3"/>
  <c r="L805" i="1"/>
  <c r="D245" i="3"/>
  <c r="L797" i="1"/>
  <c r="D183" i="3"/>
  <c r="L789" i="1"/>
  <c r="D909" i="3"/>
  <c r="L780" i="1"/>
  <c r="D742" i="3"/>
  <c r="L772" i="1"/>
  <c r="D548" i="3"/>
  <c r="L764" i="1"/>
  <c r="D590" i="3"/>
  <c r="L756" i="1"/>
  <c r="D454" i="3"/>
  <c r="L747" i="1"/>
  <c r="D26" i="3"/>
  <c r="L739" i="1"/>
  <c r="D843" i="3"/>
  <c r="L731" i="1"/>
  <c r="D987" i="3"/>
  <c r="L723" i="1"/>
  <c r="D99" i="3"/>
  <c r="L715" i="1"/>
  <c r="D152" i="3"/>
  <c r="L706" i="1"/>
  <c r="D241" i="3"/>
  <c r="L698" i="1"/>
  <c r="D793" i="3"/>
  <c r="L690" i="1"/>
  <c r="D709" i="3"/>
  <c r="L682" i="1"/>
  <c r="D291" i="3"/>
  <c r="L674" i="1"/>
  <c r="D771" i="3"/>
  <c r="L666" i="1"/>
  <c r="D712" i="3"/>
  <c r="L658" i="1"/>
  <c r="D47" i="3"/>
  <c r="L650" i="1"/>
  <c r="D369" i="3"/>
  <c r="L641" i="1"/>
  <c r="D293" i="3"/>
  <c r="L633" i="1"/>
  <c r="D514" i="3"/>
  <c r="L624" i="1"/>
  <c r="D416" i="3"/>
  <c r="L616" i="1"/>
  <c r="D393" i="3"/>
  <c r="L608" i="1"/>
  <c r="D665" i="3"/>
  <c r="L600" i="1"/>
  <c r="D141" i="3"/>
  <c r="L592" i="1"/>
  <c r="D38" i="3"/>
  <c r="L584" i="1"/>
  <c r="D347" i="3"/>
  <c r="L576" i="1"/>
  <c r="D363" i="3"/>
  <c r="L568" i="1"/>
  <c r="D938" i="3"/>
  <c r="L560" i="1"/>
  <c r="D84" i="3"/>
  <c r="L552" i="1"/>
  <c r="D28" i="3"/>
  <c r="L544" i="1"/>
  <c r="D941" i="3"/>
  <c r="L536" i="1"/>
  <c r="D588" i="3"/>
  <c r="L528" i="1"/>
  <c r="D572" i="3"/>
  <c r="L520" i="1"/>
  <c r="D215" i="3"/>
  <c r="L512" i="1"/>
  <c r="D958" i="3"/>
  <c r="L504" i="1"/>
  <c r="D951" i="3"/>
  <c r="L496" i="1"/>
  <c r="D700" i="3"/>
  <c r="L488" i="1"/>
  <c r="D306" i="3"/>
  <c r="L478" i="1"/>
  <c r="D218" i="3"/>
  <c r="L470" i="1"/>
  <c r="D36" i="3"/>
  <c r="L461" i="1"/>
  <c r="D833" i="3"/>
  <c r="L453" i="1"/>
  <c r="D639" i="3"/>
  <c r="L445" i="1"/>
  <c r="D667" i="3"/>
  <c r="L437" i="1"/>
  <c r="D669" i="3"/>
  <c r="L429" i="1"/>
  <c r="D803" i="3"/>
  <c r="L421" i="1"/>
  <c r="D605" i="3"/>
  <c r="L413" i="1"/>
  <c r="D62" i="3"/>
  <c r="L404" i="1"/>
  <c r="D275" i="3"/>
  <c r="L396" i="1"/>
  <c r="D503" i="3"/>
  <c r="L388" i="1"/>
  <c r="D966" i="3"/>
  <c r="L379" i="1"/>
  <c r="D907" i="3"/>
  <c r="L370" i="1"/>
  <c r="D714" i="3"/>
  <c r="L361" i="1"/>
  <c r="D988" i="3"/>
  <c r="L353" i="1"/>
  <c r="D910" i="3"/>
  <c r="L345" i="1"/>
  <c r="D147" i="3"/>
  <c r="L337" i="1"/>
  <c r="D164" i="3"/>
  <c r="L329" i="1"/>
  <c r="D343" i="3"/>
  <c r="L321" i="1"/>
  <c r="D739" i="3"/>
  <c r="L312" i="1"/>
  <c r="D758" i="3"/>
  <c r="L304" i="1"/>
  <c r="D705" i="3"/>
  <c r="L295" i="1"/>
  <c r="D194" i="3"/>
  <c r="L287" i="1"/>
  <c r="D68" i="3"/>
  <c r="L279" i="1"/>
  <c r="D764" i="3"/>
  <c r="L270" i="1"/>
  <c r="D549" i="3"/>
  <c r="L262" i="1"/>
  <c r="D258" i="3"/>
  <c r="L254" i="1"/>
  <c r="D677" i="3"/>
  <c r="L246" i="1"/>
  <c r="D661" i="3"/>
  <c r="L238" i="1"/>
  <c r="D105" i="3"/>
  <c r="L230" i="1"/>
  <c r="D213" i="3"/>
  <c r="L222" i="1"/>
  <c r="D955" i="3"/>
  <c r="L212" i="1"/>
  <c r="D441" i="3"/>
  <c r="L204" i="1"/>
  <c r="D461" i="3"/>
  <c r="L196" i="1"/>
  <c r="D257" i="3"/>
  <c r="L188" i="1"/>
  <c r="D166" i="3"/>
  <c r="L180" i="1"/>
  <c r="D405" i="3"/>
  <c r="L171" i="1"/>
  <c r="D377" i="3"/>
  <c r="L162" i="1"/>
  <c r="D355" i="3"/>
  <c r="L154" i="1"/>
  <c r="D134" i="3"/>
  <c r="L145" i="1"/>
  <c r="D374" i="3"/>
  <c r="L137" i="1"/>
  <c r="D21" i="3"/>
  <c r="L128" i="1"/>
  <c r="D769" i="3"/>
  <c r="L120" i="1"/>
  <c r="D702" i="3"/>
  <c r="L112" i="1"/>
  <c r="D834" i="3"/>
  <c r="L104" i="1"/>
  <c r="D280" i="3"/>
  <c r="L95" i="1"/>
  <c r="D652" i="3"/>
  <c r="L87" i="1"/>
  <c r="D946" i="3"/>
  <c r="L78" i="1"/>
  <c r="D46" i="3"/>
  <c r="L69" i="1"/>
  <c r="D150" i="3"/>
  <c r="L61" i="1"/>
  <c r="D232" i="3"/>
  <c r="L52" i="1"/>
  <c r="D904" i="3"/>
  <c r="L44" i="1"/>
  <c r="D654" i="3"/>
  <c r="L36" i="1"/>
  <c r="D163" i="3"/>
  <c r="L27" i="1"/>
  <c r="D917" i="3"/>
  <c r="L18" i="1"/>
  <c r="D557" i="3"/>
  <c r="L10" i="1"/>
  <c r="D855" i="3"/>
  <c r="L2" i="1"/>
  <c r="D221" i="3"/>
  <c r="S1003" i="1"/>
  <c r="K406" i="1"/>
  <c r="K318" i="1"/>
  <c r="K70" i="1"/>
  <c r="K22" i="1"/>
  <c r="K301" i="1"/>
  <c r="K984" i="1"/>
  <c r="K784" i="1"/>
  <c r="K648" i="1"/>
  <c r="K464" i="1"/>
  <c r="K376" i="1"/>
  <c r="K368" i="1"/>
  <c r="K152" i="1"/>
  <c r="K711" i="1"/>
  <c r="K215" i="1"/>
  <c r="K135" i="1"/>
  <c r="K55" i="1"/>
  <c r="K948" i="1"/>
  <c r="K484" i="1"/>
  <c r="K172" i="1"/>
  <c r="K100" i="1"/>
  <c r="K84" i="1"/>
  <c r="K893" i="1"/>
  <c r="K483" i="1"/>
  <c r="K163" i="1"/>
  <c r="K35" i="1"/>
  <c r="K626" i="1"/>
  <c r="K274" i="1"/>
  <c r="K753" i="1"/>
  <c r="K385" i="1"/>
  <c r="K217" i="1"/>
  <c r="AG24" i="1" l="1"/>
  <c r="L318" i="1"/>
  <c r="D474" i="3"/>
  <c r="L484" i="1"/>
  <c r="D522" i="3"/>
  <c r="L948" i="1"/>
  <c r="D517" i="3"/>
  <c r="L464" i="1"/>
  <c r="D540" i="3"/>
  <c r="L406" i="1"/>
  <c r="D492" i="3"/>
  <c r="L626" i="1"/>
  <c r="D487" i="3"/>
  <c r="L376" i="1"/>
  <c r="D491" i="3"/>
  <c r="L163" i="1"/>
  <c r="D490" i="3"/>
  <c r="L55" i="1"/>
  <c r="D497" i="3"/>
  <c r="L648" i="1"/>
  <c r="D482" i="3"/>
  <c r="L385" i="1"/>
  <c r="D542" i="3"/>
  <c r="L35" i="1"/>
  <c r="Q929" i="1" s="1"/>
  <c r="H1000" i="3" s="1"/>
  <c r="D508" i="3"/>
  <c r="L483" i="1"/>
  <c r="D512" i="3"/>
  <c r="L135" i="1"/>
  <c r="D523" i="3"/>
  <c r="L784" i="1"/>
  <c r="D525" i="3"/>
  <c r="L217" i="1"/>
  <c r="D486" i="3"/>
  <c r="L893" i="1"/>
  <c r="D478" i="3"/>
  <c r="L215" i="1"/>
  <c r="D509" i="3"/>
  <c r="L984" i="1"/>
  <c r="D524" i="3"/>
  <c r="L84" i="1"/>
  <c r="D475" i="3"/>
  <c r="L711" i="1"/>
  <c r="D488" i="3"/>
  <c r="L301" i="1"/>
  <c r="D521" i="3"/>
  <c r="L753" i="1"/>
  <c r="D541" i="3"/>
  <c r="L100" i="1"/>
  <c r="D476" i="3"/>
  <c r="L152" i="1"/>
  <c r="D506" i="3"/>
  <c r="L22" i="1"/>
  <c r="D494" i="3"/>
  <c r="L274" i="1"/>
  <c r="D537" i="3"/>
  <c r="L172" i="1"/>
  <c r="Q172" i="1" s="1"/>
  <c r="H528" i="3" s="1"/>
  <c r="D528" i="3"/>
  <c r="L368" i="1"/>
  <c r="D483" i="3"/>
  <c r="L70" i="1"/>
  <c r="D485" i="3"/>
  <c r="Q167" i="1"/>
  <c r="H763" i="3" s="1"/>
  <c r="Q531" i="1"/>
  <c r="H608" i="3" s="1"/>
  <c r="Q445" i="1"/>
  <c r="H667" i="3" s="1"/>
  <c r="Q194" i="1" l="1"/>
  <c r="H507" i="3" s="1"/>
  <c r="Q632" i="1"/>
  <c r="H998" i="3" s="1"/>
  <c r="Q759" i="1"/>
  <c r="H600" i="3" s="1"/>
  <c r="Q861" i="1"/>
  <c r="H458" i="3" s="1"/>
  <c r="Q428" i="1"/>
  <c r="H644" i="3" s="1"/>
  <c r="Q191" i="1"/>
  <c r="H300" i="3" s="1"/>
  <c r="Q367" i="1"/>
  <c r="H531" i="3" s="1"/>
  <c r="Q577" i="1"/>
  <c r="H15" i="3" s="1"/>
  <c r="Q316" i="1"/>
  <c r="H552" i="3" s="1"/>
  <c r="Q988" i="1"/>
  <c r="H840" i="3" s="1"/>
  <c r="Q868" i="1"/>
  <c r="H132" i="3" s="1"/>
  <c r="Q357" i="1"/>
  <c r="H52" i="3" s="1"/>
  <c r="Q458" i="1"/>
  <c r="H792" i="3" s="1"/>
  <c r="Q342" i="1"/>
  <c r="H611" i="3" s="1"/>
  <c r="Q877" i="1"/>
  <c r="H535" i="3" s="1"/>
  <c r="Q483" i="1"/>
  <c r="H512" i="3" s="1"/>
  <c r="Q443" i="1"/>
  <c r="H448" i="3" s="1"/>
  <c r="Q698" i="1"/>
  <c r="H793" i="3" s="1"/>
  <c r="Q370" i="1"/>
  <c r="H714" i="3" s="1"/>
  <c r="Q694" i="1"/>
  <c r="H740" i="3" s="1"/>
  <c r="Q508" i="1"/>
  <c r="H952" i="3" s="1"/>
  <c r="Q884" i="1"/>
  <c r="H387" i="3" s="1"/>
  <c r="Q23" i="1"/>
  <c r="H251" i="3" s="1"/>
  <c r="Q736" i="1"/>
  <c r="H645" i="3" s="1"/>
  <c r="Q689" i="1"/>
  <c r="H715" i="3" s="1"/>
  <c r="Q60" i="1"/>
  <c r="H912" i="3" s="1"/>
  <c r="Q376" i="1"/>
  <c r="H491" i="3" s="1"/>
  <c r="Q45" i="1"/>
  <c r="H496" i="3" s="1"/>
  <c r="Q451" i="1"/>
  <c r="H168" i="3" s="1"/>
  <c r="Q432" i="1"/>
  <c r="H415" i="3" s="1"/>
  <c r="Q889" i="1"/>
  <c r="H893" i="3" s="1"/>
  <c r="Q394" i="1"/>
  <c r="H597" i="3" s="1"/>
  <c r="Q628" i="1"/>
  <c r="H365" i="3" s="1"/>
  <c r="Q807" i="1"/>
  <c r="H741" i="3" s="1"/>
  <c r="Q19" i="1"/>
  <c r="Q874" i="1"/>
  <c r="H836" i="3" s="1"/>
  <c r="Q77" i="1"/>
  <c r="H724" i="3" s="1"/>
  <c r="Q475" i="1"/>
  <c r="H89" i="3" s="1"/>
  <c r="Q863" i="1"/>
  <c r="H6" i="3" s="1"/>
  <c r="Q886" i="1"/>
  <c r="H773" i="3" s="1"/>
  <c r="Q914" i="1"/>
  <c r="H303" i="3" s="1"/>
  <c r="Q159" i="1"/>
  <c r="H107" i="3" s="1"/>
  <c r="Q735" i="1"/>
  <c r="H734" i="3" s="1"/>
  <c r="Q690" i="1"/>
  <c r="H709" i="3" s="1"/>
  <c r="Q552" i="1"/>
  <c r="H28" i="3" s="1"/>
  <c r="Q964" i="1"/>
  <c r="H616" i="3" s="1"/>
  <c r="H124" i="3" l="1"/>
  <c r="AG28" i="1"/>
</calcChain>
</file>

<file path=xl/sharedStrings.xml><?xml version="1.0" encoding="utf-8"?>
<sst xmlns="http://schemas.openxmlformats.org/spreadsheetml/2006/main" count="20070" uniqueCount="2935">
  <si>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</si>
  <si>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</si>
  <si>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</si>
  <si>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</si>
  <si>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</si>
  <si>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</si>
  <si>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</si>
  <si>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</si>
  <si>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</si>
  <si>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</si>
  <si>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</si>
  <si>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</si>
  <si>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</si>
  <si>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</si>
  <si>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</si>
  <si>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</si>
  <si>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</si>
  <si>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</si>
  <si>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</si>
  <si>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</si>
  <si>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</si>
  <si>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</si>
  <si>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</si>
  <si>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</si>
  <si>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</si>
  <si>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</si>
  <si>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</si>
  <si>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</si>
  <si>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FL250003</t>
  </si>
  <si>
    <t>Juan Nelson</t>
  </si>
  <si>
    <t>male</t>
  </si>
  <si>
    <t>Germany</t>
  </si>
  <si>
    <t>German</t>
  </si>
  <si>
    <t>Graphic Design</t>
  </si>
  <si>
    <t>50</t>
  </si>
  <si>
    <t>N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</si>
  <si>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</si>
  <si>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</si>
  <si>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</si>
  <si>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</si>
  <si>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</si>
  <si>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</si>
  <si>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</si>
  <si>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</si>
  <si>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</si>
  <si>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</si>
  <si>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</si>
  <si>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</si>
  <si>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</si>
  <si>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</si>
  <si>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</si>
  <si>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</si>
  <si>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</si>
  <si>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</si>
  <si>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</si>
  <si>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</si>
  <si>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</si>
  <si>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</si>
  <si>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</si>
  <si>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</si>
  <si>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</si>
  <si>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</si>
  <si>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</si>
  <si>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</si>
  <si>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United States</t>
  </si>
  <si>
    <t/>
  </si>
  <si>
    <t>True</t>
  </si>
  <si>
    <t>FL250010</t>
  </si>
  <si>
    <t>Matthew Lloyd</t>
  </si>
  <si>
    <t>MALE</t>
  </si>
  <si>
    <t>Turkey</t>
  </si>
  <si>
    <t>Turkish</t>
  </si>
  <si>
    <t>$50</t>
  </si>
  <si>
    <t>FL250011</t>
  </si>
  <si>
    <t>Gavin Randall</t>
  </si>
  <si>
    <t>United Kingdom</t>
  </si>
  <si>
    <t>40</t>
  </si>
  <si>
    <t>yes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</si>
  <si>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</si>
  <si>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</si>
  <si>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</si>
  <si>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</si>
  <si>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</si>
  <si>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</si>
  <si>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</si>
  <si>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</si>
  <si>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</si>
  <si>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</si>
  <si>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</si>
  <si>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</si>
  <si>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</si>
  <si>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</si>
  <si>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</si>
  <si>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</si>
  <si>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</si>
  <si>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</si>
  <si>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</si>
  <si>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</si>
  <si>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</si>
  <si>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</si>
  <si>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</si>
  <si>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</si>
  <si>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</si>
  <si>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</si>
  <si>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</si>
  <si>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</si>
  <si>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</si>
  <si>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</si>
  <si>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</si>
  <si>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</si>
  <si>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</si>
  <si>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</si>
  <si>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</si>
  <si>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</si>
  <si>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</si>
  <si>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</si>
  <si>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</si>
  <si>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</si>
  <si>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</si>
  <si>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</si>
  <si>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</si>
  <si>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</si>
  <si>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</si>
  <si>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</si>
  <si>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</si>
  <si>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</si>
  <si>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</si>
  <si>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</si>
  <si>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</si>
  <si>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</si>
  <si>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</si>
  <si>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</si>
  <si>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</si>
  <si>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</si>
  <si>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</si>
  <si>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</si>
  <si>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</si>
  <si>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</si>
  <si>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</si>
  <si>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</si>
  <si>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</si>
  <si>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</si>
  <si>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</si>
  <si>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</si>
  <si>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</si>
  <si>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</si>
  <si>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</si>
  <si>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</si>
  <si>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</si>
  <si>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</si>
  <si>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</si>
  <si>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</si>
  <si>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</si>
  <si>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</si>
  <si>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</si>
  <si>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</si>
  <si>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</si>
  <si>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</si>
  <si>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</si>
  <si>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</si>
  <si>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</si>
  <si>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</si>
  <si>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</si>
  <si>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</si>
  <si>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</si>
  <si>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</si>
  <si>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</si>
  <si>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</si>
  <si>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</si>
  <si>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</si>
  <si>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</si>
  <si>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</si>
  <si>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</si>
  <si>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</si>
  <si>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</si>
  <si>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</si>
  <si>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</si>
  <si>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</si>
  <si>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</si>
  <si>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</si>
  <si>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</si>
  <si>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</si>
  <si>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</si>
  <si>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</si>
  <si>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</si>
  <si>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</si>
  <si>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</si>
  <si>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</si>
  <si>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</si>
  <si>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</si>
  <si>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</si>
  <si>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</si>
  <si>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</si>
  <si>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</si>
  <si>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</si>
  <si>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</si>
  <si>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</si>
  <si>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</si>
  <si>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</si>
  <si>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</si>
  <si>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</si>
  <si>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</si>
  <si>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</si>
  <si>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</si>
  <si>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</si>
  <si>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</si>
  <si>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</si>
  <si>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</si>
  <si>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</si>
  <si>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</si>
  <si>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</si>
  <si>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</si>
  <si>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</si>
  <si>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</si>
  <si>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</si>
  <si>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</si>
  <si>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</si>
  <si>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</si>
  <si>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</si>
  <si>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</si>
  <si>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</si>
  <si>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</si>
  <si>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</si>
  <si>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</si>
  <si>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</si>
  <si>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</si>
  <si>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</si>
  <si>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</si>
  <si>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</si>
  <si>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</si>
  <si>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</si>
  <si>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</si>
  <si>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</si>
  <si>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</si>
  <si>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</si>
  <si>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</si>
  <si>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</si>
  <si>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</si>
  <si>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</si>
  <si>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</si>
  <si>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</si>
  <si>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</si>
  <si>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</si>
  <si>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</si>
  <si>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</si>
  <si>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</si>
  <si>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</si>
  <si>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</si>
  <si>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</si>
  <si>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</si>
  <si>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</si>
  <si>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</si>
  <si>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</si>
  <si>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</si>
  <si>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</si>
  <si>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</si>
  <si>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</si>
  <si>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</si>
  <si>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</si>
  <si>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</si>
  <si>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</si>
  <si>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</si>
  <si>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</si>
  <si>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</si>
  <si>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</si>
  <si>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</si>
  <si>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</si>
  <si>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</si>
  <si>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</si>
  <si>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</si>
  <si>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</si>
  <si>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</si>
  <si>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</si>
  <si>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</si>
  <si>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</si>
  <si>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</si>
  <si>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</si>
  <si>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</si>
  <si>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</si>
  <si>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</si>
  <si>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</si>
  <si>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</si>
  <si>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</si>
  <si>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</si>
  <si>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</si>
  <si>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</si>
  <si>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</si>
  <si>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</si>
  <si>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</si>
  <si>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</si>
  <si>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</si>
  <si>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</si>
  <si>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</si>
  <si>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</si>
  <si>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</si>
  <si>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</si>
  <si>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</si>
  <si>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</si>
  <si>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</si>
  <si>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</si>
  <si>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</si>
  <si>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</si>
  <si>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</si>
  <si>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</si>
  <si>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</si>
  <si>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</si>
  <si>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</si>
  <si>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</si>
  <si>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</si>
  <si>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</si>
  <si>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</si>
  <si>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</si>
  <si>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</si>
  <si>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</si>
  <si>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</si>
  <si>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</si>
  <si>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</si>
  <si>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</si>
  <si>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</si>
  <si>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</si>
  <si>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</si>
  <si>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</si>
  <si>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</si>
  <si>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</si>
  <si>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</si>
  <si>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</si>
  <si>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</si>
  <si>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</si>
  <si>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</si>
  <si>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</si>
  <si>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</si>
  <si>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</si>
  <si>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</si>
  <si>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</si>
  <si>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</si>
  <si>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</si>
  <si>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</si>
  <si>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</si>
  <si>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</si>
  <si>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</si>
  <si>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</si>
  <si>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</si>
  <si>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</si>
  <si>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</si>
  <si>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</si>
  <si>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</si>
  <si>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</si>
  <si>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</si>
  <si>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</si>
  <si>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</si>
  <si>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</si>
  <si>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</si>
  <si>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</si>
  <si>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</si>
  <si>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</si>
  <si>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</si>
  <si>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</si>
  <si>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</si>
  <si>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</si>
  <si>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</si>
  <si>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</si>
  <si>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</si>
  <si>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</si>
  <si>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</si>
  <si>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</si>
  <si>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</si>
  <si>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</si>
  <si>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</si>
  <si>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</si>
  <si>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</si>
  <si>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</si>
  <si>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</si>
  <si>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</si>
  <si>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</si>
  <si>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</si>
  <si>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</si>
  <si>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</si>
  <si>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</si>
  <si>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</si>
  <si>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</si>
  <si>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</si>
  <si>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</si>
  <si>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</si>
  <si>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</si>
  <si>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</si>
  <si>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</si>
  <si>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</si>
  <si>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</si>
  <si>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</si>
  <si>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</si>
  <si>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</si>
  <si>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</si>
  <si>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</si>
  <si>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</si>
  <si>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</si>
  <si>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</si>
  <si>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</si>
  <si>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</si>
  <si>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</si>
  <si>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</si>
  <si>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</si>
  <si>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</si>
  <si>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</si>
  <si>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</si>
  <si>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</si>
  <si>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</si>
  <si>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</si>
  <si>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</si>
  <si>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</si>
  <si>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</si>
  <si>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</si>
  <si>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</si>
  <si>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</si>
  <si>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</si>
  <si>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</si>
  <si>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</si>
  <si>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</si>
  <si>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</si>
  <si>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</si>
  <si>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</si>
  <si>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</si>
  <si>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</si>
  <si>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</si>
  <si>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</si>
  <si>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</si>
  <si>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</si>
  <si>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</si>
  <si>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</si>
  <si>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</si>
  <si>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</si>
  <si>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</si>
  <si>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</si>
  <si>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</si>
  <si>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</si>
  <si>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</si>
  <si>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</si>
  <si>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</si>
  <si>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</si>
  <si>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</si>
  <si>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</si>
  <si>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</si>
  <si>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</si>
  <si>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</si>
  <si>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</si>
  <si>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</si>
  <si>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</si>
  <si>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</si>
  <si>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</si>
  <si>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</si>
  <si>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</si>
  <si>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</si>
  <si>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</si>
  <si>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</si>
  <si>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</si>
  <si>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</si>
  <si>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</si>
  <si>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</si>
  <si>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</si>
  <si>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</si>
  <si>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</si>
  <si>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</si>
  <si>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</si>
  <si>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</si>
  <si>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</si>
  <si>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</si>
  <si>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</si>
  <si>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</si>
  <si>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</si>
  <si>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</si>
  <si>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</si>
  <si>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</si>
  <si>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</si>
  <si>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</si>
  <si>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</si>
  <si>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</si>
  <si>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</si>
  <si>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</si>
  <si>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</si>
  <si>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</si>
  <si>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</si>
  <si>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</si>
  <si>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</si>
  <si>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</si>
  <si>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</si>
  <si>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</si>
  <si>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</si>
  <si>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</si>
  <si>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</si>
  <si>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</si>
  <si>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</si>
  <si>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</si>
  <si>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</si>
  <si>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</si>
  <si>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</si>
  <si>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</si>
  <si>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</si>
  <si>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</si>
  <si>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</si>
  <si>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</si>
  <si>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</si>
  <si>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</si>
  <si>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</si>
  <si>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</si>
  <si>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</si>
  <si>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</si>
  <si>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</si>
  <si>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</si>
  <si>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</si>
  <si>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</si>
  <si>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</si>
  <si>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</si>
  <si>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</si>
  <si>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</si>
  <si>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</si>
  <si>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</si>
  <si>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</si>
  <si>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</si>
  <si>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</si>
  <si>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</si>
  <si>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</si>
  <si>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</si>
  <si>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</si>
  <si>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</si>
  <si>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</si>
  <si>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</si>
  <si>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</si>
  <si>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</si>
  <si>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</si>
  <si>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</si>
  <si>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</si>
  <si>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</si>
  <si>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</si>
  <si>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</si>
  <si>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</si>
  <si>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</si>
  <si>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</si>
  <si>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</si>
  <si>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</si>
  <si>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</si>
  <si>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</si>
  <si>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</si>
  <si>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</si>
  <si>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</si>
  <si>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</si>
  <si>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</si>
  <si>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</si>
  <si>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</si>
  <si>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</si>
  <si>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</si>
  <si>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</si>
  <si>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</si>
  <si>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</si>
  <si>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</si>
  <si>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</si>
  <si>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</si>
  <si>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</si>
  <si>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</si>
  <si>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</si>
  <si>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</si>
  <si>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</si>
  <si>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</si>
  <si>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</si>
  <si>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</si>
  <si>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</si>
  <si>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</si>
  <si>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</si>
  <si>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</si>
  <si>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</si>
  <si>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</si>
  <si>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</si>
  <si>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</si>
  <si>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</si>
  <si>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</si>
  <si>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</si>
  <si>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</si>
  <si>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</si>
  <si>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</si>
  <si>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</si>
  <si>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</si>
  <si>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</si>
  <si>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</si>
  <si>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</si>
  <si>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</si>
  <si>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</si>
  <si>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</si>
  <si>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</si>
  <si>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</si>
  <si>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</si>
  <si>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</si>
  <si>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</si>
  <si>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</si>
  <si>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</si>
  <si>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</si>
  <si>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</si>
  <si>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</si>
  <si>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</si>
  <si>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</si>
  <si>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</si>
  <si>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</si>
  <si>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</si>
  <si>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</si>
  <si>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</si>
  <si>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</si>
  <si>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</si>
  <si>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</si>
  <si>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</si>
  <si>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</si>
  <si>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</si>
  <si>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</si>
  <si>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</si>
  <si>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</si>
  <si>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</si>
  <si>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</si>
  <si>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</si>
  <si>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</si>
  <si>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</si>
  <si>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</si>
  <si>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</si>
  <si>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</si>
  <si>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</si>
  <si>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</si>
  <si>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</si>
  <si>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</si>
  <si>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</si>
  <si>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</si>
  <si>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</si>
  <si>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</si>
  <si>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</si>
  <si>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</si>
  <si>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</si>
  <si>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</si>
  <si>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</si>
  <si>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</si>
  <si>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</si>
  <si>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</si>
  <si>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</si>
  <si>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</si>
  <si>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</si>
  <si>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</si>
  <si>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</si>
  <si>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</si>
  <si>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</si>
  <si>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</si>
  <si>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</si>
  <si>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</si>
  <si>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</si>
  <si>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</si>
  <si>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</si>
  <si>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</si>
  <si>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</si>
  <si>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</si>
  <si>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</si>
  <si>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</si>
  <si>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</si>
  <si>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</si>
  <si>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</si>
  <si>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</si>
  <si>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</si>
  <si>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</si>
  <si>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</si>
  <si>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</si>
  <si>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</si>
  <si>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</si>
  <si>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</si>
  <si>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</si>
  <si>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</si>
  <si>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</si>
  <si>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</si>
  <si>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</si>
  <si>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</si>
  <si>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</si>
  <si>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</si>
  <si>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</si>
  <si>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</si>
  <si>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</si>
  <si>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</si>
  <si>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</si>
  <si>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</si>
  <si>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</si>
  <si>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</si>
  <si>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</si>
  <si>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</si>
  <si>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</si>
  <si>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</si>
  <si>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</si>
  <si>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</si>
  <si>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</si>
  <si>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</si>
  <si>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</si>
  <si>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</si>
  <si>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</si>
  <si>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</si>
  <si>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</si>
  <si>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</si>
  <si>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</si>
  <si>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</si>
  <si>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</si>
  <si>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</si>
  <si>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</si>
  <si>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</si>
  <si>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</si>
  <si>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</si>
  <si>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</si>
  <si>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</si>
  <si>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</si>
  <si>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</si>
  <si>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</si>
  <si>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</si>
  <si>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</si>
  <si>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</si>
  <si>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</si>
  <si>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</si>
  <si>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</si>
  <si>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</si>
  <si>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</si>
  <si>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</si>
  <si>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</si>
  <si>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</si>
  <si>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</si>
  <si>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</si>
  <si>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</si>
  <si>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</si>
  <si>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</si>
  <si>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</si>
  <si>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</si>
  <si>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</si>
  <si>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</si>
  <si>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</si>
  <si>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</si>
  <si>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</si>
  <si>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</si>
  <si>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</si>
  <si>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</si>
  <si>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</si>
  <si>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</si>
  <si>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</si>
  <si>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</si>
  <si>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</si>
  <si>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</si>
  <si>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</si>
  <si>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</si>
  <si>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</si>
  <si>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</si>
  <si>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</si>
  <si>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</si>
  <si>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</si>
  <si>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</si>
  <si>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</si>
  <si>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</si>
  <si>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</si>
  <si>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</si>
  <si>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</si>
  <si>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</si>
  <si>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</si>
  <si>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</si>
  <si>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</si>
  <si>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</si>
  <si>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</si>
  <si>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</si>
  <si>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</si>
  <si>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</si>
  <si>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</si>
  <si>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</si>
  <si>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</si>
  <si>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</si>
  <si>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</si>
  <si>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</si>
  <si>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</si>
  <si>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</si>
  <si>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</si>
  <si>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</si>
  <si>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</si>
  <si>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</si>
  <si>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</si>
  <si>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</si>
  <si>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</si>
  <si>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</si>
  <si>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</si>
  <si>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</si>
  <si>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</si>
  <si>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</si>
  <si>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</si>
  <si>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</si>
  <si>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</si>
  <si>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</si>
  <si>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</si>
  <si>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</si>
  <si>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</si>
  <si>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</si>
  <si>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</si>
  <si>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</si>
  <si>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</si>
  <si>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</si>
  <si>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</si>
  <si>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</si>
  <si>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</si>
  <si>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</si>
  <si>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</si>
  <si>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</si>
  <si>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</si>
  <si>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</si>
  <si>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</si>
  <si>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</si>
  <si>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</si>
  <si>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</si>
  <si>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</si>
  <si>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</si>
  <si>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</si>
  <si>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</si>
  <si>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</si>
  <si>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</si>
  <si>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</si>
  <si>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</si>
  <si>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</si>
  <si>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</si>
  <si>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</si>
  <si>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</si>
  <si>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</si>
  <si>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</si>
  <si>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</si>
  <si>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</si>
  <si>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</si>
  <si>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</si>
  <si>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</si>
  <si>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</si>
  <si>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</si>
  <si>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</si>
  <si>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</si>
  <si>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</si>
  <si>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</si>
  <si>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</si>
  <si>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</si>
  <si>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</si>
  <si>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</si>
  <si>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</si>
  <si>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</si>
  <si>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</si>
  <si>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</si>
  <si>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</si>
  <si>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</si>
  <si>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</si>
  <si>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</si>
  <si>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</si>
  <si>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</si>
  <si>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</si>
  <si>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</si>
  <si>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</si>
  <si>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</si>
  <si>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</si>
  <si>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</si>
  <si>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</si>
  <si>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</si>
  <si>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</si>
  <si>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</si>
  <si>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</si>
  <si>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</si>
  <si>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</si>
  <si>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</si>
  <si>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</si>
  <si>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</si>
  <si>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</si>
  <si>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</si>
  <si>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</si>
  <si>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</si>
  <si>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</si>
  <si>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</si>
  <si>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</si>
  <si>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</si>
  <si>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</si>
  <si>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</si>
  <si>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</si>
  <si>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</si>
  <si>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</si>
  <si>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</si>
  <si>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</si>
  <si>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</si>
  <si>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</si>
  <si>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</si>
  <si>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</si>
  <si>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</si>
  <si>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</si>
  <si>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</si>
  <si>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</si>
  <si>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</si>
  <si>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</si>
  <si>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</si>
  <si>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</si>
  <si>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</si>
  <si>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</si>
  <si>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</si>
  <si>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</si>
  <si>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</si>
  <si>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</si>
  <si>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</si>
  <si>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</si>
  <si>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</si>
  <si>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</si>
  <si>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</si>
  <si>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</si>
  <si>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</si>
  <si>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</si>
  <si>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</si>
  <si>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</si>
  <si>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</si>
  <si>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</si>
  <si>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</si>
  <si>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</si>
  <si>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</si>
  <si>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</si>
  <si>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</si>
  <si>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</si>
  <si>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</si>
  <si>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</si>
  <si>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</si>
  <si>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</si>
  <si>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</si>
  <si>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</si>
  <si>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</si>
  <si>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</si>
  <si>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</si>
  <si>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</si>
  <si>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</si>
  <si>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</si>
  <si>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</si>
  <si>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</si>
  <si>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</si>
  <si>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</si>
  <si>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</si>
  <si>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</si>
  <si>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</si>
  <si>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</si>
  <si>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</si>
  <si>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</si>
  <si>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</si>
  <si>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</si>
  <si>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</si>
  <si>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</si>
  <si>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</si>
  <si>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</si>
  <si>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</si>
  <si>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</si>
  <si>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</si>
  <si>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</si>
  <si>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</si>
  <si>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</si>
  <si>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</si>
  <si>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</si>
  <si>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</si>
  <si>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</si>
  <si>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</si>
  <si>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</si>
  <si>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</si>
  <si>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</si>
  <si>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</si>
  <si>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</si>
  <si>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</si>
  <si>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</si>
  <si>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</si>
  <si>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</si>
  <si>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</si>
  <si>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</si>
  <si>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</si>
  <si>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</si>
  <si>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</si>
  <si>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</si>
  <si>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</si>
  <si>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</si>
  <si>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</si>
  <si>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</si>
  <si>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</si>
  <si>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</si>
  <si>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</si>
  <si>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</si>
  <si>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</si>
  <si>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</si>
  <si>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</si>
  <si>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</si>
  <si>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</si>
  <si>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</si>
  <si>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</si>
  <si>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</si>
  <si>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</si>
  <si>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</si>
  <si>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</si>
  <si>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</si>
  <si>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</si>
  <si>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</si>
  <si>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</si>
  <si>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</si>
  <si>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</si>
  <si>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</si>
  <si>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</si>
  <si>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</si>
  <si>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</si>
  <si>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</si>
  <si>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</si>
  <si>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</si>
  <si>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</si>
  <si>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</si>
  <si>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</si>
  <si>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</si>
  <si>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</si>
  <si>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</si>
  <si>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</si>
  <si>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</si>
  <si>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</si>
  <si>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</si>
  <si>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</si>
  <si>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</si>
  <si>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</si>
  <si>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</si>
  <si>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</si>
  <si>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</si>
  <si>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</si>
  <si>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</si>
  <si>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</si>
  <si>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</si>
  <si>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</si>
  <si>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</si>
  <si>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</si>
  <si>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</si>
  <si>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</si>
  <si>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</si>
  <si>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</si>
  <si>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</si>
  <si>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</si>
  <si>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</si>
  <si>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</si>
  <si>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</si>
  <si>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</si>
  <si>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</si>
  <si>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</si>
  <si>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</si>
  <si>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</si>
  <si>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</si>
  <si>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</si>
  <si>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</si>
  <si>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</si>
  <si>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</si>
  <si>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</si>
  <si>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</si>
  <si>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</si>
  <si>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</si>
  <si>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</si>
  <si>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</si>
  <si>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</si>
  <si>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</si>
  <si>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</si>
  <si>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</si>
  <si>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</si>
  <si>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</si>
  <si>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</si>
  <si>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</si>
  <si>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</si>
  <si>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</si>
  <si>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</si>
  <si>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</si>
  <si>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</si>
  <si>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</si>
  <si>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</si>
  <si>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</si>
  <si>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</si>
  <si>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</si>
  <si>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</si>
  <si>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</si>
  <si>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</si>
  <si>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</si>
  <si>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</si>
  <si>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</si>
  <si>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</si>
  <si>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</si>
  <si>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</si>
  <si>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</si>
  <si>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</si>
  <si>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</si>
  <si>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</si>
  <si>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</si>
  <si>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</si>
  <si>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</si>
  <si>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</si>
  <si>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</si>
  <si>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</si>
  <si>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</si>
  <si>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</si>
  <si>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</si>
  <si>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</si>
  <si>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</si>
  <si>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</si>
  <si>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</si>
  <si>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</si>
  <si>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</si>
  <si>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</si>
  <si>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</si>
  <si>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</si>
  <si>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</si>
  <si>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</si>
  <si>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</si>
  <si>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</si>
  <si>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</si>
  <si>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</si>
  <si>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</si>
  <si>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</si>
  <si>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</si>
  <si>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</si>
  <si>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</si>
  <si>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</si>
  <si>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</si>
  <si>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</si>
  <si>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</si>
  <si>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</si>
  <si>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</si>
  <si>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</si>
  <si>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</si>
  <si>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</si>
  <si>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</si>
  <si>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</si>
  <si>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</si>
  <si>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</si>
  <si>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</si>
  <si>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</si>
  <si>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</si>
  <si>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</si>
  <si>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</si>
  <si>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</si>
  <si>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</si>
  <si>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</si>
  <si>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</si>
  <si>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</si>
  <si>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</si>
  <si>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</si>
  <si>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</si>
  <si>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</si>
  <si>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</si>
  <si>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</si>
  <si>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</si>
  <si>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</si>
  <si>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</si>
  <si>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</si>
  <si>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</si>
  <si>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</si>
  <si>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</si>
  <si>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</si>
  <si>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</si>
  <si>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</si>
  <si>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</si>
  <si>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</si>
  <si>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</si>
  <si>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</si>
  <si>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</si>
  <si>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</si>
  <si>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</si>
  <si>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</si>
  <si>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</si>
  <si>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</si>
  <si>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</si>
  <si>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</si>
  <si>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</si>
  <si>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</si>
  <si>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</si>
  <si>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</si>
  <si>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</si>
  <si>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</si>
  <si>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</si>
  <si>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</si>
  <si>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</si>
  <si>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</si>
  <si>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</si>
  <si>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</si>
  <si>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</si>
  <si>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</si>
  <si>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</si>
  <si>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</si>
  <si>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</si>
  <si>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</si>
  <si>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</si>
  <si>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</si>
  <si>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</si>
  <si>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</si>
  <si>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</si>
  <si>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</si>
  <si>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</si>
  <si>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</si>
  <si>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</si>
  <si>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</si>
  <si>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</si>
  <si>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</si>
  <si>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</si>
  <si>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</si>
  <si>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</si>
  <si>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</si>
  <si>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</si>
  <si>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</si>
  <si>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</si>
  <si>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</si>
  <si>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</si>
  <si>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</si>
  <si>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</si>
  <si>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</si>
  <si>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</si>
  <si>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</si>
  <si>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</si>
  <si>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</si>
  <si>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</si>
  <si>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</si>
  <si>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</si>
  <si>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</si>
  <si>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</si>
  <si>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</si>
  <si>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</si>
  <si>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</si>
  <si>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</si>
  <si>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</si>
  <si>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</si>
  <si>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</si>
  <si>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</si>
  <si>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</si>
  <si>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</si>
  <si>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</si>
  <si>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</si>
  <si>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</si>
  <si>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</si>
  <si>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</si>
  <si>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</si>
  <si>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</si>
  <si>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</si>
  <si>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</si>
  <si>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</si>
  <si>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</si>
  <si>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</si>
  <si>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</si>
  <si>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</si>
  <si>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</si>
  <si>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</si>
  <si>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</si>
  <si>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</si>
  <si>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</si>
  <si>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</si>
  <si>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</si>
  <si>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</si>
  <si>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</si>
  <si>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</si>
  <si>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</si>
  <si>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</si>
  <si>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</si>
  <si>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</si>
  <si>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</si>
  <si>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</si>
  <si>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</si>
  <si>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</si>
  <si>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</si>
  <si>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</si>
  <si>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</si>
  <si>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</si>
  <si>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</si>
  <si>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</si>
  <si>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</si>
  <si>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</si>
  <si>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</si>
  <si>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</si>
  <si>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</si>
  <si>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</si>
  <si>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</si>
  <si>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</si>
  <si>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</si>
  <si>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</si>
  <si>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</si>
  <si>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</si>
  <si>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</si>
  <si>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</si>
  <si>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</si>
  <si>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</si>
  <si>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</si>
  <si>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</si>
  <si>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</si>
  <si>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</si>
  <si>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</si>
  <si>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</si>
  <si>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</si>
  <si>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</si>
  <si>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</si>
  <si>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</si>
  <si>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</si>
  <si>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</si>
  <si>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</si>
  <si>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</si>
  <si>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</si>
  <si>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</si>
  <si>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</si>
  <si>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</si>
  <si>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</si>
  <si>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</si>
  <si>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</si>
  <si>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</si>
  <si>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</si>
  <si>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</si>
  <si>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</si>
  <si>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</si>
  <si>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</si>
  <si>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</si>
  <si>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</si>
  <si>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</si>
  <si>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</si>
  <si>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</si>
  <si>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</si>
  <si>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</si>
  <si>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</si>
  <si>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</si>
  <si>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</si>
  <si>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</si>
  <si>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</si>
  <si>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</si>
  <si>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</si>
  <si>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</si>
  <si>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</si>
  <si>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</si>
  <si>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</si>
  <si>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</si>
  <si>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</si>
  <si>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</si>
  <si>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</si>
  <si>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</si>
  <si>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</si>
  <si>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</si>
  <si>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</si>
  <si>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</si>
  <si>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</si>
  <si>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</si>
  <si>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</si>
  <si>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</si>
  <si>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</si>
  <si>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</si>
  <si>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</si>
  <si>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</si>
  <si>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</si>
  <si>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</si>
  <si>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</si>
  <si>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</si>
  <si>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</si>
  <si>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</si>
  <si>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</si>
  <si>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</si>
  <si>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</si>
  <si>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</si>
  <si>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</si>
  <si>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</si>
  <si>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</si>
  <si>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</si>
  <si>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</si>
  <si>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</si>
  <si>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</si>
  <si>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</si>
  <si>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</si>
  <si>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</si>
  <si>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</si>
  <si>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</si>
  <si>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</si>
  <si>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</si>
  <si>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</si>
  <si>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</si>
  <si>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</si>
  <si>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</si>
  <si>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</si>
  <si>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</si>
  <si>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</si>
  <si>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</si>
  <si>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</si>
  <si>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</si>
  <si>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</si>
  <si>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</si>
  <si>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</si>
  <si>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</si>
  <si>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</si>
  <si>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</si>
  <si>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</si>
  <si>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</si>
  <si>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</si>
  <si>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</si>
  <si>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</si>
  <si>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</si>
  <si>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</si>
  <si>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</si>
  <si>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</si>
  <si>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</si>
  <si>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</si>
  <si>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</si>
  <si>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</si>
  <si>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</si>
  <si>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</si>
  <si>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</si>
  <si>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</si>
  <si>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</si>
  <si>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</si>
  <si>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</si>
  <si>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</si>
  <si>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</si>
  <si>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</si>
  <si>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</si>
  <si>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</si>
  <si>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</si>
  <si>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</si>
  <si>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</si>
  <si>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</si>
  <si>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</si>
  <si>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</si>
  <si>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</si>
  <si>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</si>
  <si>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</si>
  <si>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</si>
  <si>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</si>
  <si>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</si>
  <si>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</si>
  <si>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</si>
  <si>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</si>
  <si>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</si>
  <si>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</si>
  <si>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</si>
  <si>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</si>
  <si>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</si>
  <si>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</si>
  <si>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</si>
  <si>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</si>
  <si>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</si>
  <si>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</si>
  <si>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</si>
  <si>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</si>
  <si>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</si>
  <si>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</si>
  <si>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</si>
  <si>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</si>
  <si>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</si>
  <si>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</si>
  <si>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</si>
  <si>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</si>
  <si>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</si>
  <si>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</si>
  <si>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</si>
  <si>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</si>
  <si>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</si>
  <si>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</si>
  <si>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</si>
  <si>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</si>
  <si>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</si>
  <si>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</si>
  <si>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</si>
  <si>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</si>
  <si>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</si>
  <si>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</si>
  <si>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</si>
  <si>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</si>
  <si>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</si>
  <si>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</si>
  <si>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</si>
  <si>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</si>
  <si>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</si>
  <si>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</si>
  <si>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</si>
  <si>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</si>
  <si>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</si>
  <si>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</si>
  <si>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</si>
  <si>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</si>
  <si>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</si>
  <si>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</si>
  <si>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</si>
  <si>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</si>
  <si>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</si>
  <si>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</si>
  <si>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</si>
  <si>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</si>
  <si>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</si>
  <si>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</si>
  <si>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</si>
  <si>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</si>
  <si>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</si>
  <si>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</si>
  <si>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</si>
  <si>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</si>
  <si>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</si>
  <si>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</si>
  <si>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</si>
  <si>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</si>
  <si>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</si>
  <si>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</si>
  <si>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</si>
  <si>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</si>
  <si>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</si>
  <si>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</si>
  <si>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</si>
  <si>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</si>
  <si>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</si>
  <si>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</si>
  <si>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</si>
  <si>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</si>
  <si>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</si>
  <si>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</si>
  <si>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</si>
  <si>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</si>
  <si>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</si>
  <si>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</si>
  <si>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</si>
  <si>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</si>
  <si>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</si>
  <si>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</si>
  <si>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</si>
  <si>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</si>
  <si>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</si>
  <si>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</si>
  <si>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</si>
  <si>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</si>
  <si>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</si>
  <si>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</si>
  <si>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</si>
  <si>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</si>
  <si>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</si>
  <si>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</si>
  <si>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</si>
  <si>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</si>
  <si>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</si>
  <si>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</si>
  <si>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</si>
  <si>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</si>
  <si>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</si>
  <si>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</si>
  <si>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</si>
  <si>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</si>
  <si>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</si>
  <si>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</si>
  <si>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</si>
  <si>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</si>
  <si>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</si>
  <si>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</si>
  <si>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</si>
  <si>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</si>
  <si>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</si>
  <si>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</si>
  <si>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</si>
  <si>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</si>
  <si>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</si>
  <si>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</si>
  <si>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</si>
  <si>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</si>
  <si>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</si>
  <si>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</si>
  <si>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</si>
  <si>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</si>
  <si>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</si>
  <si>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</si>
  <si>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</si>
  <si>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</si>
  <si>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</si>
  <si>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</si>
  <si>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</si>
  <si>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</si>
  <si>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</si>
  <si>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</si>
  <si>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</si>
  <si>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</si>
  <si>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</si>
  <si>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</si>
  <si>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</si>
  <si>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</si>
  <si>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</si>
  <si>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</si>
  <si>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</si>
  <si>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</si>
  <si>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</si>
  <si>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</si>
  <si>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</si>
  <si>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</si>
  <si>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</si>
  <si>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</si>
  <si>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</si>
  <si>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</si>
  <si>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</si>
  <si>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</si>
  <si>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</si>
  <si>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</si>
  <si>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</si>
  <si>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</si>
  <si>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</si>
  <si>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</si>
  <si>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</si>
  <si>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</si>
  <si>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</si>
  <si>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</si>
  <si>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</si>
  <si>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</si>
  <si>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</si>
  <si>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</si>
  <si>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</si>
  <si>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</si>
  <si>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</si>
  <si>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</si>
  <si>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</si>
  <si>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</si>
  <si>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</si>
  <si>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</si>
  <si>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</si>
  <si>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</si>
  <si>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</si>
  <si>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</si>
  <si>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</si>
  <si>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</si>
  <si>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</si>
  <si>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</si>
  <si>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</si>
  <si>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</si>
  <si>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</si>
  <si>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</si>
  <si>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</si>
  <si>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</si>
  <si>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</si>
  <si>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</si>
  <si>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</si>
  <si>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</si>
  <si>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</si>
  <si>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</si>
  <si>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</si>
  <si>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</si>
  <si>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</si>
  <si>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</si>
  <si>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</si>
  <si>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</si>
  <si>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</si>
  <si>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</si>
  <si>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</si>
  <si>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</si>
  <si>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</si>
  <si>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</si>
  <si>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</si>
  <si>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</si>
  <si>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</si>
  <si>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</si>
  <si>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</si>
  <si>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</si>
  <si>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</si>
  <si>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</si>
  <si>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</si>
  <si>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</si>
  <si>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</si>
  <si>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</si>
  <si>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</si>
  <si>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</si>
  <si>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</si>
  <si>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</si>
  <si>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</si>
  <si>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</si>
  <si>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</si>
  <si>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</si>
  <si>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</si>
  <si>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</si>
  <si>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</si>
  <si>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</si>
  <si>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</si>
  <si>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</si>
  <si>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</si>
  <si>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</si>
  <si>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</si>
  <si>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</si>
  <si>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</si>
  <si>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</si>
  <si>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</si>
  <si>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</si>
  <si>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</si>
  <si>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</si>
  <si>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</si>
  <si>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</si>
  <si>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</si>
  <si>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</si>
  <si>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</si>
  <si>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</si>
  <si>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</si>
  <si>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</si>
  <si>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</si>
  <si>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</si>
  <si>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</si>
  <si>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</si>
  <si>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</si>
  <si>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</si>
  <si>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</si>
  <si>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</si>
  <si>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</si>
  <si>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</si>
  <si>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</si>
  <si>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</si>
  <si>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</si>
  <si>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</si>
  <si>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</si>
  <si>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</si>
  <si>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</si>
  <si>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</si>
  <si>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</si>
  <si>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</si>
  <si>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</si>
  <si>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</si>
  <si>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</si>
  <si>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</si>
  <si>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</si>
  <si>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</si>
  <si>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</si>
  <si>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</si>
  <si>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</si>
  <si>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</si>
  <si>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</si>
  <si>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</si>
  <si>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</si>
  <si>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</si>
  <si>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</si>
  <si>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</si>
  <si>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</si>
  <si>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</si>
  <si>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</si>
  <si>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</si>
  <si>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</si>
  <si>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</si>
  <si>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</si>
  <si>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</si>
  <si>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</si>
  <si>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</si>
  <si>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</si>
  <si>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</si>
  <si>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</si>
  <si>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</si>
  <si>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</si>
  <si>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</si>
  <si>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</si>
  <si>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</si>
  <si>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</si>
  <si>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</si>
  <si>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</si>
  <si>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</si>
  <si>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</si>
  <si>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</si>
  <si>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</si>
  <si>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</si>
  <si>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</si>
  <si>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</si>
  <si>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</si>
  <si>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</si>
  <si>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</si>
  <si>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</si>
  <si>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</si>
  <si>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</si>
  <si>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</si>
  <si>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</si>
  <si>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</si>
  <si>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</si>
  <si>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</si>
  <si>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</si>
  <si>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</si>
  <si>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</si>
  <si>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</si>
  <si>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</si>
  <si>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</si>
  <si>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</si>
  <si>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</si>
  <si>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</si>
  <si>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</si>
  <si>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</si>
  <si>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</si>
  <si>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</si>
  <si>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</si>
  <si>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</si>
  <si>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</si>
  <si>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</si>
  <si>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</si>
  <si>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</si>
  <si>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</si>
  <si>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</si>
  <si>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</si>
  <si>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</si>
  <si>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</si>
  <si>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</si>
  <si>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</si>
  <si>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</si>
  <si>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</si>
  <si>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</si>
  <si>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</si>
  <si>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</si>
  <si>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</si>
  <si>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</si>
  <si>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</si>
  <si>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</si>
  <si>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</si>
  <si>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</si>
  <si>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</si>
  <si>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</si>
  <si>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</si>
  <si>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</si>
  <si>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</si>
  <si>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</si>
  <si>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</si>
  <si>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</si>
  <si>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</si>
  <si>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</si>
  <si>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</si>
  <si>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</si>
  <si>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</si>
  <si>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</si>
  <si>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</si>
  <si>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</si>
  <si>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</si>
  <si>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</si>
  <si>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</si>
  <si>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</si>
  <si>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</si>
  <si>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</si>
  <si>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</si>
  <si>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</si>
  <si>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</si>
  <si>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</si>
  <si>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</si>
  <si>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</si>
  <si>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</si>
  <si>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</si>
  <si>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</si>
  <si>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</si>
  <si>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</si>
  <si>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</si>
  <si>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</si>
  <si>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</si>
  <si>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</si>
  <si>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</si>
  <si>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</si>
  <si>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</si>
  <si>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</si>
  <si>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</si>
  <si>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</si>
  <si>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</si>
  <si>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</si>
  <si>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</si>
  <si>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</si>
  <si>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</si>
  <si>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</si>
  <si>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</si>
  <si>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</si>
  <si>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</si>
  <si>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</si>
  <si>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</si>
  <si>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</si>
  <si>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</si>
  <si>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</si>
  <si>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</si>
  <si>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</si>
  <si>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</si>
  <si>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</si>
  <si>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</si>
  <si>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</si>
  <si>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</si>
  <si>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</si>
  <si>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</si>
  <si>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</si>
  <si>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</si>
  <si>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</si>
  <si>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</si>
  <si>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</si>
  <si>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</si>
  <si>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</si>
  <si>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</si>
  <si>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</si>
  <si>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</si>
  <si>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</si>
  <si>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</si>
  <si>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</si>
  <si>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</si>
  <si>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</si>
  <si>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</si>
  <si>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</si>
  <si>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</si>
  <si>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</si>
  <si>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</si>
  <si>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</si>
  <si>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</si>
  <si>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</si>
  <si>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</si>
  <si>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</si>
  <si>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</si>
  <si>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</si>
  <si>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</si>
  <si>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</si>
  <si>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</si>
  <si>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</si>
  <si>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</si>
  <si>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</si>
  <si>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</si>
  <si>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</si>
  <si>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</si>
  <si>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</si>
  <si>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</si>
  <si>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</si>
  <si>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</si>
  <si>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</si>
  <si>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</si>
  <si>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</si>
  <si>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</si>
  <si>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</si>
  <si>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</si>
  <si>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</si>
  <si>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</si>
  <si>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</si>
  <si>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</si>
  <si>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</si>
  <si>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</si>
  <si>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</si>
  <si>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</si>
  <si>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</si>
  <si>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</si>
  <si>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</si>
  <si>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</si>
  <si>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</si>
  <si>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</si>
  <si>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</si>
  <si>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</si>
  <si>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</si>
  <si>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</si>
  <si>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</si>
  <si>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</si>
  <si>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</si>
  <si>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</si>
  <si>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</si>
  <si>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</si>
  <si>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</si>
  <si>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</si>
  <si>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</si>
  <si>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</si>
  <si>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</si>
  <si>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</si>
  <si>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</si>
  <si>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</si>
  <si>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</si>
  <si>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</si>
  <si>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</si>
  <si>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</si>
  <si>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</si>
  <si>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</si>
  <si>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</si>
  <si>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</si>
  <si>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</si>
  <si>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</si>
  <si>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</si>
  <si>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</si>
  <si>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</si>
  <si>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</si>
  <si>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</si>
  <si>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</si>
  <si>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</si>
  <si>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</si>
  <si>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</si>
  <si>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</si>
  <si>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</si>
  <si>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</si>
  <si>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</si>
  <si>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</si>
  <si>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</si>
  <si>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</si>
  <si>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</si>
  <si>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</si>
  <si>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</si>
  <si>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</si>
  <si>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</si>
  <si>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</si>
  <si>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</si>
  <si>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</si>
  <si>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</si>
  <si>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</si>
  <si>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</si>
  <si>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</si>
  <si>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</si>
  <si>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</si>
  <si>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</si>
  <si>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</si>
  <si>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</si>
  <si>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</si>
  <si>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</si>
  <si>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</si>
  <si>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</si>
  <si>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</si>
  <si>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</si>
  <si>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</si>
  <si>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</si>
  <si>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</si>
  <si>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</si>
  <si>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</si>
  <si>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</si>
  <si>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</si>
  <si>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</si>
  <si>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</si>
  <si>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</si>
  <si>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</si>
  <si>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</si>
  <si>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</si>
  <si>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</si>
  <si>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</si>
  <si>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</si>
  <si>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</si>
  <si>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</si>
  <si>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</si>
  <si>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</si>
  <si>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</si>
  <si>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</si>
  <si>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</si>
  <si>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</si>
  <si>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</si>
  <si>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</si>
  <si>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</si>
  <si>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</si>
  <si>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</si>
  <si>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</si>
  <si>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</si>
  <si>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</si>
  <si>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</si>
  <si>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</si>
  <si>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</si>
  <si>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</si>
  <si>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</si>
  <si>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</si>
  <si>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</si>
  <si>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</si>
  <si>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</si>
  <si>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</si>
  <si>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</si>
  <si>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</si>
  <si>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</si>
  <si>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</si>
  <si>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</si>
  <si>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</si>
  <si>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</si>
  <si>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</si>
  <si>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</si>
  <si>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</si>
  <si>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</si>
  <si>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</si>
  <si>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</si>
  <si>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</si>
  <si>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</si>
  <si>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</si>
  <si>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</si>
  <si>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</si>
  <si>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</si>
  <si>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</si>
  <si>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</si>
  <si>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</si>
  <si>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</si>
  <si>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</si>
  <si>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</si>
  <si>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</si>
  <si>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</si>
  <si>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</si>
  <si>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</si>
  <si>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</si>
  <si>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</si>
  <si>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</si>
  <si>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</si>
  <si>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</si>
  <si>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</si>
  <si>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</si>
  <si>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</si>
  <si>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</si>
  <si>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</si>
  <si>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</si>
  <si>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</si>
  <si>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</si>
  <si>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</si>
  <si>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</si>
  <si>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</si>
  <si>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</si>
  <si>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</si>
  <si>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</si>
  <si>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</si>
  <si>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</si>
  <si>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</si>
  <si>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</si>
  <si>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</si>
  <si>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</si>
  <si>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</si>
  <si>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</si>
  <si>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</si>
  <si>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</si>
  <si>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</si>
  <si>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</si>
  <si>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</si>
  <si>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</si>
  <si>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</si>
  <si>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</si>
  <si>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</si>
  <si>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</si>
  <si>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</si>
  <si>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</si>
  <si>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Before filled (Blank Columns):</t>
  </si>
  <si>
    <t>After filled (Blank Columns):</t>
  </si>
  <si>
    <t>Proper Gender</t>
  </si>
  <si>
    <t>Age Imputaion</t>
  </si>
  <si>
    <t>Experience Imputation</t>
  </si>
  <si>
    <t xml:space="preserve"> 75</t>
  </si>
  <si>
    <t xml:space="preserve"> 40</t>
  </si>
  <si>
    <t xml:space="preserve"> 50</t>
  </si>
  <si>
    <t xml:space="preserve"> 30</t>
  </si>
  <si>
    <t xml:space="preserve"> 20</t>
  </si>
  <si>
    <t>Age level</t>
  </si>
  <si>
    <t>Hourly Rate Imputation</t>
  </si>
  <si>
    <t>Rating Imputation</t>
  </si>
  <si>
    <t>Is Active Imputation</t>
  </si>
  <si>
    <t>No</t>
  </si>
  <si>
    <t>Yes</t>
  </si>
  <si>
    <t>Proper Is active</t>
  </si>
  <si>
    <t>Client Satisfaction Imputation</t>
  </si>
  <si>
    <t>Nicole</t>
  </si>
  <si>
    <t>Kidd</t>
  </si>
  <si>
    <t>Vanessa</t>
  </si>
  <si>
    <t>Garcia</t>
  </si>
  <si>
    <t>Juan</t>
  </si>
  <si>
    <t>Nelson</t>
  </si>
  <si>
    <t>Amanda</t>
  </si>
  <si>
    <t>Spencer</t>
  </si>
  <si>
    <t>Lynn</t>
  </si>
  <si>
    <t>Curtis</t>
  </si>
  <si>
    <t>Lisa</t>
  </si>
  <si>
    <t>Johnson</t>
  </si>
  <si>
    <t>Eric</t>
  </si>
  <si>
    <t>Myers</t>
  </si>
  <si>
    <t>Ricky</t>
  </si>
  <si>
    <t>Graham</t>
  </si>
  <si>
    <t>Sean</t>
  </si>
  <si>
    <t>Martin</t>
  </si>
  <si>
    <t>Matthew</t>
  </si>
  <si>
    <t>Lloyd</t>
  </si>
  <si>
    <t>Gavin</t>
  </si>
  <si>
    <t>Randall</t>
  </si>
  <si>
    <t>Michelle</t>
  </si>
  <si>
    <t>Alice</t>
  </si>
  <si>
    <t>Schneider</t>
  </si>
  <si>
    <t>Phillip</t>
  </si>
  <si>
    <t>Shelton</t>
  </si>
  <si>
    <t>Edward</t>
  </si>
  <si>
    <t>Ferguson</t>
  </si>
  <si>
    <t>Wyatt</t>
  </si>
  <si>
    <t>Stout</t>
  </si>
  <si>
    <t>Laura</t>
  </si>
  <si>
    <t>Scott</t>
  </si>
  <si>
    <t>Burns</t>
  </si>
  <si>
    <t>Tyler</t>
  </si>
  <si>
    <t>Aguirre</t>
  </si>
  <si>
    <t>Lawson</t>
  </si>
  <si>
    <t>James</t>
  </si>
  <si>
    <t>Cherry</t>
  </si>
  <si>
    <t>Samuel</t>
  </si>
  <si>
    <t>Sanford</t>
  </si>
  <si>
    <t>Cesar</t>
  </si>
  <si>
    <t>Greene</t>
  </si>
  <si>
    <t>Melanie</t>
  </si>
  <si>
    <t>Carter</t>
  </si>
  <si>
    <t>Jennifer</t>
  </si>
  <si>
    <t>Anna</t>
  </si>
  <si>
    <t>Mccann</t>
  </si>
  <si>
    <t>Marissa</t>
  </si>
  <si>
    <t>Bass</t>
  </si>
  <si>
    <t>Alexis</t>
  </si>
  <si>
    <t>Day</t>
  </si>
  <si>
    <t>Megan</t>
  </si>
  <si>
    <t>Jones</t>
  </si>
  <si>
    <t>Lori</t>
  </si>
  <si>
    <t>Smith</t>
  </si>
  <si>
    <t>Carpenter</t>
  </si>
  <si>
    <t>Timothy</t>
  </si>
  <si>
    <t>Daniels</t>
  </si>
  <si>
    <t>Robert</t>
  </si>
  <si>
    <t>Michael</t>
  </si>
  <si>
    <t>Anderson</t>
  </si>
  <si>
    <t>Jessica</t>
  </si>
  <si>
    <t>Snyder</t>
  </si>
  <si>
    <t>Emily</t>
  </si>
  <si>
    <t>Jamie</t>
  </si>
  <si>
    <t>Ramirez</t>
  </si>
  <si>
    <t>Amy</t>
  </si>
  <si>
    <t>Harrison</t>
  </si>
  <si>
    <t>Melinda</t>
  </si>
  <si>
    <t>White</t>
  </si>
  <si>
    <t>Hernandez</t>
  </si>
  <si>
    <t>Angelica</t>
  </si>
  <si>
    <t>Rogers</t>
  </si>
  <si>
    <t>Savannah</t>
  </si>
  <si>
    <t>Williams</t>
  </si>
  <si>
    <t>Kaitlyn</t>
  </si>
  <si>
    <t>Schmidt</t>
  </si>
  <si>
    <t>Jason</t>
  </si>
  <si>
    <t>Singh</t>
  </si>
  <si>
    <t>Brown</t>
  </si>
  <si>
    <t>Samantha</t>
  </si>
  <si>
    <t>Simmons</t>
  </si>
  <si>
    <t>Chase</t>
  </si>
  <si>
    <t>Mason</t>
  </si>
  <si>
    <t>Dominique</t>
  </si>
  <si>
    <t>Ward</t>
  </si>
  <si>
    <t>Lance</t>
  </si>
  <si>
    <t>Griffin</t>
  </si>
  <si>
    <t>Julie</t>
  </si>
  <si>
    <t>Burgess</t>
  </si>
  <si>
    <t>Don</t>
  </si>
  <si>
    <t>Kyle</t>
  </si>
  <si>
    <t>Atkinson</t>
  </si>
  <si>
    <t>Jimmy</t>
  </si>
  <si>
    <t>Hogan</t>
  </si>
  <si>
    <t>Mcintyre</t>
  </si>
  <si>
    <t>Larry</t>
  </si>
  <si>
    <t>Simpson</t>
  </si>
  <si>
    <t>Price</t>
  </si>
  <si>
    <t>Mark</t>
  </si>
  <si>
    <t>Wright</t>
  </si>
  <si>
    <t>Mcdaniel</t>
  </si>
  <si>
    <t>Barbara</t>
  </si>
  <si>
    <t>Foster</t>
  </si>
  <si>
    <t>Courtney</t>
  </si>
  <si>
    <t>Tran</t>
  </si>
  <si>
    <t>Eddie</t>
  </si>
  <si>
    <t>Todd</t>
  </si>
  <si>
    <t>Christine</t>
  </si>
  <si>
    <t>Leah</t>
  </si>
  <si>
    <t>Phelps</t>
  </si>
  <si>
    <t>Rebekah</t>
  </si>
  <si>
    <t>Crystal</t>
  </si>
  <si>
    <t>Wilson</t>
  </si>
  <si>
    <t>Ashley</t>
  </si>
  <si>
    <t>Cordova</t>
  </si>
  <si>
    <t>Vicki</t>
  </si>
  <si>
    <t>Kelly</t>
  </si>
  <si>
    <t>Corey</t>
  </si>
  <si>
    <t>Warren</t>
  </si>
  <si>
    <t>Gina</t>
  </si>
  <si>
    <t>Thompson</t>
  </si>
  <si>
    <t>Yvonne</t>
  </si>
  <si>
    <t>Berg</t>
  </si>
  <si>
    <t>Thomas</t>
  </si>
  <si>
    <t>Miller</t>
  </si>
  <si>
    <t>Nicholas</t>
  </si>
  <si>
    <t>Burton</t>
  </si>
  <si>
    <t>Jorge</t>
  </si>
  <si>
    <t>Riley</t>
  </si>
  <si>
    <t>Melvin</t>
  </si>
  <si>
    <t>Harris</t>
  </si>
  <si>
    <t>Jeremy</t>
  </si>
  <si>
    <t>Meyer</t>
  </si>
  <si>
    <t>Lee</t>
  </si>
  <si>
    <t>Diana</t>
  </si>
  <si>
    <t>Bautista</t>
  </si>
  <si>
    <t>Leslie</t>
  </si>
  <si>
    <t>Rodriguez</t>
  </si>
  <si>
    <t>Noah</t>
  </si>
  <si>
    <t>Wiggins</t>
  </si>
  <si>
    <t>Bridget</t>
  </si>
  <si>
    <t>Veronica</t>
  </si>
  <si>
    <t>Baker</t>
  </si>
  <si>
    <t>Andrew</t>
  </si>
  <si>
    <t>Avila</t>
  </si>
  <si>
    <t>Roberson</t>
  </si>
  <si>
    <t>Austin</t>
  </si>
  <si>
    <t>Jenkins</t>
  </si>
  <si>
    <t>Brenda</t>
  </si>
  <si>
    <t>Green</t>
  </si>
  <si>
    <t>Pierce</t>
  </si>
  <si>
    <t>Briana</t>
  </si>
  <si>
    <t>Ronald</t>
  </si>
  <si>
    <t>Barrett</t>
  </si>
  <si>
    <t>Logan</t>
  </si>
  <si>
    <t>Huang</t>
  </si>
  <si>
    <t>Miranda</t>
  </si>
  <si>
    <t>Hutchinson</t>
  </si>
  <si>
    <t>Paul</t>
  </si>
  <si>
    <t>Richardson</t>
  </si>
  <si>
    <t>Jose</t>
  </si>
  <si>
    <t>Denise</t>
  </si>
  <si>
    <t>Shelby</t>
  </si>
  <si>
    <t>Mcmahon</t>
  </si>
  <si>
    <t>Bethany</t>
  </si>
  <si>
    <t>David</t>
  </si>
  <si>
    <t>Ortiz</t>
  </si>
  <si>
    <t>Lynch</t>
  </si>
  <si>
    <t>Kristopher</t>
  </si>
  <si>
    <t>Meyers</t>
  </si>
  <si>
    <t>Roth</t>
  </si>
  <si>
    <t>Stacy</t>
  </si>
  <si>
    <t>Sutton</t>
  </si>
  <si>
    <t>Kimberly</t>
  </si>
  <si>
    <t>Holland</t>
  </si>
  <si>
    <t>Travis</t>
  </si>
  <si>
    <t>Jasmin</t>
  </si>
  <si>
    <t>Ho</t>
  </si>
  <si>
    <t>Lewis</t>
  </si>
  <si>
    <t>Elizabeth</t>
  </si>
  <si>
    <t>Lester</t>
  </si>
  <si>
    <t>Warner</t>
  </si>
  <si>
    <t>Jane</t>
  </si>
  <si>
    <t>Cox</t>
  </si>
  <si>
    <t>Kevin</t>
  </si>
  <si>
    <t>Wong</t>
  </si>
  <si>
    <t>Andrews</t>
  </si>
  <si>
    <t>Torres</t>
  </si>
  <si>
    <t>Teresa</t>
  </si>
  <si>
    <t>Kim</t>
  </si>
  <si>
    <t>Jon</t>
  </si>
  <si>
    <t>Morgan</t>
  </si>
  <si>
    <t>Gloria</t>
  </si>
  <si>
    <t>Chaney</t>
  </si>
  <si>
    <t>Jesse</t>
  </si>
  <si>
    <t>Campbell</t>
  </si>
  <si>
    <t>Allison</t>
  </si>
  <si>
    <t>Tucker</t>
  </si>
  <si>
    <t>Candice</t>
  </si>
  <si>
    <t>Petersen</t>
  </si>
  <si>
    <t>Christopher</t>
  </si>
  <si>
    <t>Nichols</t>
  </si>
  <si>
    <t>Debra</t>
  </si>
  <si>
    <t>Fuentes</t>
  </si>
  <si>
    <t>Romero</t>
  </si>
  <si>
    <t>Clayton</t>
  </si>
  <si>
    <t>Jonathan</t>
  </si>
  <si>
    <t>Clark</t>
  </si>
  <si>
    <t>Alexander</t>
  </si>
  <si>
    <t>Shelly</t>
  </si>
  <si>
    <t>Whitehead</t>
  </si>
  <si>
    <t>Davis</t>
  </si>
  <si>
    <t>Cindy</t>
  </si>
  <si>
    <t>Jacobs</t>
  </si>
  <si>
    <t>Penny</t>
  </si>
  <si>
    <t>Ingram</t>
  </si>
  <si>
    <t>Donna</t>
  </si>
  <si>
    <t>Hansen</t>
  </si>
  <si>
    <t>Bailey</t>
  </si>
  <si>
    <t>Joshua</t>
  </si>
  <si>
    <t>Armstrong</t>
  </si>
  <si>
    <t>Garza</t>
  </si>
  <si>
    <t>Charles</t>
  </si>
  <si>
    <t>Lindsey</t>
  </si>
  <si>
    <t>Miles</t>
  </si>
  <si>
    <t>Eduardo</t>
  </si>
  <si>
    <t>Reed</t>
  </si>
  <si>
    <t>Fowler</t>
  </si>
  <si>
    <t>Steven</t>
  </si>
  <si>
    <t>Chen</t>
  </si>
  <si>
    <t>Erica</t>
  </si>
  <si>
    <t>Wayne</t>
  </si>
  <si>
    <t>Gonzales</t>
  </si>
  <si>
    <t>Gary</t>
  </si>
  <si>
    <t>Ballard</t>
  </si>
  <si>
    <t>Maria</t>
  </si>
  <si>
    <t>Mcguire</t>
  </si>
  <si>
    <t>Richards</t>
  </si>
  <si>
    <t>Patrick</t>
  </si>
  <si>
    <t>Malone</t>
  </si>
  <si>
    <t>Anne</t>
  </si>
  <si>
    <t>Edwards</t>
  </si>
  <si>
    <t>Mitchell</t>
  </si>
  <si>
    <t>Rebecca</t>
  </si>
  <si>
    <t>Lyons</t>
  </si>
  <si>
    <t>Christian</t>
  </si>
  <si>
    <t>Lopez</t>
  </si>
  <si>
    <t>Nathan</t>
  </si>
  <si>
    <t>Blair</t>
  </si>
  <si>
    <t>Patricia</t>
  </si>
  <si>
    <t>Wu</t>
  </si>
  <si>
    <t>Donald</t>
  </si>
  <si>
    <t>Gordon</t>
  </si>
  <si>
    <t>Gregory</t>
  </si>
  <si>
    <t>Clarke</t>
  </si>
  <si>
    <t>Whitney</t>
  </si>
  <si>
    <t>Robin</t>
  </si>
  <si>
    <t>Acosta</t>
  </si>
  <si>
    <t>John</t>
  </si>
  <si>
    <t>Susan</t>
  </si>
  <si>
    <t>Anthony</t>
  </si>
  <si>
    <t>Larsen</t>
  </si>
  <si>
    <t>Salazar</t>
  </si>
  <si>
    <t>William</t>
  </si>
  <si>
    <t>Caroline</t>
  </si>
  <si>
    <t>Gross</t>
  </si>
  <si>
    <t>Sawyer</t>
  </si>
  <si>
    <t>Frederick</t>
  </si>
  <si>
    <t>Ware</t>
  </si>
  <si>
    <t>Black</t>
  </si>
  <si>
    <t>Sanders</t>
  </si>
  <si>
    <t>Marc</t>
  </si>
  <si>
    <t>Joseph</t>
  </si>
  <si>
    <t>Zavala</t>
  </si>
  <si>
    <t>Brandon</t>
  </si>
  <si>
    <t>Ford</t>
  </si>
  <si>
    <t>Justin</t>
  </si>
  <si>
    <t>House</t>
  </si>
  <si>
    <t>Henry</t>
  </si>
  <si>
    <t>Mullen</t>
  </si>
  <si>
    <t>Cochran</t>
  </si>
  <si>
    <t>Melissa</t>
  </si>
  <si>
    <t>Rich</t>
  </si>
  <si>
    <t>Dunlap</t>
  </si>
  <si>
    <t>Troy</t>
  </si>
  <si>
    <t>Carson</t>
  </si>
  <si>
    <t>Brandi</t>
  </si>
  <si>
    <t>Zachary</t>
  </si>
  <si>
    <t>Burke</t>
  </si>
  <si>
    <t>Brian</t>
  </si>
  <si>
    <t>Dunn</t>
  </si>
  <si>
    <t>Shirley</t>
  </si>
  <si>
    <t>Strickland</t>
  </si>
  <si>
    <t>Jill</t>
  </si>
  <si>
    <t>Stephens</t>
  </si>
  <si>
    <t>Heidi</t>
  </si>
  <si>
    <t>Jesus</t>
  </si>
  <si>
    <t>Martinez</t>
  </si>
  <si>
    <t>Adam</t>
  </si>
  <si>
    <t>Payne</t>
  </si>
  <si>
    <t>Walter</t>
  </si>
  <si>
    <t>Shannon</t>
  </si>
  <si>
    <t>Farmer</t>
  </si>
  <si>
    <t>Peter</t>
  </si>
  <si>
    <t>Reyes</t>
  </si>
  <si>
    <t>Kristen</t>
  </si>
  <si>
    <t>Knight</t>
  </si>
  <si>
    <t>Moore</t>
  </si>
  <si>
    <t>Rowe</t>
  </si>
  <si>
    <t>Mikayla</t>
  </si>
  <si>
    <t>Jacob</t>
  </si>
  <si>
    <t>Kerr</t>
  </si>
  <si>
    <t>Ryan</t>
  </si>
  <si>
    <t>Ruiz</t>
  </si>
  <si>
    <t>Monica</t>
  </si>
  <si>
    <t>Roberts</t>
  </si>
  <si>
    <t>Danny</t>
  </si>
  <si>
    <t>Karen</t>
  </si>
  <si>
    <t>Evans</t>
  </si>
  <si>
    <t>Poole</t>
  </si>
  <si>
    <t>Richard</t>
  </si>
  <si>
    <t>Quinn</t>
  </si>
  <si>
    <t>Gonzalez</t>
  </si>
  <si>
    <t>Skinner</t>
  </si>
  <si>
    <t>Hill</t>
  </si>
  <si>
    <t>Jacqueline</t>
  </si>
  <si>
    <t>Darrell</t>
  </si>
  <si>
    <t>Crawford</t>
  </si>
  <si>
    <t>Chelsea</t>
  </si>
  <si>
    <t>Barber</t>
  </si>
  <si>
    <t>Elaine</t>
  </si>
  <si>
    <t>Kent</t>
  </si>
  <si>
    <t>Welch</t>
  </si>
  <si>
    <t>Stephen</t>
  </si>
  <si>
    <t>Chloe</t>
  </si>
  <si>
    <t>Gray</t>
  </si>
  <si>
    <t>Julia</t>
  </si>
  <si>
    <t>Murphy</t>
  </si>
  <si>
    <t>Fleming</t>
  </si>
  <si>
    <t>Daniel</t>
  </si>
  <si>
    <t>Harrington</t>
  </si>
  <si>
    <t>Barnett</t>
  </si>
  <si>
    <t>Cummings</t>
  </si>
  <si>
    <t>Guerra</t>
  </si>
  <si>
    <t>Sarah</t>
  </si>
  <si>
    <t>Watson</t>
  </si>
  <si>
    <t>Jackson</t>
  </si>
  <si>
    <t>Stephanie</t>
  </si>
  <si>
    <t>Olson</t>
  </si>
  <si>
    <t>Fred</t>
  </si>
  <si>
    <t>Stark</t>
  </si>
  <si>
    <t>Gill</t>
  </si>
  <si>
    <t>Knapp</t>
  </si>
  <si>
    <t>Walker</t>
  </si>
  <si>
    <t>Reeves</t>
  </si>
  <si>
    <t>Carrie</t>
  </si>
  <si>
    <t>Little</t>
  </si>
  <si>
    <t>Perry</t>
  </si>
  <si>
    <t>Cameron</t>
  </si>
  <si>
    <t>Holmes</t>
  </si>
  <si>
    <t>Jeffery</t>
  </si>
  <si>
    <t>Drake</t>
  </si>
  <si>
    <t>Dakota</t>
  </si>
  <si>
    <t>Wells</t>
  </si>
  <si>
    <t>Keith</t>
  </si>
  <si>
    <t>Heather</t>
  </si>
  <si>
    <t>Camacho</t>
  </si>
  <si>
    <t>Peterson</t>
  </si>
  <si>
    <t>Nancy</t>
  </si>
  <si>
    <t>Long</t>
  </si>
  <si>
    <t>Gaines</t>
  </si>
  <si>
    <t>Haley</t>
  </si>
  <si>
    <t>Yates</t>
  </si>
  <si>
    <t>Fisher</t>
  </si>
  <si>
    <t>Goodwin</t>
  </si>
  <si>
    <t>Meagan</t>
  </si>
  <si>
    <t>Walters</t>
  </si>
  <si>
    <t>Powell</t>
  </si>
  <si>
    <t>Dr.</t>
  </si>
  <si>
    <t>Aguilar</t>
  </si>
  <si>
    <t>Alex</t>
  </si>
  <si>
    <t>Novak</t>
  </si>
  <si>
    <t>Ann</t>
  </si>
  <si>
    <t>Contreras</t>
  </si>
  <si>
    <t>Mary</t>
  </si>
  <si>
    <t>Lauren</t>
  </si>
  <si>
    <t>Ross</t>
  </si>
  <si>
    <t>Wise</t>
  </si>
  <si>
    <t>Joyce</t>
  </si>
  <si>
    <t>Humphrey</t>
  </si>
  <si>
    <t>Carr</t>
  </si>
  <si>
    <t>Mendoza</t>
  </si>
  <si>
    <t>Cathy</t>
  </si>
  <si>
    <t>Baldwin</t>
  </si>
  <si>
    <t>Hart</t>
  </si>
  <si>
    <t>Mike</t>
  </si>
  <si>
    <t>Stanley</t>
  </si>
  <si>
    <t>Jeffrey</t>
  </si>
  <si>
    <t>Mendez</t>
  </si>
  <si>
    <t>Beth</t>
  </si>
  <si>
    <t>Crane</t>
  </si>
  <si>
    <t>Miguel</t>
  </si>
  <si>
    <t>Robles</t>
  </si>
  <si>
    <t>Joel</t>
  </si>
  <si>
    <t>Olivia</t>
  </si>
  <si>
    <t>Schultz</t>
  </si>
  <si>
    <t>Pena</t>
  </si>
  <si>
    <t>Lucas</t>
  </si>
  <si>
    <t>Angela</t>
  </si>
  <si>
    <t>Ruben</t>
  </si>
  <si>
    <t>Briggs</t>
  </si>
  <si>
    <t>Giles</t>
  </si>
  <si>
    <t>Castillo</t>
  </si>
  <si>
    <t>Allen</t>
  </si>
  <si>
    <t>Danielle</t>
  </si>
  <si>
    <t>Costa</t>
  </si>
  <si>
    <t>Nunez</t>
  </si>
  <si>
    <t>Riggs</t>
  </si>
  <si>
    <t>Kathryn</t>
  </si>
  <si>
    <t>Walls</t>
  </si>
  <si>
    <t>Paula</t>
  </si>
  <si>
    <t>Stevens</t>
  </si>
  <si>
    <t>Hudson</t>
  </si>
  <si>
    <t>Dean</t>
  </si>
  <si>
    <t>Tammy</t>
  </si>
  <si>
    <t>Nathaniel</t>
  </si>
  <si>
    <t>Flores</t>
  </si>
  <si>
    <t>Edwin</t>
  </si>
  <si>
    <t>Brittany</t>
  </si>
  <si>
    <t>Mcdowell</t>
  </si>
  <si>
    <t>Robinson</t>
  </si>
  <si>
    <t>Aaron</t>
  </si>
  <si>
    <t>Pruitt</t>
  </si>
  <si>
    <t>Victoria</t>
  </si>
  <si>
    <t>Clarence</t>
  </si>
  <si>
    <t>Vega</t>
  </si>
  <si>
    <t>Deborah</t>
  </si>
  <si>
    <t>Rocha</t>
  </si>
  <si>
    <t>Elijah</t>
  </si>
  <si>
    <t>Velasquez</t>
  </si>
  <si>
    <t>Kurt</t>
  </si>
  <si>
    <t>Jeremiah</t>
  </si>
  <si>
    <t>Lang</t>
  </si>
  <si>
    <t>Phillips</t>
  </si>
  <si>
    <t>Andersen</t>
  </si>
  <si>
    <t>Mayo</t>
  </si>
  <si>
    <t>Vance</t>
  </si>
  <si>
    <t>Alexa</t>
  </si>
  <si>
    <t>Gallegos</t>
  </si>
  <si>
    <t>Pratt</t>
  </si>
  <si>
    <t>Christina</t>
  </si>
  <si>
    <t>Norman</t>
  </si>
  <si>
    <t>Webb</t>
  </si>
  <si>
    <t>Bradley</t>
  </si>
  <si>
    <t>Arthur</t>
  </si>
  <si>
    <t>Vasquez</t>
  </si>
  <si>
    <t>Castro</t>
  </si>
  <si>
    <t>Summer</t>
  </si>
  <si>
    <t>Yoder</t>
  </si>
  <si>
    <t>Jackie</t>
  </si>
  <si>
    <t>Manuel</t>
  </si>
  <si>
    <t>Keller</t>
  </si>
  <si>
    <t>Lara</t>
  </si>
  <si>
    <t>Garrison</t>
  </si>
  <si>
    <t>Gerald</t>
  </si>
  <si>
    <t>Ellis</t>
  </si>
  <si>
    <t>Douglas</t>
  </si>
  <si>
    <t>Mills</t>
  </si>
  <si>
    <t>Marks</t>
  </si>
  <si>
    <t>Phyllis</t>
  </si>
  <si>
    <t>Dawson</t>
  </si>
  <si>
    <t>Renee</t>
  </si>
  <si>
    <t>Arnold</t>
  </si>
  <si>
    <t>Proctor</t>
  </si>
  <si>
    <t>Hicks</t>
  </si>
  <si>
    <t>Joanne</t>
  </si>
  <si>
    <t>Isaac</t>
  </si>
  <si>
    <t>Estrada</t>
  </si>
  <si>
    <t>Huynh</t>
  </si>
  <si>
    <t>Mindy</t>
  </si>
  <si>
    <t>York</t>
  </si>
  <si>
    <t>Valencia</t>
  </si>
  <si>
    <t>Ethan</t>
  </si>
  <si>
    <t>Adams</t>
  </si>
  <si>
    <t>Brett</t>
  </si>
  <si>
    <t>Stacie</t>
  </si>
  <si>
    <t>Wall</t>
  </si>
  <si>
    <t>Sabrina</t>
  </si>
  <si>
    <t>Davidson</t>
  </si>
  <si>
    <t>Dustin</t>
  </si>
  <si>
    <t>Norris</t>
  </si>
  <si>
    <t>Sullivan</t>
  </si>
  <si>
    <t>Stone</t>
  </si>
  <si>
    <t>Diane</t>
  </si>
  <si>
    <t>Erickson</t>
  </si>
  <si>
    <t>Sara</t>
  </si>
  <si>
    <t>Moses</t>
  </si>
  <si>
    <t>Henderson</t>
  </si>
  <si>
    <t>Dixon</t>
  </si>
  <si>
    <t>Morrison</t>
  </si>
  <si>
    <t>Kathleen</t>
  </si>
  <si>
    <t>Natalie</t>
  </si>
  <si>
    <t>Frank</t>
  </si>
  <si>
    <t>Sheila</t>
  </si>
  <si>
    <t>Linda</t>
  </si>
  <si>
    <t>Regina</t>
  </si>
  <si>
    <t>Perkins</t>
  </si>
  <si>
    <t>Weaver</t>
  </si>
  <si>
    <t>Hall</t>
  </si>
  <si>
    <t>Walton</t>
  </si>
  <si>
    <t>Mcclain</t>
  </si>
  <si>
    <t>Williamson</t>
  </si>
  <si>
    <t>Downs</t>
  </si>
  <si>
    <t>Jack</t>
  </si>
  <si>
    <t>Ortega</t>
  </si>
  <si>
    <t>Marvin</t>
  </si>
  <si>
    <t>Tony</t>
  </si>
  <si>
    <t>Washington</t>
  </si>
  <si>
    <t>Andrea</t>
  </si>
  <si>
    <t>Perez</t>
  </si>
  <si>
    <t>Angel</t>
  </si>
  <si>
    <t>Collins</t>
  </si>
  <si>
    <t>Terry</t>
  </si>
  <si>
    <t>Whitaker</t>
  </si>
  <si>
    <t>Neal</t>
  </si>
  <si>
    <t>Mercer</t>
  </si>
  <si>
    <t>Lindsay</t>
  </si>
  <si>
    <t>Maxwell</t>
  </si>
  <si>
    <t>Becker</t>
  </si>
  <si>
    <t>Barrera</t>
  </si>
  <si>
    <t>Sanchez</t>
  </si>
  <si>
    <t>Tiffany</t>
  </si>
  <si>
    <t>Bowman</t>
  </si>
  <si>
    <t>Morris</t>
  </si>
  <si>
    <t>Mathis</t>
  </si>
  <si>
    <t>Jasmine</t>
  </si>
  <si>
    <t>Judith</t>
  </si>
  <si>
    <t>Moran</t>
  </si>
  <si>
    <t>Ian</t>
  </si>
  <si>
    <t>May</t>
  </si>
  <si>
    <t>Kayla</t>
  </si>
  <si>
    <t>Bray</t>
  </si>
  <si>
    <t>Duncan</t>
  </si>
  <si>
    <t>Gay</t>
  </si>
  <si>
    <t>Cheryl</t>
  </si>
  <si>
    <t>Freeman</t>
  </si>
  <si>
    <t>Craig</t>
  </si>
  <si>
    <t>Levine</t>
  </si>
  <si>
    <t>Harvey</t>
  </si>
  <si>
    <t>Bonnie</t>
  </si>
  <si>
    <t>Sherman</t>
  </si>
  <si>
    <t>Trujillo</t>
  </si>
  <si>
    <t>Combs</t>
  </si>
  <si>
    <t>Antonio</t>
  </si>
  <si>
    <t>King</t>
  </si>
  <si>
    <t>Cooper</t>
  </si>
  <si>
    <t>Raymond</t>
  </si>
  <si>
    <t>Horton</t>
  </si>
  <si>
    <t>Stewart</t>
  </si>
  <si>
    <t>Suzanne</t>
  </si>
  <si>
    <t>Mclaughlin</t>
  </si>
  <si>
    <t>Isabel</t>
  </si>
  <si>
    <t>Stein</t>
  </si>
  <si>
    <t>Dillon</t>
  </si>
  <si>
    <t>Clifford</t>
  </si>
  <si>
    <t>Rios</t>
  </si>
  <si>
    <t>Kristi</t>
  </si>
  <si>
    <t>Odonnell</t>
  </si>
  <si>
    <t>Elliott</t>
  </si>
  <si>
    <t>Lorraine</t>
  </si>
  <si>
    <t>Lowery</t>
  </si>
  <si>
    <t>Chapman</t>
  </si>
  <si>
    <t>Adkins</t>
  </si>
  <si>
    <t>Kenneth</t>
  </si>
  <si>
    <t>Arias</t>
  </si>
  <si>
    <t>Owen</t>
  </si>
  <si>
    <t>Compton</t>
  </si>
  <si>
    <t>West</t>
  </si>
  <si>
    <t>Theresa</t>
  </si>
  <si>
    <t>Bryant</t>
  </si>
  <si>
    <t>Maureen</t>
  </si>
  <si>
    <t>Shawn</t>
  </si>
  <si>
    <t>Catherine</t>
  </si>
  <si>
    <t>Mccoy</t>
  </si>
  <si>
    <t>Benitez</t>
  </si>
  <si>
    <t>Chambers</t>
  </si>
  <si>
    <t>Janice</t>
  </si>
  <si>
    <t>Carla</t>
  </si>
  <si>
    <t>Wood</t>
  </si>
  <si>
    <t>Park</t>
  </si>
  <si>
    <t>Baird</t>
  </si>
  <si>
    <t>Erika</t>
  </si>
  <si>
    <t>Cassandra</t>
  </si>
  <si>
    <t>Miss</t>
  </si>
  <si>
    <t>Janet</t>
  </si>
  <si>
    <t>Kristina</t>
  </si>
  <si>
    <t>Barnes</t>
  </si>
  <si>
    <t>Hinton</t>
  </si>
  <si>
    <t>Spence</t>
  </si>
  <si>
    <t>Barron</t>
  </si>
  <si>
    <t>Rodney</t>
  </si>
  <si>
    <t>Fitzgerald</t>
  </si>
  <si>
    <t>Hayes</t>
  </si>
  <si>
    <t>Kathy</t>
  </si>
  <si>
    <t>Faulkner</t>
  </si>
  <si>
    <t>Luna</t>
  </si>
  <si>
    <t>Dawn</t>
  </si>
  <si>
    <t>Hardy</t>
  </si>
  <si>
    <t>Margaret</t>
  </si>
  <si>
    <t>Vargas</t>
  </si>
  <si>
    <t>Tonya</t>
  </si>
  <si>
    <t>Ariana</t>
  </si>
  <si>
    <t>Pittman</t>
  </si>
  <si>
    <t>Kelli</t>
  </si>
  <si>
    <t>Horn</t>
  </si>
  <si>
    <t>Sandra</t>
  </si>
  <si>
    <t>Mccormick</t>
  </si>
  <si>
    <t>Stevenson</t>
  </si>
  <si>
    <t>Bennett</t>
  </si>
  <si>
    <t>Michele</t>
  </si>
  <si>
    <t>Duran</t>
  </si>
  <si>
    <t>Shaffer</t>
  </si>
  <si>
    <t>Decker</t>
  </si>
  <si>
    <t>Brianna</t>
  </si>
  <si>
    <t>Hunter</t>
  </si>
  <si>
    <t>Rachel</t>
  </si>
  <si>
    <t>Willie</t>
  </si>
  <si>
    <t>Tina</t>
  </si>
  <si>
    <t>Pamela</t>
  </si>
  <si>
    <t>Ewing</t>
  </si>
  <si>
    <t>Martha</t>
  </si>
  <si>
    <t>Young</t>
  </si>
  <si>
    <t>Mooney</t>
  </si>
  <si>
    <t>Orr</t>
  </si>
  <si>
    <t>Dana</t>
  </si>
  <si>
    <t>Steele</t>
  </si>
  <si>
    <t>Taylor</t>
  </si>
  <si>
    <t>Hammond</t>
  </si>
  <si>
    <t>Casey</t>
  </si>
  <si>
    <t>Bush</t>
  </si>
  <si>
    <t>Patterson</t>
  </si>
  <si>
    <t>Dennis</t>
  </si>
  <si>
    <t>Bishop</t>
  </si>
  <si>
    <t>Butler</t>
  </si>
  <si>
    <t>Blackwell</t>
  </si>
  <si>
    <t>Lane</t>
  </si>
  <si>
    <t>Salas</t>
  </si>
  <si>
    <t>Emma</t>
  </si>
  <si>
    <t>Alison</t>
  </si>
  <si>
    <t>Finley</t>
  </si>
  <si>
    <t>Kemp</t>
  </si>
  <si>
    <t>Newman</t>
  </si>
  <si>
    <t>Katie</t>
  </si>
  <si>
    <t>Hensley</t>
  </si>
  <si>
    <t>Randolph</t>
  </si>
  <si>
    <t>Ochoa</t>
  </si>
  <si>
    <t>Arroyo</t>
  </si>
  <si>
    <t>Fernandez</t>
  </si>
  <si>
    <t>Benjamin</t>
  </si>
  <si>
    <t>Greer</t>
  </si>
  <si>
    <t>Cynthia</t>
  </si>
  <si>
    <t>Mckinney</t>
  </si>
  <si>
    <t>Wendy</t>
  </si>
  <si>
    <t>Rice</t>
  </si>
  <si>
    <t>Randy</t>
  </si>
  <si>
    <t>Bender</t>
  </si>
  <si>
    <t>Dominguez</t>
  </si>
  <si>
    <t>Maldonado</t>
  </si>
  <si>
    <t>Roy</t>
  </si>
  <si>
    <t>Porter</t>
  </si>
  <si>
    <t>Javier</t>
  </si>
  <si>
    <t>Hobbs</t>
  </si>
  <si>
    <t>Owens</t>
  </si>
  <si>
    <t>Ernest</t>
  </si>
  <si>
    <t>Cole</t>
  </si>
  <si>
    <t>Hannah</t>
  </si>
  <si>
    <t>Ellen</t>
  </si>
  <si>
    <t>Harrell</t>
  </si>
  <si>
    <t>Connie</t>
  </si>
  <si>
    <t>Tracy</t>
  </si>
  <si>
    <t>Diaz</t>
  </si>
  <si>
    <t>Walsh</t>
  </si>
  <si>
    <t>Carol</t>
  </si>
  <si>
    <t>Hines</t>
  </si>
  <si>
    <t>Sweeney</t>
  </si>
  <si>
    <t>Katrina</t>
  </si>
  <si>
    <t>Bell</t>
  </si>
  <si>
    <t>Brady</t>
  </si>
  <si>
    <t>Bright</t>
  </si>
  <si>
    <t>Barker</t>
  </si>
  <si>
    <t>Turner</t>
  </si>
  <si>
    <t>Shane</t>
  </si>
  <si>
    <t>Hale</t>
  </si>
  <si>
    <t>Grimes</t>
  </si>
  <si>
    <t>Braun</t>
  </si>
  <si>
    <t>Shawna</t>
  </si>
  <si>
    <t>Palmer</t>
  </si>
  <si>
    <t>April</t>
  </si>
  <si>
    <t>Booker</t>
  </si>
  <si>
    <t>Munoz</t>
  </si>
  <si>
    <t>Ali</t>
  </si>
  <si>
    <t>Waters</t>
  </si>
  <si>
    <t>Misty</t>
  </si>
  <si>
    <t>Nguyen</t>
  </si>
  <si>
    <t>Boyer</t>
  </si>
  <si>
    <t>Carl</t>
  </si>
  <si>
    <t>Kline</t>
  </si>
  <si>
    <t>Madison</t>
  </si>
  <si>
    <t>Mcintosh</t>
  </si>
  <si>
    <t>Desiree</t>
  </si>
  <si>
    <t>Winters</t>
  </si>
  <si>
    <t>Erin</t>
  </si>
  <si>
    <t>Jimenez</t>
  </si>
  <si>
    <t>Krause</t>
  </si>
  <si>
    <t>Stuart</t>
  </si>
  <si>
    <t>Kellie</t>
  </si>
  <si>
    <t>Le</t>
  </si>
  <si>
    <t>Fox</t>
  </si>
  <si>
    <t>Gilbert</t>
  </si>
  <si>
    <t>Sparks</t>
  </si>
  <si>
    <t>Bryan</t>
  </si>
  <si>
    <t>Gomez</t>
  </si>
  <si>
    <t>Hamilton</t>
  </si>
  <si>
    <t>Moon</t>
  </si>
  <si>
    <t>Katherine</t>
  </si>
  <si>
    <t>Carlson</t>
  </si>
  <si>
    <t>Clay</t>
  </si>
  <si>
    <t>Case</t>
  </si>
  <si>
    <t>Holloway</t>
  </si>
  <si>
    <t>Delgado</t>
  </si>
  <si>
    <t>Lambert</t>
  </si>
  <si>
    <t>Dwayne</t>
  </si>
  <si>
    <t>Parks</t>
  </si>
  <si>
    <t>Jake</t>
  </si>
  <si>
    <t>Gilmore</t>
  </si>
  <si>
    <t>Rivera</t>
  </si>
  <si>
    <t>Cardenas</t>
  </si>
  <si>
    <t>Rhonda</t>
  </si>
  <si>
    <t>Melody</t>
  </si>
  <si>
    <t>Russell</t>
  </si>
  <si>
    <t>Potts</t>
  </si>
  <si>
    <t>Alan</t>
  </si>
  <si>
    <t>Alexandra</t>
  </si>
  <si>
    <t>Sims</t>
  </si>
  <si>
    <t>Reid</t>
  </si>
  <si>
    <t>Matthews</t>
  </si>
  <si>
    <t>Toni</t>
  </si>
  <si>
    <t>Griffith</t>
  </si>
  <si>
    <t>Dale</t>
  </si>
  <si>
    <t>Haynes</t>
  </si>
  <si>
    <t>Guzman</t>
  </si>
  <si>
    <t>Reginald</t>
  </si>
  <si>
    <t>Kristine</t>
  </si>
  <si>
    <t>Evan</t>
  </si>
  <si>
    <t>Soto</t>
  </si>
  <si>
    <t>Serrano</t>
  </si>
  <si>
    <t>Benson</t>
  </si>
  <si>
    <t>Deanna</t>
  </si>
  <si>
    <t>Beverly</t>
  </si>
  <si>
    <t>Saunders</t>
  </si>
  <si>
    <t>Guerrero</t>
  </si>
  <si>
    <t>Flowers</t>
  </si>
  <si>
    <t>Woods</t>
  </si>
  <si>
    <t>Cook</t>
  </si>
  <si>
    <t>Zamora</t>
  </si>
  <si>
    <t>Jerry</t>
  </si>
  <si>
    <t>Caleb</t>
  </si>
  <si>
    <t>Beard</t>
  </si>
  <si>
    <t>Wallace</t>
  </si>
  <si>
    <t>Moreno</t>
  </si>
  <si>
    <t>Yolanda</t>
  </si>
  <si>
    <t>Huff</t>
  </si>
  <si>
    <t>Wang</t>
  </si>
  <si>
    <t>Schwartz</t>
  </si>
  <si>
    <t>Ray</t>
  </si>
  <si>
    <t>Hebert</t>
  </si>
  <si>
    <t>Hendrix</t>
  </si>
  <si>
    <t>Haney</t>
  </si>
  <si>
    <t>Reese</t>
  </si>
  <si>
    <t>Hartman</t>
  </si>
  <si>
    <t>Sonya</t>
  </si>
  <si>
    <t>Carolyn</t>
  </si>
  <si>
    <t>Morrow</t>
  </si>
  <si>
    <t>Anita</t>
  </si>
  <si>
    <t>Brooks</t>
  </si>
  <si>
    <t>Marshall</t>
  </si>
  <si>
    <t>Valerie</t>
  </si>
  <si>
    <t>Gutierrez</t>
  </si>
  <si>
    <t>Parker</t>
  </si>
  <si>
    <t>Woodward</t>
  </si>
  <si>
    <t>Kelley</t>
  </si>
  <si>
    <t>Hampton</t>
  </si>
  <si>
    <t>Hester</t>
  </si>
  <si>
    <t>Glover</t>
  </si>
  <si>
    <t>Hector</t>
  </si>
  <si>
    <t>Macdonald</t>
  </si>
  <si>
    <t>Gabrielle</t>
  </si>
  <si>
    <t>Julian</t>
  </si>
  <si>
    <t>Johnston</t>
  </si>
  <si>
    <t>Koch</t>
  </si>
  <si>
    <t>Meza</t>
  </si>
  <si>
    <t>Latoya</t>
  </si>
  <si>
    <t>Osborne</t>
  </si>
  <si>
    <t>Hooper</t>
  </si>
  <si>
    <t>Werner</t>
  </si>
  <si>
    <t>Jay</t>
  </si>
  <si>
    <t>Johnny</t>
  </si>
  <si>
    <t>Strong</t>
  </si>
  <si>
    <t>Chandler</t>
  </si>
  <si>
    <t>Barton</t>
  </si>
  <si>
    <t>Hickman</t>
  </si>
  <si>
    <t>Blake</t>
  </si>
  <si>
    <t>Newton</t>
  </si>
  <si>
    <t>Seth</t>
  </si>
  <si>
    <t>Ramos</t>
  </si>
  <si>
    <t>Solis</t>
  </si>
  <si>
    <t>Charlotte</t>
  </si>
  <si>
    <t>Preston</t>
  </si>
  <si>
    <t>Jim</t>
  </si>
  <si>
    <t>Weiss</t>
  </si>
  <si>
    <t>Albert</t>
  </si>
  <si>
    <t>Wilcox</t>
  </si>
  <si>
    <t>Watkins</t>
  </si>
  <si>
    <t>Obrien</t>
  </si>
  <si>
    <t>First Name</t>
  </si>
  <si>
    <t>Last Name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</si>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</sst>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2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2" fontId="0" fillId="0" borderId="0" xfId="2" applyNumberFormat="1" applyFont="1"/>
    <xf numFmtId="2" fontId="0" fillId="0" borderId="0" xfId="0" applyNumberFormat="1"/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7" xfId="0" applyBorder="1" applyAlignment="1">
      <alignment horizontal="left"/>
    </xf>
    <xf numFmtId="44" fontId="0" fillId="0" borderId="7" xfId="1" applyFont="1" applyBorder="1" applyAlignment="1">
      <alignment horizontal="left"/>
    </xf>
    <xf numFmtId="166" fontId="0" fillId="0" borderId="7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44" fontId="0" fillId="0" borderId="8" xfId="1" applyFont="1" applyBorder="1" applyAlignment="1">
      <alignment horizontal="left"/>
    </xf>
    <xf numFmtId="166" fontId="0" fillId="0" borderId="8" xfId="0" applyNumberFormat="1" applyBorder="1" applyAlignment="1">
      <alignment horizontal="left"/>
    </xf>
    <xf numFmtId="2" fontId="0" fillId="0" borderId="2" xfId="0" applyNumberFormat="1" applyBorder="1" applyAlignment="1">
      <alignment horizontal="left"/>
    </xf>
    <xf numFmtId="2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44" fontId="0" fillId="0" borderId="9" xfId="1" applyFont="1" applyBorder="1" applyAlignment="1">
      <alignment horizontal="left"/>
    </xf>
    <xf numFmtId="166" fontId="0" fillId="0" borderId="9" xfId="0" applyNumberFormat="1" applyBorder="1" applyAlignment="1">
      <alignment horizontal="left"/>
    </xf>
    <xf numFmtId="2" fontId="0" fillId="0" borderId="6" xfId="0" applyNumberForma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76BE1-E199-47C9-8FB0-8739AD11CBFE}" name="global_freelancers_raw" displayName="global_freelancers_raw" ref="A1:L1001" totalsRowShown="0">
  <autoFilter ref="A1:L1001" xr:uid="{74776BE1-E199-47C9-8FB0-8739AD11CBFE}"/>
  <tableColumns count="12">
    <tableColumn id="1" xr3:uid="{64E32214-C4C2-4F45-B5BF-57D7F29A5933}" name="freelancer_ID" dataDxfId="7"/>
    <tableColumn id="2" xr3:uid="{51DB430E-696A-4D11-9D7A-4A94C2334889}" name="name" dataDxfId="6"/>
    <tableColumn id="3" xr3:uid="{C11721AD-3DF3-4A16-8405-BB914C8F3BC3}" name="gender" dataDxfId="5"/>
    <tableColumn id="4" xr3:uid="{33EFC170-DEFA-446D-9E62-E3654EFFD253}" name="age"/>
    <tableColumn id="5" xr3:uid="{DDB99393-C585-45DD-A2A8-00852BC29163}" name="country" dataDxfId="4"/>
    <tableColumn id="6" xr3:uid="{BA321015-E703-4005-8930-7393A9438072}" name="language" dataDxfId="3"/>
    <tableColumn id="7" xr3:uid="{B884309E-97B6-4105-8FF3-4D02D29504A3}" name="primary_skill" dataDxfId="2"/>
    <tableColumn id="8" xr3:uid="{65CD93ED-E5FE-466D-81AD-CAF322881C96}" name="years_of_experience"/>
    <tableColumn id="9" xr3:uid="{F704FAB8-1059-4122-9BCC-523D36F928EB}" name="hourly_rate (USD)" dataDxfId="1"/>
    <tableColumn id="10" xr3:uid="{C545E9F5-15F7-424D-A284-5959194A53DF}" name="rating"/>
    <tableColumn id="11" xr3:uid="{5B64B484-C158-4983-B3A5-F9662D3AD59C}" name="is_active" dataDxfId="0"/>
    <tableColumn id="12" xr3:uid="{49C78BE5-2996-4CC9-8E32-21B9B045D050}" name="client_satisfac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9880-0C1E-407A-B2F1-48268A0932B2}">
  <dimension ref="A1:L1001"/>
  <sheetViews>
    <sheetView workbookViewId="0">
      <selection sqref="A1:XFD1048576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5" width="14" bestFit="1" customWidth="1"/>
    <col min="6" max="6" width="10.88671875" bestFit="1" customWidth="1"/>
    <col min="7" max="7" width="21.44140625" bestFit="1" customWidth="1"/>
    <col min="8" max="8" width="20.77734375" bestFit="1" customWidth="1"/>
    <col min="9" max="9" width="18.44140625" bestFit="1" customWidth="1"/>
    <col min="10" max="10" width="8.109375" bestFit="1" customWidth="1"/>
    <col min="11" max="11" width="10.44140625" bestFit="1" customWidth="1"/>
    <col min="12" max="12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>
        <v>52</v>
      </c>
      <c r="E2" s="1" t="s">
        <v>15</v>
      </c>
      <c r="F2" s="1" t="s">
        <v>16</v>
      </c>
      <c r="G2" s="1" t="s">
        <v>17</v>
      </c>
      <c r="H2">
        <v>11</v>
      </c>
      <c r="I2" s="1" t="s">
        <v>18</v>
      </c>
      <c r="K2" s="1" t="s">
        <v>19</v>
      </c>
    </row>
    <row r="3" spans="1:12" x14ac:dyDescent="0.3">
      <c r="A3" s="1" t="s">
        <v>20</v>
      </c>
      <c r="B3" s="1" t="s">
        <v>21</v>
      </c>
      <c r="C3" s="1" t="s">
        <v>22</v>
      </c>
      <c r="D3">
        <v>52</v>
      </c>
      <c r="E3" s="1" t="s">
        <v>23</v>
      </c>
      <c r="F3" s="1" t="s">
        <v>24</v>
      </c>
      <c r="G3" s="1" t="s">
        <v>25</v>
      </c>
      <c r="H3">
        <v>34</v>
      </c>
      <c r="I3" s="1" t="s">
        <v>26</v>
      </c>
      <c r="J3">
        <v>3.3</v>
      </c>
      <c r="K3" s="1" t="s">
        <v>27</v>
      </c>
      <c r="L3">
        <v>0.84</v>
      </c>
    </row>
    <row r="4" spans="1:12" x14ac:dyDescent="0.3">
      <c r="A4" s="1" t="s">
        <v>28</v>
      </c>
      <c r="B4" s="1" t="s">
        <v>29</v>
      </c>
      <c r="C4" s="1" t="s">
        <v>30</v>
      </c>
      <c r="D4">
        <v>53</v>
      </c>
      <c r="E4" s="1" t="s">
        <v>31</v>
      </c>
      <c r="F4" s="1" t="s">
        <v>32</v>
      </c>
      <c r="G4" s="1" t="s">
        <v>33</v>
      </c>
      <c r="H4">
        <v>31</v>
      </c>
      <c r="I4" s="1" t="s">
        <v>34</v>
      </c>
      <c r="J4">
        <v>0</v>
      </c>
      <c r="K4" s="1" t="s">
        <v>35</v>
      </c>
      <c r="L4">
        <v>0.71</v>
      </c>
    </row>
    <row r="5" spans="1:12" x14ac:dyDescent="0.3">
      <c r="A5" s="1" t="s">
        <v>36</v>
      </c>
      <c r="B5" s="1" t="s">
        <v>37</v>
      </c>
      <c r="C5" s="1" t="s">
        <v>38</v>
      </c>
      <c r="D5">
        <v>38</v>
      </c>
      <c r="E5" s="1" t="s">
        <v>23</v>
      </c>
      <c r="F5" s="1" t="s">
        <v>24</v>
      </c>
      <c r="G5" s="1" t="s">
        <v>39</v>
      </c>
      <c r="H5">
        <v>4</v>
      </c>
      <c r="I5" s="1" t="s">
        <v>40</v>
      </c>
      <c r="J5">
        <v>1.5</v>
      </c>
      <c r="K5" s="1" t="s">
        <v>35</v>
      </c>
      <c r="L5">
        <v>0.9</v>
      </c>
    </row>
    <row r="6" spans="1:12" x14ac:dyDescent="0.3">
      <c r="A6" s="1" t="s">
        <v>41</v>
      </c>
      <c r="B6" s="1" t="s">
        <v>42</v>
      </c>
      <c r="C6" s="1" t="s">
        <v>43</v>
      </c>
      <c r="D6">
        <v>53</v>
      </c>
      <c r="E6" s="1" t="s">
        <v>31</v>
      </c>
      <c r="F6" s="1" t="s">
        <v>32</v>
      </c>
      <c r="G6" s="1" t="s">
        <v>39</v>
      </c>
      <c r="H6">
        <v>27</v>
      </c>
      <c r="I6" s="1" t="s">
        <v>44</v>
      </c>
      <c r="J6">
        <v>4.8</v>
      </c>
      <c r="K6" s="1" t="s">
        <v>19</v>
      </c>
      <c r="L6">
        <v>0.83</v>
      </c>
    </row>
    <row r="7" spans="1:12" x14ac:dyDescent="0.3">
      <c r="A7" s="1" t="s">
        <v>45</v>
      </c>
      <c r="B7" s="1" t="s">
        <v>46</v>
      </c>
      <c r="C7" s="1" t="s">
        <v>43</v>
      </c>
      <c r="D7">
        <v>59</v>
      </c>
      <c r="E7" s="1" t="s">
        <v>47</v>
      </c>
      <c r="F7" s="1" t="s">
        <v>48</v>
      </c>
      <c r="G7" s="1" t="s">
        <v>49</v>
      </c>
      <c r="H7">
        <v>14</v>
      </c>
      <c r="I7" s="1" t="s">
        <v>50</v>
      </c>
      <c r="J7">
        <v>2.4</v>
      </c>
      <c r="K7" s="1" t="s">
        <v>51</v>
      </c>
    </row>
    <row r="8" spans="1:12" x14ac:dyDescent="0.3">
      <c r="A8" s="1" t="s">
        <v>52</v>
      </c>
      <c r="B8" s="1" t="s">
        <v>53</v>
      </c>
      <c r="C8" s="1" t="s">
        <v>54</v>
      </c>
      <c r="D8">
        <v>52</v>
      </c>
      <c r="E8" s="1" t="s">
        <v>55</v>
      </c>
      <c r="F8" s="1" t="s">
        <v>56</v>
      </c>
      <c r="G8" s="1" t="s">
        <v>57</v>
      </c>
      <c r="H8">
        <v>10</v>
      </c>
      <c r="I8" s="1" t="s">
        <v>58</v>
      </c>
      <c r="J8">
        <v>3.1</v>
      </c>
      <c r="K8" s="1" t="s">
        <v>19</v>
      </c>
      <c r="L8">
        <v>0.94</v>
      </c>
    </row>
    <row r="9" spans="1:12" x14ac:dyDescent="0.3">
      <c r="A9" s="1" t="s">
        <v>59</v>
      </c>
      <c r="B9" s="1" t="s">
        <v>60</v>
      </c>
      <c r="C9" s="1" t="s">
        <v>30</v>
      </c>
      <c r="D9">
        <v>43</v>
      </c>
      <c r="E9" s="1" t="s">
        <v>15</v>
      </c>
      <c r="F9" s="1" t="s">
        <v>16</v>
      </c>
      <c r="G9" s="1" t="s">
        <v>17</v>
      </c>
      <c r="H9">
        <v>14</v>
      </c>
      <c r="I9" s="1" t="s">
        <v>61</v>
      </c>
      <c r="J9">
        <v>4.5999999999999996</v>
      </c>
      <c r="K9" s="1" t="s">
        <v>51</v>
      </c>
      <c r="L9">
        <v>0.94</v>
      </c>
    </row>
    <row r="10" spans="1:12" x14ac:dyDescent="0.3">
      <c r="A10" s="1" t="s">
        <v>62</v>
      </c>
      <c r="B10" s="1" t="s">
        <v>63</v>
      </c>
      <c r="C10" s="1" t="s">
        <v>30</v>
      </c>
      <c r="D10">
        <v>26</v>
      </c>
      <c r="E10" s="1" t="s">
        <v>64</v>
      </c>
      <c r="F10" s="1" t="s">
        <v>24</v>
      </c>
      <c r="G10" s="1" t="s">
        <v>17</v>
      </c>
      <c r="H10">
        <v>4</v>
      </c>
      <c r="I10" s="1" t="s">
        <v>65</v>
      </c>
      <c r="J10">
        <v>4</v>
      </c>
      <c r="K10" s="1" t="s">
        <v>66</v>
      </c>
      <c r="L10">
        <v>0.76</v>
      </c>
    </row>
    <row r="11" spans="1:12" x14ac:dyDescent="0.3">
      <c r="A11" s="1" t="s">
        <v>67</v>
      </c>
      <c r="B11" s="1" t="s">
        <v>68</v>
      </c>
      <c r="C11" s="1" t="s">
        <v>69</v>
      </c>
      <c r="D11">
        <v>52</v>
      </c>
      <c r="E11" s="1" t="s">
        <v>70</v>
      </c>
      <c r="F11" s="1" t="s">
        <v>71</v>
      </c>
      <c r="G11" s="1" t="s">
        <v>49</v>
      </c>
      <c r="H11">
        <v>22</v>
      </c>
      <c r="I11" s="1" t="s">
        <v>72</v>
      </c>
      <c r="K11" s="1" t="s">
        <v>27</v>
      </c>
    </row>
    <row r="12" spans="1:12" x14ac:dyDescent="0.3">
      <c r="A12" s="1" t="s">
        <v>73</v>
      </c>
      <c r="B12" s="1" t="s">
        <v>74</v>
      </c>
      <c r="C12" s="1" t="s">
        <v>54</v>
      </c>
      <c r="D12">
        <v>40</v>
      </c>
      <c r="E12" s="1" t="s">
        <v>75</v>
      </c>
      <c r="F12" s="1" t="s">
        <v>24</v>
      </c>
      <c r="G12" s="1" t="s">
        <v>57</v>
      </c>
      <c r="H12">
        <v>17</v>
      </c>
      <c r="I12" s="1" t="s">
        <v>76</v>
      </c>
      <c r="J12">
        <v>3.6</v>
      </c>
      <c r="K12" s="1" t="s">
        <v>77</v>
      </c>
      <c r="L12">
        <v>0.77</v>
      </c>
    </row>
    <row r="13" spans="1:12" x14ac:dyDescent="0.3">
      <c r="A13" s="1" t="s">
        <v>78</v>
      </c>
      <c r="B13" s="1" t="s">
        <v>79</v>
      </c>
      <c r="C13" s="1" t="s">
        <v>22</v>
      </c>
      <c r="D13">
        <v>55</v>
      </c>
      <c r="E13" s="1" t="s">
        <v>80</v>
      </c>
      <c r="F13" s="1" t="s">
        <v>81</v>
      </c>
      <c r="G13" s="1" t="s">
        <v>82</v>
      </c>
      <c r="H13">
        <v>15</v>
      </c>
      <c r="I13" s="1" t="s">
        <v>65</v>
      </c>
      <c r="K13" s="1" t="s">
        <v>83</v>
      </c>
      <c r="L13">
        <v>0.86</v>
      </c>
    </row>
    <row r="14" spans="1:12" x14ac:dyDescent="0.3">
      <c r="A14" s="1" t="s">
        <v>84</v>
      </c>
      <c r="B14" s="1" t="s">
        <v>85</v>
      </c>
      <c r="C14" s="1" t="s">
        <v>86</v>
      </c>
      <c r="D14">
        <v>57</v>
      </c>
      <c r="E14" s="1" t="s">
        <v>75</v>
      </c>
      <c r="F14" s="1" t="s">
        <v>24</v>
      </c>
      <c r="G14" s="1" t="s">
        <v>87</v>
      </c>
      <c r="H14">
        <v>18</v>
      </c>
      <c r="I14" s="1" t="s">
        <v>65</v>
      </c>
      <c r="J14">
        <v>2</v>
      </c>
      <c r="K14" s="1" t="s">
        <v>19</v>
      </c>
      <c r="L14">
        <v>0.86</v>
      </c>
    </row>
    <row r="15" spans="1:12" x14ac:dyDescent="0.3">
      <c r="A15" s="1" t="s">
        <v>88</v>
      </c>
      <c r="B15" s="1" t="s">
        <v>89</v>
      </c>
      <c r="C15" s="1" t="s">
        <v>69</v>
      </c>
      <c r="D15">
        <v>38</v>
      </c>
      <c r="E15" s="1" t="s">
        <v>80</v>
      </c>
      <c r="F15" s="1" t="s">
        <v>81</v>
      </c>
      <c r="G15" s="1" t="s">
        <v>33</v>
      </c>
      <c r="H15">
        <v>20</v>
      </c>
      <c r="I15" s="1" t="s">
        <v>58</v>
      </c>
      <c r="J15">
        <v>2.9</v>
      </c>
      <c r="K15" s="1" t="s">
        <v>27</v>
      </c>
      <c r="L15">
        <v>0.93</v>
      </c>
    </row>
    <row r="16" spans="1:12" x14ac:dyDescent="0.3">
      <c r="A16" s="1" t="s">
        <v>90</v>
      </c>
      <c r="B16" s="1" t="s">
        <v>91</v>
      </c>
      <c r="C16" s="1" t="s">
        <v>69</v>
      </c>
      <c r="D16">
        <v>50</v>
      </c>
      <c r="E16" s="1" t="s">
        <v>31</v>
      </c>
      <c r="F16" s="1" t="s">
        <v>32</v>
      </c>
      <c r="G16" s="1" t="s">
        <v>57</v>
      </c>
      <c r="H16">
        <v>22</v>
      </c>
      <c r="I16" s="1" t="s">
        <v>92</v>
      </c>
      <c r="J16">
        <v>3.7</v>
      </c>
      <c r="K16" s="1" t="s">
        <v>27</v>
      </c>
      <c r="L16">
        <v>0.7</v>
      </c>
    </row>
    <row r="17" spans="1:12" x14ac:dyDescent="0.3">
      <c r="A17" s="1" t="s">
        <v>93</v>
      </c>
      <c r="B17" s="1" t="s">
        <v>94</v>
      </c>
      <c r="C17" s="1" t="s">
        <v>54</v>
      </c>
      <c r="D17">
        <v>42</v>
      </c>
      <c r="E17" s="1" t="s">
        <v>95</v>
      </c>
      <c r="F17" s="1" t="s">
        <v>96</v>
      </c>
      <c r="G17" s="1" t="s">
        <v>57</v>
      </c>
      <c r="H17">
        <v>0</v>
      </c>
      <c r="I17" s="1" t="s">
        <v>50</v>
      </c>
      <c r="J17">
        <v>1.2</v>
      </c>
      <c r="K17" s="1" t="s">
        <v>19</v>
      </c>
      <c r="L17">
        <v>0.69</v>
      </c>
    </row>
    <row r="18" spans="1:12" x14ac:dyDescent="0.3">
      <c r="A18" s="1" t="s">
        <v>97</v>
      </c>
      <c r="B18" s="1" t="s">
        <v>98</v>
      </c>
      <c r="C18" s="1" t="s">
        <v>86</v>
      </c>
      <c r="D18">
        <v>39</v>
      </c>
      <c r="E18" s="1" t="s">
        <v>23</v>
      </c>
      <c r="F18" s="1" t="s">
        <v>24</v>
      </c>
      <c r="G18" s="1" t="s">
        <v>99</v>
      </c>
      <c r="H18">
        <v>13</v>
      </c>
      <c r="I18" s="1" t="s">
        <v>50</v>
      </c>
      <c r="J18">
        <v>2.5</v>
      </c>
      <c r="K18" s="1" t="s">
        <v>51</v>
      </c>
      <c r="L18">
        <v>0.6</v>
      </c>
    </row>
    <row r="19" spans="1:12" x14ac:dyDescent="0.3">
      <c r="A19" s="1" t="s">
        <v>100</v>
      </c>
      <c r="B19" s="1" t="s">
        <v>101</v>
      </c>
      <c r="C19" s="1" t="s">
        <v>102</v>
      </c>
      <c r="D19">
        <v>56</v>
      </c>
      <c r="E19" s="1" t="s">
        <v>103</v>
      </c>
      <c r="F19" s="1" t="s">
        <v>104</v>
      </c>
      <c r="G19" s="1" t="s">
        <v>17</v>
      </c>
      <c r="I19" s="1" t="s">
        <v>65</v>
      </c>
      <c r="K19" s="1" t="s">
        <v>65</v>
      </c>
      <c r="L19">
        <v>0.87</v>
      </c>
    </row>
    <row r="20" spans="1:12" x14ac:dyDescent="0.3">
      <c r="A20" s="1" t="s">
        <v>105</v>
      </c>
      <c r="B20" s="1" t="s">
        <v>106</v>
      </c>
      <c r="C20" s="1" t="s">
        <v>107</v>
      </c>
      <c r="D20">
        <v>56</v>
      </c>
      <c r="E20" s="1" t="s">
        <v>64</v>
      </c>
      <c r="F20" s="1" t="s">
        <v>24</v>
      </c>
      <c r="G20" s="1" t="s">
        <v>82</v>
      </c>
      <c r="H20">
        <v>31</v>
      </c>
      <c r="I20" s="1" t="s">
        <v>108</v>
      </c>
      <c r="J20">
        <v>1.1000000000000001</v>
      </c>
      <c r="K20" s="1" t="s">
        <v>35</v>
      </c>
      <c r="L20">
        <v>0.75</v>
      </c>
    </row>
    <row r="21" spans="1:12" x14ac:dyDescent="0.3">
      <c r="A21" s="1" t="s">
        <v>109</v>
      </c>
      <c r="B21" s="1" t="s">
        <v>110</v>
      </c>
      <c r="C21" s="1" t="s">
        <v>107</v>
      </c>
      <c r="D21">
        <v>57</v>
      </c>
      <c r="E21" s="1" t="s">
        <v>15</v>
      </c>
      <c r="F21" s="1" t="s">
        <v>16</v>
      </c>
      <c r="G21" s="1" t="s">
        <v>39</v>
      </c>
      <c r="H21">
        <v>3</v>
      </c>
      <c r="I21" s="1" t="s">
        <v>26</v>
      </c>
      <c r="J21">
        <v>1.8</v>
      </c>
      <c r="K21" s="1" t="s">
        <v>77</v>
      </c>
      <c r="L21">
        <v>0.68</v>
      </c>
    </row>
    <row r="22" spans="1:12" x14ac:dyDescent="0.3">
      <c r="A22" s="1" t="s">
        <v>111</v>
      </c>
      <c r="B22" s="1" t="s">
        <v>112</v>
      </c>
      <c r="C22" s="1" t="s">
        <v>107</v>
      </c>
      <c r="E22" s="1" t="s">
        <v>55</v>
      </c>
      <c r="F22" s="1" t="s">
        <v>56</v>
      </c>
      <c r="G22" s="1" t="s">
        <v>49</v>
      </c>
      <c r="H22">
        <v>9</v>
      </c>
      <c r="I22" s="1" t="s">
        <v>34</v>
      </c>
      <c r="J22">
        <v>1.8</v>
      </c>
      <c r="K22" s="1" t="s">
        <v>51</v>
      </c>
      <c r="L22">
        <v>0.65</v>
      </c>
    </row>
    <row r="23" spans="1:12" x14ac:dyDescent="0.3">
      <c r="A23" s="1" t="s">
        <v>113</v>
      </c>
      <c r="B23" s="1" t="s">
        <v>114</v>
      </c>
      <c r="C23" s="1" t="s">
        <v>54</v>
      </c>
      <c r="D23">
        <v>51</v>
      </c>
      <c r="E23" s="1" t="s">
        <v>95</v>
      </c>
      <c r="F23" s="1" t="s">
        <v>96</v>
      </c>
      <c r="G23" s="1" t="s">
        <v>99</v>
      </c>
      <c r="I23" s="1" t="s">
        <v>65</v>
      </c>
      <c r="J23">
        <v>2.4</v>
      </c>
      <c r="K23" s="1" t="s">
        <v>35</v>
      </c>
      <c r="L23">
        <v>0.69</v>
      </c>
    </row>
    <row r="24" spans="1:12" x14ac:dyDescent="0.3">
      <c r="A24" s="1" t="s">
        <v>115</v>
      </c>
      <c r="B24" s="1" t="s">
        <v>116</v>
      </c>
      <c r="C24" s="1" t="s">
        <v>54</v>
      </c>
      <c r="D24">
        <v>51</v>
      </c>
      <c r="E24" s="1" t="s">
        <v>117</v>
      </c>
      <c r="F24" s="1" t="s">
        <v>118</v>
      </c>
      <c r="G24" s="1" t="s">
        <v>87</v>
      </c>
      <c r="H24">
        <v>21</v>
      </c>
      <c r="I24" s="1" t="s">
        <v>119</v>
      </c>
      <c r="J24">
        <v>4.7</v>
      </c>
      <c r="K24" s="1" t="s">
        <v>35</v>
      </c>
    </row>
    <row r="25" spans="1:12" x14ac:dyDescent="0.3">
      <c r="A25" s="1" t="s">
        <v>120</v>
      </c>
      <c r="B25" s="1" t="s">
        <v>121</v>
      </c>
      <c r="C25" s="1" t="s">
        <v>43</v>
      </c>
      <c r="D25">
        <v>51</v>
      </c>
      <c r="E25" s="1" t="s">
        <v>122</v>
      </c>
      <c r="F25" s="1" t="s">
        <v>123</v>
      </c>
      <c r="G25" s="1" t="s">
        <v>124</v>
      </c>
      <c r="H25">
        <v>15</v>
      </c>
      <c r="I25" s="1" t="s">
        <v>72</v>
      </c>
      <c r="J25">
        <v>1.3</v>
      </c>
      <c r="K25" s="1" t="s">
        <v>27</v>
      </c>
      <c r="L25">
        <v>1</v>
      </c>
    </row>
    <row r="26" spans="1:12" x14ac:dyDescent="0.3">
      <c r="A26" s="1" t="s">
        <v>125</v>
      </c>
      <c r="B26" s="1" t="s">
        <v>126</v>
      </c>
      <c r="C26" s="1" t="s">
        <v>14</v>
      </c>
      <c r="D26">
        <v>54</v>
      </c>
      <c r="E26" s="1" t="s">
        <v>55</v>
      </c>
      <c r="F26" s="1" t="s">
        <v>56</v>
      </c>
      <c r="G26" s="1" t="s">
        <v>124</v>
      </c>
      <c r="H26">
        <v>13</v>
      </c>
      <c r="I26" s="1" t="s">
        <v>92</v>
      </c>
      <c r="J26">
        <v>2.9</v>
      </c>
      <c r="K26" s="1" t="s">
        <v>65</v>
      </c>
      <c r="L26">
        <v>92</v>
      </c>
    </row>
    <row r="27" spans="1:12" x14ac:dyDescent="0.3">
      <c r="A27" s="1" t="s">
        <v>127</v>
      </c>
      <c r="B27" s="1" t="s">
        <v>128</v>
      </c>
      <c r="C27" s="1" t="s">
        <v>22</v>
      </c>
      <c r="D27">
        <v>22</v>
      </c>
      <c r="E27" s="1" t="s">
        <v>122</v>
      </c>
      <c r="F27" s="1" t="s">
        <v>123</v>
      </c>
      <c r="G27" s="1" t="s">
        <v>99</v>
      </c>
      <c r="H27">
        <v>0</v>
      </c>
      <c r="I27" s="1" t="s">
        <v>119</v>
      </c>
      <c r="J27">
        <v>1.2</v>
      </c>
      <c r="K27" s="1" t="s">
        <v>27</v>
      </c>
      <c r="L27">
        <v>0.7</v>
      </c>
    </row>
    <row r="28" spans="1:12" x14ac:dyDescent="0.3">
      <c r="A28" s="1" t="s">
        <v>129</v>
      </c>
      <c r="B28" s="1" t="s">
        <v>130</v>
      </c>
      <c r="C28" s="1" t="s">
        <v>43</v>
      </c>
      <c r="D28">
        <v>34</v>
      </c>
      <c r="E28" s="1" t="s">
        <v>95</v>
      </c>
      <c r="F28" s="1" t="s">
        <v>96</v>
      </c>
      <c r="G28" s="1" t="s">
        <v>17</v>
      </c>
      <c r="H28">
        <v>8</v>
      </c>
      <c r="I28" s="1" t="s">
        <v>131</v>
      </c>
      <c r="J28">
        <v>0</v>
      </c>
      <c r="K28" s="1" t="s">
        <v>66</v>
      </c>
      <c r="L28">
        <v>0.89</v>
      </c>
    </row>
    <row r="29" spans="1:12" x14ac:dyDescent="0.3">
      <c r="A29" s="1" t="s">
        <v>132</v>
      </c>
      <c r="B29" s="1" t="s">
        <v>133</v>
      </c>
      <c r="C29" s="1" t="s">
        <v>86</v>
      </c>
      <c r="D29">
        <v>36</v>
      </c>
      <c r="E29" s="1" t="s">
        <v>134</v>
      </c>
      <c r="F29" s="1" t="s">
        <v>135</v>
      </c>
      <c r="G29" s="1" t="s">
        <v>33</v>
      </c>
      <c r="H29">
        <v>11</v>
      </c>
      <c r="I29" s="1" t="s">
        <v>65</v>
      </c>
      <c r="J29">
        <v>1.8</v>
      </c>
      <c r="K29" s="1" t="s">
        <v>83</v>
      </c>
      <c r="L29">
        <v>0.86</v>
      </c>
    </row>
    <row r="30" spans="1:12" x14ac:dyDescent="0.3">
      <c r="A30" s="1" t="s">
        <v>136</v>
      </c>
      <c r="B30" s="1" t="s">
        <v>137</v>
      </c>
      <c r="C30" s="1" t="s">
        <v>43</v>
      </c>
      <c r="D30">
        <v>47</v>
      </c>
      <c r="E30" s="1" t="s">
        <v>138</v>
      </c>
      <c r="F30" s="1" t="s">
        <v>24</v>
      </c>
      <c r="G30" s="1" t="s">
        <v>49</v>
      </c>
      <c r="H30">
        <v>22</v>
      </c>
      <c r="I30" s="1" t="s">
        <v>44</v>
      </c>
      <c r="J30">
        <v>1.3</v>
      </c>
      <c r="K30" s="1" t="s">
        <v>19</v>
      </c>
      <c r="L30">
        <v>0.62</v>
      </c>
    </row>
    <row r="31" spans="1:12" x14ac:dyDescent="0.3">
      <c r="A31" s="1" t="s">
        <v>139</v>
      </c>
      <c r="B31" s="1" t="s">
        <v>140</v>
      </c>
      <c r="C31" s="1" t="s">
        <v>22</v>
      </c>
      <c r="D31">
        <v>41</v>
      </c>
      <c r="E31" s="1" t="s">
        <v>47</v>
      </c>
      <c r="F31" s="1" t="s">
        <v>48</v>
      </c>
      <c r="G31" s="1" t="s">
        <v>57</v>
      </c>
      <c r="H31">
        <v>14</v>
      </c>
      <c r="I31" s="1" t="s">
        <v>58</v>
      </c>
      <c r="J31">
        <v>1.2</v>
      </c>
      <c r="K31" s="1" t="s">
        <v>19</v>
      </c>
    </row>
    <row r="32" spans="1:12" x14ac:dyDescent="0.3">
      <c r="A32" s="1" t="s">
        <v>141</v>
      </c>
      <c r="B32" s="1" t="s">
        <v>142</v>
      </c>
      <c r="C32" s="1" t="s">
        <v>107</v>
      </c>
      <c r="D32">
        <v>22</v>
      </c>
      <c r="E32" s="1" t="s">
        <v>47</v>
      </c>
      <c r="F32" s="1" t="s">
        <v>48</v>
      </c>
      <c r="G32" s="1" t="s">
        <v>99</v>
      </c>
      <c r="H32">
        <v>4</v>
      </c>
      <c r="I32" s="1" t="s">
        <v>65</v>
      </c>
      <c r="J32">
        <v>1</v>
      </c>
      <c r="K32" s="1" t="s">
        <v>77</v>
      </c>
    </row>
    <row r="33" spans="1:12" x14ac:dyDescent="0.3">
      <c r="A33" s="1" t="s">
        <v>143</v>
      </c>
      <c r="B33" s="1" t="s">
        <v>144</v>
      </c>
      <c r="C33" s="1" t="s">
        <v>107</v>
      </c>
      <c r="D33">
        <v>38</v>
      </c>
      <c r="E33" s="1" t="s">
        <v>145</v>
      </c>
      <c r="F33" s="1" t="s">
        <v>146</v>
      </c>
      <c r="G33" s="1" t="s">
        <v>124</v>
      </c>
      <c r="H33">
        <v>19</v>
      </c>
      <c r="I33" s="1" t="s">
        <v>26</v>
      </c>
      <c r="J33">
        <v>4.2</v>
      </c>
      <c r="K33" s="1" t="s">
        <v>35</v>
      </c>
      <c r="L33">
        <v>0.68</v>
      </c>
    </row>
    <row r="34" spans="1:12" x14ac:dyDescent="0.3">
      <c r="A34" s="1" t="s">
        <v>147</v>
      </c>
      <c r="B34" s="1" t="s">
        <v>148</v>
      </c>
      <c r="C34" s="1" t="s">
        <v>102</v>
      </c>
      <c r="D34">
        <v>46</v>
      </c>
      <c r="E34" s="1" t="s">
        <v>149</v>
      </c>
      <c r="F34" s="1" t="s">
        <v>150</v>
      </c>
      <c r="G34" s="1" t="s">
        <v>49</v>
      </c>
      <c r="H34">
        <v>9</v>
      </c>
      <c r="I34" s="1" t="s">
        <v>151</v>
      </c>
      <c r="J34">
        <v>1.4</v>
      </c>
      <c r="K34" s="1" t="s">
        <v>66</v>
      </c>
      <c r="L34">
        <v>0.76</v>
      </c>
    </row>
    <row r="35" spans="1:12" x14ac:dyDescent="0.3">
      <c r="A35" s="1" t="s">
        <v>152</v>
      </c>
      <c r="B35" s="1" t="s">
        <v>153</v>
      </c>
      <c r="C35" s="1" t="s">
        <v>30</v>
      </c>
      <c r="E35" s="1" t="s">
        <v>122</v>
      </c>
      <c r="F35" s="1" t="s">
        <v>123</v>
      </c>
      <c r="G35" s="1" t="s">
        <v>49</v>
      </c>
      <c r="H35">
        <v>9</v>
      </c>
      <c r="I35" s="1" t="s">
        <v>76</v>
      </c>
      <c r="J35">
        <v>2.4</v>
      </c>
      <c r="K35" s="1" t="s">
        <v>77</v>
      </c>
      <c r="L35">
        <v>82</v>
      </c>
    </row>
    <row r="36" spans="1:12" x14ac:dyDescent="0.3">
      <c r="A36" s="1" t="s">
        <v>154</v>
      </c>
      <c r="B36" s="1" t="s">
        <v>155</v>
      </c>
      <c r="C36" s="1" t="s">
        <v>22</v>
      </c>
      <c r="D36">
        <v>54</v>
      </c>
      <c r="E36" s="1" t="s">
        <v>64</v>
      </c>
      <c r="F36" s="1" t="s">
        <v>24</v>
      </c>
      <c r="G36" s="1" t="s">
        <v>39</v>
      </c>
      <c r="H36">
        <v>32</v>
      </c>
      <c r="I36" s="1" t="s">
        <v>92</v>
      </c>
      <c r="J36">
        <v>1</v>
      </c>
      <c r="K36" s="1" t="s">
        <v>77</v>
      </c>
      <c r="L36">
        <v>0.81</v>
      </c>
    </row>
    <row r="37" spans="1:12" x14ac:dyDescent="0.3">
      <c r="A37" s="1" t="s">
        <v>156</v>
      </c>
      <c r="B37" s="1" t="s">
        <v>157</v>
      </c>
      <c r="C37" s="1" t="s">
        <v>43</v>
      </c>
      <c r="D37">
        <v>52</v>
      </c>
      <c r="E37" s="1" t="s">
        <v>122</v>
      </c>
      <c r="F37" s="1" t="s">
        <v>123</v>
      </c>
      <c r="G37" s="1" t="s">
        <v>39</v>
      </c>
      <c r="H37">
        <v>28</v>
      </c>
      <c r="I37" s="1" t="s">
        <v>131</v>
      </c>
      <c r="K37" s="1" t="s">
        <v>19</v>
      </c>
    </row>
    <row r="38" spans="1:12" x14ac:dyDescent="0.3">
      <c r="A38" s="1" t="s">
        <v>158</v>
      </c>
      <c r="B38" s="1" t="s">
        <v>159</v>
      </c>
      <c r="C38" s="1" t="s">
        <v>14</v>
      </c>
      <c r="D38">
        <v>42</v>
      </c>
      <c r="E38" s="1" t="s">
        <v>95</v>
      </c>
      <c r="F38" s="1" t="s">
        <v>96</v>
      </c>
      <c r="G38" s="1" t="s">
        <v>25</v>
      </c>
      <c r="H38">
        <v>6</v>
      </c>
      <c r="I38" s="1" t="s">
        <v>76</v>
      </c>
      <c r="K38" s="1" t="s">
        <v>19</v>
      </c>
      <c r="L38">
        <v>0.63</v>
      </c>
    </row>
    <row r="39" spans="1:12" x14ac:dyDescent="0.3">
      <c r="A39" s="1" t="s">
        <v>160</v>
      </c>
      <c r="B39" s="1" t="s">
        <v>161</v>
      </c>
      <c r="C39" s="1" t="s">
        <v>38</v>
      </c>
      <c r="D39">
        <v>29</v>
      </c>
      <c r="E39" s="1" t="s">
        <v>47</v>
      </c>
      <c r="F39" s="1" t="s">
        <v>48</v>
      </c>
      <c r="G39" s="1" t="s">
        <v>33</v>
      </c>
      <c r="H39">
        <v>10</v>
      </c>
      <c r="I39" s="1" t="s">
        <v>76</v>
      </c>
      <c r="J39">
        <v>2.2000000000000002</v>
      </c>
      <c r="K39" s="1" t="s">
        <v>35</v>
      </c>
      <c r="L39">
        <v>0.67</v>
      </c>
    </row>
    <row r="40" spans="1:12" x14ac:dyDescent="0.3">
      <c r="A40" s="1" t="s">
        <v>162</v>
      </c>
      <c r="B40" s="1" t="s">
        <v>163</v>
      </c>
      <c r="C40" s="1" t="s">
        <v>38</v>
      </c>
      <c r="D40">
        <v>42</v>
      </c>
      <c r="E40" s="1" t="s">
        <v>164</v>
      </c>
      <c r="F40" s="1" t="s">
        <v>165</v>
      </c>
      <c r="G40" s="1" t="s">
        <v>25</v>
      </c>
      <c r="H40">
        <v>23</v>
      </c>
      <c r="I40" s="1" t="s">
        <v>34</v>
      </c>
      <c r="J40">
        <v>3.2</v>
      </c>
      <c r="K40" s="1" t="s">
        <v>77</v>
      </c>
    </row>
    <row r="41" spans="1:12" x14ac:dyDescent="0.3">
      <c r="A41" s="1" t="s">
        <v>166</v>
      </c>
      <c r="B41" s="1" t="s">
        <v>167</v>
      </c>
      <c r="C41" s="1" t="s">
        <v>107</v>
      </c>
      <c r="D41">
        <v>60</v>
      </c>
      <c r="E41" s="1" t="s">
        <v>95</v>
      </c>
      <c r="F41" s="1" t="s">
        <v>96</v>
      </c>
      <c r="G41" s="1" t="s">
        <v>39</v>
      </c>
      <c r="H41">
        <v>13</v>
      </c>
      <c r="I41" s="1" t="s">
        <v>131</v>
      </c>
      <c r="J41">
        <v>3.6</v>
      </c>
      <c r="K41" s="1" t="s">
        <v>19</v>
      </c>
      <c r="L41">
        <v>0.8</v>
      </c>
    </row>
    <row r="42" spans="1:12" x14ac:dyDescent="0.3">
      <c r="A42" s="1" t="s">
        <v>168</v>
      </c>
      <c r="B42" s="1" t="s">
        <v>169</v>
      </c>
      <c r="C42" s="1" t="s">
        <v>86</v>
      </c>
      <c r="D42">
        <v>59</v>
      </c>
      <c r="E42" s="1" t="s">
        <v>75</v>
      </c>
      <c r="F42" s="1" t="s">
        <v>24</v>
      </c>
      <c r="G42" s="1" t="s">
        <v>49</v>
      </c>
      <c r="H42">
        <v>3</v>
      </c>
      <c r="I42" s="1" t="s">
        <v>108</v>
      </c>
      <c r="J42">
        <v>0</v>
      </c>
      <c r="K42" s="1" t="s">
        <v>170</v>
      </c>
    </row>
    <row r="43" spans="1:12" x14ac:dyDescent="0.3">
      <c r="A43" s="1" t="s">
        <v>171</v>
      </c>
      <c r="B43" s="1" t="s">
        <v>172</v>
      </c>
      <c r="C43" s="1" t="s">
        <v>86</v>
      </c>
      <c r="D43">
        <v>21</v>
      </c>
      <c r="E43" s="1" t="s">
        <v>138</v>
      </c>
      <c r="F43" s="1" t="s">
        <v>24</v>
      </c>
      <c r="G43" s="1" t="s">
        <v>39</v>
      </c>
      <c r="H43">
        <v>0</v>
      </c>
      <c r="I43" s="1" t="s">
        <v>44</v>
      </c>
      <c r="J43">
        <v>2.7</v>
      </c>
      <c r="K43" s="1" t="s">
        <v>27</v>
      </c>
      <c r="L43">
        <v>0.84</v>
      </c>
    </row>
    <row r="44" spans="1:12" x14ac:dyDescent="0.3">
      <c r="A44" s="1" t="s">
        <v>173</v>
      </c>
      <c r="B44" s="1" t="s">
        <v>174</v>
      </c>
      <c r="C44" s="1" t="s">
        <v>86</v>
      </c>
      <c r="D44">
        <v>35</v>
      </c>
      <c r="E44" s="1" t="s">
        <v>31</v>
      </c>
      <c r="F44" s="1" t="s">
        <v>32</v>
      </c>
      <c r="G44" s="1" t="s">
        <v>99</v>
      </c>
      <c r="H44">
        <v>10</v>
      </c>
      <c r="I44" s="1" t="s">
        <v>72</v>
      </c>
      <c r="J44">
        <v>0</v>
      </c>
      <c r="K44" s="1" t="s">
        <v>170</v>
      </c>
    </row>
    <row r="45" spans="1:12" x14ac:dyDescent="0.3">
      <c r="A45" s="1" t="s">
        <v>175</v>
      </c>
      <c r="B45" s="1" t="s">
        <v>176</v>
      </c>
      <c r="C45" s="1" t="s">
        <v>30</v>
      </c>
      <c r="D45">
        <v>41</v>
      </c>
      <c r="E45" s="1" t="s">
        <v>75</v>
      </c>
      <c r="F45" s="1" t="s">
        <v>24</v>
      </c>
      <c r="G45" s="1" t="s">
        <v>57</v>
      </c>
      <c r="I45" s="1" t="s">
        <v>151</v>
      </c>
      <c r="J45">
        <v>2.8</v>
      </c>
      <c r="K45" s="1" t="s">
        <v>66</v>
      </c>
      <c r="L45">
        <v>0.63</v>
      </c>
    </row>
    <row r="46" spans="1:12" x14ac:dyDescent="0.3">
      <c r="A46" s="1" t="s">
        <v>177</v>
      </c>
      <c r="B46" s="1" t="s">
        <v>178</v>
      </c>
      <c r="C46" s="1" t="s">
        <v>86</v>
      </c>
      <c r="D46">
        <v>51</v>
      </c>
      <c r="E46" s="1" t="s">
        <v>47</v>
      </c>
      <c r="F46" s="1" t="s">
        <v>48</v>
      </c>
      <c r="G46" s="1" t="s">
        <v>124</v>
      </c>
      <c r="H46">
        <v>23</v>
      </c>
      <c r="I46" s="1" t="s">
        <v>151</v>
      </c>
      <c r="J46">
        <v>2.5</v>
      </c>
      <c r="K46" s="1" t="s">
        <v>51</v>
      </c>
      <c r="L46">
        <v>0.8</v>
      </c>
    </row>
    <row r="47" spans="1:12" x14ac:dyDescent="0.3">
      <c r="A47" s="1" t="s">
        <v>179</v>
      </c>
      <c r="B47" s="1" t="s">
        <v>180</v>
      </c>
      <c r="C47" s="1" t="s">
        <v>30</v>
      </c>
      <c r="D47">
        <v>41</v>
      </c>
      <c r="E47" s="1" t="s">
        <v>164</v>
      </c>
      <c r="F47" s="1" t="s">
        <v>165</v>
      </c>
      <c r="G47" s="1" t="s">
        <v>39</v>
      </c>
      <c r="H47">
        <v>9</v>
      </c>
      <c r="I47" s="1" t="s">
        <v>181</v>
      </c>
      <c r="J47">
        <v>4.9000000000000004</v>
      </c>
      <c r="K47" s="1" t="s">
        <v>27</v>
      </c>
      <c r="L47">
        <v>0.74</v>
      </c>
    </row>
    <row r="48" spans="1:12" x14ac:dyDescent="0.3">
      <c r="A48" s="1" t="s">
        <v>182</v>
      </c>
      <c r="B48" s="1" t="s">
        <v>183</v>
      </c>
      <c r="C48" s="1" t="s">
        <v>86</v>
      </c>
      <c r="D48">
        <v>47</v>
      </c>
      <c r="E48" s="1" t="s">
        <v>149</v>
      </c>
      <c r="F48" s="1" t="s">
        <v>150</v>
      </c>
      <c r="G48" s="1" t="s">
        <v>99</v>
      </c>
      <c r="H48">
        <v>15</v>
      </c>
      <c r="I48" s="1" t="s">
        <v>119</v>
      </c>
      <c r="J48">
        <v>4.5</v>
      </c>
      <c r="K48" s="1" t="s">
        <v>27</v>
      </c>
      <c r="L48">
        <v>0.85</v>
      </c>
    </row>
    <row r="49" spans="1:12" x14ac:dyDescent="0.3">
      <c r="A49" s="1" t="s">
        <v>184</v>
      </c>
      <c r="B49" s="1" t="s">
        <v>185</v>
      </c>
      <c r="C49" s="1" t="s">
        <v>30</v>
      </c>
      <c r="D49">
        <v>25</v>
      </c>
      <c r="E49" s="1" t="s">
        <v>186</v>
      </c>
      <c r="F49" s="1" t="s">
        <v>187</v>
      </c>
      <c r="G49" s="1" t="s">
        <v>33</v>
      </c>
      <c r="H49">
        <v>4</v>
      </c>
      <c r="I49" s="1" t="s">
        <v>34</v>
      </c>
      <c r="J49">
        <v>2.7</v>
      </c>
      <c r="K49" s="1" t="s">
        <v>35</v>
      </c>
      <c r="L49">
        <v>0.77</v>
      </c>
    </row>
    <row r="50" spans="1:12" x14ac:dyDescent="0.3">
      <c r="A50" s="1" t="s">
        <v>188</v>
      </c>
      <c r="B50" s="1" t="s">
        <v>189</v>
      </c>
      <c r="C50" s="1" t="s">
        <v>38</v>
      </c>
      <c r="D50">
        <v>25</v>
      </c>
      <c r="E50" s="1" t="s">
        <v>190</v>
      </c>
      <c r="F50" s="1" t="s">
        <v>81</v>
      </c>
      <c r="G50" s="1" t="s">
        <v>25</v>
      </c>
      <c r="H50">
        <v>7</v>
      </c>
      <c r="I50" s="1" t="s">
        <v>151</v>
      </c>
      <c r="J50">
        <v>1.9</v>
      </c>
      <c r="K50" s="1" t="s">
        <v>19</v>
      </c>
    </row>
    <row r="51" spans="1:12" x14ac:dyDescent="0.3">
      <c r="A51" s="1" t="s">
        <v>191</v>
      </c>
      <c r="B51" s="1" t="s">
        <v>192</v>
      </c>
      <c r="C51" s="1" t="s">
        <v>54</v>
      </c>
      <c r="D51">
        <v>29</v>
      </c>
      <c r="E51" s="1" t="s">
        <v>47</v>
      </c>
      <c r="F51" s="1" t="s">
        <v>48</v>
      </c>
      <c r="G51" s="1" t="s">
        <v>82</v>
      </c>
      <c r="H51">
        <v>1</v>
      </c>
      <c r="I51" s="1" t="s">
        <v>151</v>
      </c>
      <c r="J51">
        <v>1.4</v>
      </c>
      <c r="K51" s="1" t="s">
        <v>27</v>
      </c>
      <c r="L51">
        <v>0.63</v>
      </c>
    </row>
    <row r="52" spans="1:12" x14ac:dyDescent="0.3">
      <c r="A52" s="1" t="s">
        <v>193</v>
      </c>
      <c r="B52" s="1" t="s">
        <v>194</v>
      </c>
      <c r="C52" s="1" t="s">
        <v>22</v>
      </c>
      <c r="D52">
        <v>23</v>
      </c>
      <c r="E52" s="1" t="s">
        <v>80</v>
      </c>
      <c r="F52" s="1" t="s">
        <v>81</v>
      </c>
      <c r="G52" s="1" t="s">
        <v>87</v>
      </c>
      <c r="H52">
        <v>0</v>
      </c>
      <c r="I52" s="1" t="s">
        <v>92</v>
      </c>
      <c r="J52">
        <v>1.9</v>
      </c>
      <c r="K52" s="1" t="s">
        <v>66</v>
      </c>
      <c r="L52">
        <v>0.79</v>
      </c>
    </row>
    <row r="53" spans="1:12" x14ac:dyDescent="0.3">
      <c r="A53" s="1" t="s">
        <v>195</v>
      </c>
      <c r="B53" s="1" t="s">
        <v>196</v>
      </c>
      <c r="C53" s="1" t="s">
        <v>30</v>
      </c>
      <c r="D53">
        <v>31</v>
      </c>
      <c r="E53" s="1" t="s">
        <v>145</v>
      </c>
      <c r="F53" s="1" t="s">
        <v>146</v>
      </c>
      <c r="G53" s="1" t="s">
        <v>57</v>
      </c>
      <c r="H53">
        <v>8</v>
      </c>
      <c r="I53" s="1" t="s">
        <v>34</v>
      </c>
      <c r="J53">
        <v>3.4</v>
      </c>
      <c r="K53" s="1" t="s">
        <v>19</v>
      </c>
    </row>
    <row r="54" spans="1:12" x14ac:dyDescent="0.3">
      <c r="A54" s="1" t="s">
        <v>197</v>
      </c>
      <c r="B54" s="1" t="s">
        <v>198</v>
      </c>
      <c r="C54" s="1" t="s">
        <v>107</v>
      </c>
      <c r="D54">
        <v>51</v>
      </c>
      <c r="E54" s="1" t="s">
        <v>31</v>
      </c>
      <c r="F54" s="1" t="s">
        <v>32</v>
      </c>
      <c r="G54" s="1" t="s">
        <v>124</v>
      </c>
      <c r="H54">
        <v>33</v>
      </c>
      <c r="I54" s="1" t="s">
        <v>92</v>
      </c>
      <c r="J54">
        <v>3.3</v>
      </c>
      <c r="K54" s="1" t="s">
        <v>65</v>
      </c>
      <c r="L54">
        <v>0.68</v>
      </c>
    </row>
    <row r="55" spans="1:12" x14ac:dyDescent="0.3">
      <c r="A55" s="1" t="s">
        <v>199</v>
      </c>
      <c r="B55" s="1" t="s">
        <v>200</v>
      </c>
      <c r="C55" s="1" t="s">
        <v>54</v>
      </c>
      <c r="E55" s="1" t="s">
        <v>201</v>
      </c>
      <c r="F55" s="1" t="s">
        <v>81</v>
      </c>
      <c r="G55" s="1" t="s">
        <v>82</v>
      </c>
      <c r="H55">
        <v>1</v>
      </c>
      <c r="I55" s="1" t="s">
        <v>44</v>
      </c>
      <c r="J55">
        <v>0</v>
      </c>
      <c r="K55" s="1" t="s">
        <v>19</v>
      </c>
      <c r="L55">
        <v>0.68</v>
      </c>
    </row>
    <row r="56" spans="1:12" x14ac:dyDescent="0.3">
      <c r="A56" s="1" t="s">
        <v>202</v>
      </c>
      <c r="B56" s="1" t="s">
        <v>203</v>
      </c>
      <c r="C56" s="1" t="s">
        <v>14</v>
      </c>
      <c r="D56">
        <v>29</v>
      </c>
      <c r="E56" s="1" t="s">
        <v>70</v>
      </c>
      <c r="F56" s="1" t="s">
        <v>71</v>
      </c>
      <c r="G56" s="1" t="s">
        <v>87</v>
      </c>
      <c r="H56">
        <v>11</v>
      </c>
      <c r="I56" s="1" t="s">
        <v>18</v>
      </c>
      <c r="J56">
        <v>2.2999999999999998</v>
      </c>
      <c r="K56" s="1" t="s">
        <v>66</v>
      </c>
      <c r="L56">
        <v>0.72</v>
      </c>
    </row>
    <row r="57" spans="1:12" x14ac:dyDescent="0.3">
      <c r="A57" s="1" t="s">
        <v>204</v>
      </c>
      <c r="B57" s="1" t="s">
        <v>205</v>
      </c>
      <c r="C57" s="1" t="s">
        <v>54</v>
      </c>
      <c r="D57">
        <v>50</v>
      </c>
      <c r="E57" s="1" t="s">
        <v>75</v>
      </c>
      <c r="F57" s="1" t="s">
        <v>24</v>
      </c>
      <c r="G57" s="1" t="s">
        <v>49</v>
      </c>
      <c r="H57">
        <v>15</v>
      </c>
      <c r="I57" s="1" t="s">
        <v>65</v>
      </c>
      <c r="J57">
        <v>2</v>
      </c>
      <c r="K57" s="1" t="s">
        <v>77</v>
      </c>
      <c r="L57">
        <v>0.65</v>
      </c>
    </row>
    <row r="58" spans="1:12" x14ac:dyDescent="0.3">
      <c r="A58" s="1" t="s">
        <v>206</v>
      </c>
      <c r="B58" s="1" t="s">
        <v>207</v>
      </c>
      <c r="C58" s="1" t="s">
        <v>14</v>
      </c>
      <c r="D58">
        <v>26</v>
      </c>
      <c r="E58" s="1" t="s">
        <v>75</v>
      </c>
      <c r="F58" s="1" t="s">
        <v>24</v>
      </c>
      <c r="G58" s="1" t="s">
        <v>99</v>
      </c>
      <c r="H58">
        <v>8</v>
      </c>
      <c r="I58" s="1" t="s">
        <v>34</v>
      </c>
      <c r="J58">
        <v>1.3</v>
      </c>
      <c r="K58" s="1" t="s">
        <v>51</v>
      </c>
      <c r="L58">
        <v>0.76</v>
      </c>
    </row>
    <row r="59" spans="1:12" x14ac:dyDescent="0.3">
      <c r="A59" s="1" t="s">
        <v>208</v>
      </c>
      <c r="B59" s="1" t="s">
        <v>209</v>
      </c>
      <c r="C59" s="1" t="s">
        <v>107</v>
      </c>
      <c r="D59">
        <v>38</v>
      </c>
      <c r="E59" s="1" t="s">
        <v>138</v>
      </c>
      <c r="F59" s="1" t="s">
        <v>24</v>
      </c>
      <c r="G59" s="1" t="s">
        <v>49</v>
      </c>
      <c r="H59">
        <v>17</v>
      </c>
      <c r="I59" s="1" t="s">
        <v>61</v>
      </c>
      <c r="J59">
        <v>4</v>
      </c>
      <c r="K59" s="1" t="s">
        <v>66</v>
      </c>
      <c r="L59">
        <v>0.9</v>
      </c>
    </row>
    <row r="60" spans="1:12" x14ac:dyDescent="0.3">
      <c r="A60" s="1" t="s">
        <v>210</v>
      </c>
      <c r="B60" s="1" t="s">
        <v>211</v>
      </c>
      <c r="C60" s="1" t="s">
        <v>22</v>
      </c>
      <c r="D60">
        <v>23</v>
      </c>
      <c r="E60" s="1" t="s">
        <v>103</v>
      </c>
      <c r="F60" s="1" t="s">
        <v>104</v>
      </c>
      <c r="G60" s="1" t="s">
        <v>25</v>
      </c>
      <c r="I60" s="1" t="s">
        <v>92</v>
      </c>
      <c r="J60">
        <v>3.6</v>
      </c>
      <c r="K60" s="1" t="s">
        <v>27</v>
      </c>
      <c r="L60">
        <v>0.65</v>
      </c>
    </row>
    <row r="61" spans="1:12" x14ac:dyDescent="0.3">
      <c r="A61" s="1" t="s">
        <v>212</v>
      </c>
      <c r="B61" s="1" t="s">
        <v>213</v>
      </c>
      <c r="C61" s="1" t="s">
        <v>86</v>
      </c>
      <c r="D61">
        <v>51</v>
      </c>
      <c r="E61" s="1" t="s">
        <v>164</v>
      </c>
      <c r="F61" s="1" t="s">
        <v>165</v>
      </c>
      <c r="G61" s="1" t="s">
        <v>99</v>
      </c>
      <c r="H61">
        <v>28</v>
      </c>
      <c r="I61" s="1" t="s">
        <v>76</v>
      </c>
      <c r="J61">
        <v>3.9</v>
      </c>
      <c r="K61" s="1" t="s">
        <v>19</v>
      </c>
      <c r="L61">
        <v>0.63</v>
      </c>
    </row>
    <row r="62" spans="1:12" x14ac:dyDescent="0.3">
      <c r="A62" s="1" t="s">
        <v>214</v>
      </c>
      <c r="B62" s="1" t="s">
        <v>215</v>
      </c>
      <c r="C62" s="1" t="s">
        <v>38</v>
      </c>
      <c r="D62">
        <v>51</v>
      </c>
      <c r="E62" s="1" t="s">
        <v>55</v>
      </c>
      <c r="F62" s="1" t="s">
        <v>56</v>
      </c>
      <c r="G62" s="1" t="s">
        <v>49</v>
      </c>
      <c r="H62">
        <v>33</v>
      </c>
      <c r="I62" s="1" t="s">
        <v>181</v>
      </c>
      <c r="J62">
        <v>0</v>
      </c>
      <c r="K62" s="1" t="s">
        <v>66</v>
      </c>
    </row>
    <row r="63" spans="1:12" x14ac:dyDescent="0.3">
      <c r="A63" s="1" t="s">
        <v>216</v>
      </c>
      <c r="B63" s="1" t="s">
        <v>217</v>
      </c>
      <c r="C63" s="1" t="s">
        <v>107</v>
      </c>
      <c r="D63">
        <v>47</v>
      </c>
      <c r="E63" s="1" t="s">
        <v>31</v>
      </c>
      <c r="F63" s="1" t="s">
        <v>32</v>
      </c>
      <c r="G63" s="1" t="s">
        <v>49</v>
      </c>
      <c r="H63">
        <v>18</v>
      </c>
      <c r="I63" s="1" t="s">
        <v>92</v>
      </c>
      <c r="J63">
        <v>0</v>
      </c>
      <c r="K63" s="1" t="s">
        <v>19</v>
      </c>
    </row>
    <row r="64" spans="1:12" x14ac:dyDescent="0.3">
      <c r="A64" s="1" t="s">
        <v>218</v>
      </c>
      <c r="B64" s="1" t="s">
        <v>219</v>
      </c>
      <c r="C64" s="1" t="s">
        <v>86</v>
      </c>
      <c r="D64">
        <v>34</v>
      </c>
      <c r="E64" s="1" t="s">
        <v>134</v>
      </c>
      <c r="F64" s="1" t="s">
        <v>135</v>
      </c>
      <c r="G64" s="1" t="s">
        <v>82</v>
      </c>
      <c r="H64">
        <v>16</v>
      </c>
      <c r="I64" s="1" t="s">
        <v>131</v>
      </c>
      <c r="J64">
        <v>2.2999999999999998</v>
      </c>
      <c r="K64" s="1" t="s">
        <v>77</v>
      </c>
      <c r="L64">
        <v>0.93</v>
      </c>
    </row>
    <row r="65" spans="1:12" x14ac:dyDescent="0.3">
      <c r="A65" s="1" t="s">
        <v>220</v>
      </c>
      <c r="B65" s="1" t="s">
        <v>221</v>
      </c>
      <c r="C65" s="1" t="s">
        <v>14</v>
      </c>
      <c r="D65">
        <v>58</v>
      </c>
      <c r="E65" s="1" t="s">
        <v>55</v>
      </c>
      <c r="F65" s="1" t="s">
        <v>56</v>
      </c>
      <c r="G65" s="1" t="s">
        <v>57</v>
      </c>
      <c r="H65">
        <v>35</v>
      </c>
      <c r="I65" s="1" t="s">
        <v>108</v>
      </c>
      <c r="J65">
        <v>4.7</v>
      </c>
      <c r="K65" s="1" t="s">
        <v>170</v>
      </c>
      <c r="L65">
        <v>0.7</v>
      </c>
    </row>
    <row r="66" spans="1:12" x14ac:dyDescent="0.3">
      <c r="A66" s="1" t="s">
        <v>222</v>
      </c>
      <c r="B66" s="1" t="s">
        <v>223</v>
      </c>
      <c r="C66" s="1" t="s">
        <v>38</v>
      </c>
      <c r="D66">
        <v>50</v>
      </c>
      <c r="E66" s="1" t="s">
        <v>134</v>
      </c>
      <c r="F66" s="1" t="s">
        <v>135</v>
      </c>
      <c r="G66" s="1" t="s">
        <v>49</v>
      </c>
      <c r="H66">
        <v>14</v>
      </c>
      <c r="I66" s="1" t="s">
        <v>65</v>
      </c>
      <c r="J66">
        <v>3.5</v>
      </c>
      <c r="K66" s="1" t="s">
        <v>83</v>
      </c>
      <c r="L66">
        <v>0.83</v>
      </c>
    </row>
    <row r="67" spans="1:12" x14ac:dyDescent="0.3">
      <c r="A67" s="1" t="s">
        <v>224</v>
      </c>
      <c r="B67" s="1" t="s">
        <v>225</v>
      </c>
      <c r="C67" s="1" t="s">
        <v>22</v>
      </c>
      <c r="D67">
        <v>34</v>
      </c>
      <c r="E67" s="1" t="s">
        <v>201</v>
      </c>
      <c r="F67" s="1" t="s">
        <v>81</v>
      </c>
      <c r="G67" s="1" t="s">
        <v>39</v>
      </c>
      <c r="H67">
        <v>12</v>
      </c>
      <c r="I67" s="1" t="s">
        <v>76</v>
      </c>
      <c r="J67">
        <v>2.4</v>
      </c>
      <c r="K67" s="1" t="s">
        <v>27</v>
      </c>
      <c r="L67">
        <v>64</v>
      </c>
    </row>
    <row r="68" spans="1:12" x14ac:dyDescent="0.3">
      <c r="A68" s="1" t="s">
        <v>226</v>
      </c>
      <c r="B68" s="1" t="s">
        <v>227</v>
      </c>
      <c r="C68" s="1" t="s">
        <v>86</v>
      </c>
      <c r="D68">
        <v>45</v>
      </c>
      <c r="E68" s="1" t="s">
        <v>117</v>
      </c>
      <c r="F68" s="1" t="s">
        <v>118</v>
      </c>
      <c r="G68" s="1" t="s">
        <v>49</v>
      </c>
      <c r="H68">
        <v>11</v>
      </c>
      <c r="I68" s="1" t="s">
        <v>58</v>
      </c>
      <c r="J68">
        <v>4</v>
      </c>
      <c r="K68" s="1" t="s">
        <v>35</v>
      </c>
      <c r="L68">
        <v>1</v>
      </c>
    </row>
    <row r="69" spans="1:12" x14ac:dyDescent="0.3">
      <c r="A69" s="1" t="s">
        <v>228</v>
      </c>
      <c r="B69" s="1" t="s">
        <v>229</v>
      </c>
      <c r="C69" s="1" t="s">
        <v>22</v>
      </c>
      <c r="D69">
        <v>55</v>
      </c>
      <c r="E69" s="1" t="s">
        <v>117</v>
      </c>
      <c r="F69" s="1" t="s">
        <v>118</v>
      </c>
      <c r="G69" s="1" t="s">
        <v>39</v>
      </c>
      <c r="H69">
        <v>0</v>
      </c>
      <c r="I69" s="1" t="s">
        <v>40</v>
      </c>
      <c r="J69">
        <v>0</v>
      </c>
      <c r="K69" s="1" t="s">
        <v>66</v>
      </c>
    </row>
    <row r="70" spans="1:12" x14ac:dyDescent="0.3">
      <c r="A70" s="1" t="s">
        <v>230</v>
      </c>
      <c r="B70" s="1" t="s">
        <v>231</v>
      </c>
      <c r="C70" s="1" t="s">
        <v>54</v>
      </c>
      <c r="E70" s="1" t="s">
        <v>80</v>
      </c>
      <c r="F70" s="1" t="s">
        <v>81</v>
      </c>
      <c r="G70" s="1" t="s">
        <v>82</v>
      </c>
      <c r="H70">
        <v>6</v>
      </c>
      <c r="I70" s="1" t="s">
        <v>18</v>
      </c>
      <c r="J70">
        <v>1.5</v>
      </c>
      <c r="K70" s="1" t="s">
        <v>51</v>
      </c>
    </row>
    <row r="71" spans="1:12" x14ac:dyDescent="0.3">
      <c r="A71" s="1" t="s">
        <v>232</v>
      </c>
      <c r="B71" s="1" t="s">
        <v>233</v>
      </c>
      <c r="C71" s="1" t="s">
        <v>22</v>
      </c>
      <c r="D71">
        <v>60</v>
      </c>
      <c r="E71" s="1" t="s">
        <v>186</v>
      </c>
      <c r="F71" s="1" t="s">
        <v>187</v>
      </c>
      <c r="G71" s="1" t="s">
        <v>82</v>
      </c>
      <c r="H71">
        <v>38</v>
      </c>
      <c r="I71" s="1" t="s">
        <v>131</v>
      </c>
      <c r="J71">
        <v>2</v>
      </c>
      <c r="K71" s="1" t="s">
        <v>170</v>
      </c>
      <c r="L71">
        <v>0.71</v>
      </c>
    </row>
    <row r="72" spans="1:12" x14ac:dyDescent="0.3">
      <c r="A72" s="1" t="s">
        <v>234</v>
      </c>
      <c r="B72" s="1" t="s">
        <v>235</v>
      </c>
      <c r="C72" s="1" t="s">
        <v>14</v>
      </c>
      <c r="D72">
        <v>33</v>
      </c>
      <c r="E72" s="1" t="s">
        <v>164</v>
      </c>
      <c r="F72" s="1" t="s">
        <v>165</v>
      </c>
      <c r="G72" s="1" t="s">
        <v>25</v>
      </c>
      <c r="H72">
        <v>11</v>
      </c>
      <c r="I72" s="1" t="s">
        <v>65</v>
      </c>
      <c r="K72" s="1" t="s">
        <v>77</v>
      </c>
      <c r="L72">
        <v>0.84</v>
      </c>
    </row>
    <row r="73" spans="1:12" x14ac:dyDescent="0.3">
      <c r="A73" s="1" t="s">
        <v>236</v>
      </c>
      <c r="B73" s="1" t="s">
        <v>237</v>
      </c>
      <c r="C73" s="1" t="s">
        <v>102</v>
      </c>
      <c r="D73">
        <v>60</v>
      </c>
      <c r="E73" s="1" t="s">
        <v>15</v>
      </c>
      <c r="F73" s="1" t="s">
        <v>16</v>
      </c>
      <c r="G73" s="1" t="s">
        <v>99</v>
      </c>
      <c r="H73">
        <v>13</v>
      </c>
      <c r="I73" s="1" t="s">
        <v>108</v>
      </c>
      <c r="J73">
        <v>1</v>
      </c>
      <c r="K73" s="1" t="s">
        <v>51</v>
      </c>
    </row>
    <row r="74" spans="1:12" x14ac:dyDescent="0.3">
      <c r="A74" s="1" t="s">
        <v>238</v>
      </c>
      <c r="B74" s="1" t="s">
        <v>239</v>
      </c>
      <c r="C74" s="1" t="s">
        <v>69</v>
      </c>
      <c r="D74">
        <v>40</v>
      </c>
      <c r="E74" s="1" t="s">
        <v>64</v>
      </c>
      <c r="F74" s="1" t="s">
        <v>24</v>
      </c>
      <c r="G74" s="1" t="s">
        <v>39</v>
      </c>
      <c r="H74">
        <v>9</v>
      </c>
      <c r="I74" s="1" t="s">
        <v>240</v>
      </c>
      <c r="J74">
        <v>4.5</v>
      </c>
      <c r="K74" s="1" t="s">
        <v>77</v>
      </c>
      <c r="L74">
        <v>0.69</v>
      </c>
    </row>
    <row r="75" spans="1:12" x14ac:dyDescent="0.3">
      <c r="A75" s="1" t="s">
        <v>241</v>
      </c>
      <c r="B75" s="1" t="s">
        <v>242</v>
      </c>
      <c r="C75" s="1" t="s">
        <v>107</v>
      </c>
      <c r="D75">
        <v>59</v>
      </c>
      <c r="E75" s="1" t="s">
        <v>23</v>
      </c>
      <c r="F75" s="1" t="s">
        <v>24</v>
      </c>
      <c r="G75" s="1" t="s">
        <v>17</v>
      </c>
      <c r="H75">
        <v>4</v>
      </c>
      <c r="I75" s="1" t="s">
        <v>65</v>
      </c>
      <c r="J75">
        <v>1.9</v>
      </c>
      <c r="K75" s="1" t="s">
        <v>51</v>
      </c>
      <c r="L75">
        <v>88</v>
      </c>
    </row>
    <row r="76" spans="1:12" x14ac:dyDescent="0.3">
      <c r="A76" s="1" t="s">
        <v>243</v>
      </c>
      <c r="B76" s="1" t="s">
        <v>244</v>
      </c>
      <c r="C76" s="1" t="s">
        <v>102</v>
      </c>
      <c r="D76">
        <v>36</v>
      </c>
      <c r="E76" s="1" t="s">
        <v>15</v>
      </c>
      <c r="F76" s="1" t="s">
        <v>16</v>
      </c>
      <c r="G76" s="1" t="s">
        <v>124</v>
      </c>
      <c r="H76">
        <v>14</v>
      </c>
      <c r="I76" s="1" t="s">
        <v>240</v>
      </c>
      <c r="J76">
        <v>3.7</v>
      </c>
      <c r="K76" s="1" t="s">
        <v>19</v>
      </c>
    </row>
    <row r="77" spans="1:12" x14ac:dyDescent="0.3">
      <c r="A77" s="1" t="s">
        <v>245</v>
      </c>
      <c r="B77" s="1" t="s">
        <v>246</v>
      </c>
      <c r="C77" s="1" t="s">
        <v>107</v>
      </c>
      <c r="D77">
        <v>32</v>
      </c>
      <c r="E77" s="1" t="s">
        <v>103</v>
      </c>
      <c r="F77" s="1" t="s">
        <v>104</v>
      </c>
      <c r="G77" s="1" t="s">
        <v>57</v>
      </c>
      <c r="I77" s="1" t="s">
        <v>44</v>
      </c>
      <c r="J77">
        <v>1.9</v>
      </c>
      <c r="K77" s="1" t="s">
        <v>66</v>
      </c>
      <c r="L77">
        <v>0.96</v>
      </c>
    </row>
    <row r="78" spans="1:12" x14ac:dyDescent="0.3">
      <c r="A78" s="1" t="s">
        <v>247</v>
      </c>
      <c r="B78" s="1" t="s">
        <v>248</v>
      </c>
      <c r="C78" s="1" t="s">
        <v>30</v>
      </c>
      <c r="D78">
        <v>59</v>
      </c>
      <c r="E78" s="1" t="s">
        <v>23</v>
      </c>
      <c r="F78" s="1" t="s">
        <v>24</v>
      </c>
      <c r="G78" s="1" t="s">
        <v>49</v>
      </c>
      <c r="H78">
        <v>9</v>
      </c>
      <c r="I78" s="1" t="s">
        <v>58</v>
      </c>
      <c r="J78">
        <v>4</v>
      </c>
      <c r="K78" s="1" t="s">
        <v>27</v>
      </c>
      <c r="L78">
        <v>96</v>
      </c>
    </row>
    <row r="79" spans="1:12" x14ac:dyDescent="0.3">
      <c r="A79" s="1" t="s">
        <v>249</v>
      </c>
      <c r="B79" s="1" t="s">
        <v>250</v>
      </c>
      <c r="C79" s="1" t="s">
        <v>38</v>
      </c>
      <c r="D79">
        <v>54</v>
      </c>
      <c r="E79" s="1" t="s">
        <v>201</v>
      </c>
      <c r="F79" s="1" t="s">
        <v>81</v>
      </c>
      <c r="G79" s="1" t="s">
        <v>99</v>
      </c>
      <c r="H79">
        <v>32</v>
      </c>
      <c r="I79" s="1" t="s">
        <v>61</v>
      </c>
      <c r="J79">
        <v>1.8</v>
      </c>
      <c r="K79" s="1" t="s">
        <v>35</v>
      </c>
    </row>
    <row r="80" spans="1:12" x14ac:dyDescent="0.3">
      <c r="A80" s="1" t="s">
        <v>251</v>
      </c>
      <c r="B80" s="1" t="s">
        <v>252</v>
      </c>
      <c r="C80" s="1" t="s">
        <v>14</v>
      </c>
      <c r="D80">
        <v>37</v>
      </c>
      <c r="E80" s="1" t="s">
        <v>138</v>
      </c>
      <c r="F80" s="1" t="s">
        <v>24</v>
      </c>
      <c r="G80" s="1" t="s">
        <v>33</v>
      </c>
      <c r="H80">
        <v>9</v>
      </c>
      <c r="I80" s="1" t="s">
        <v>65</v>
      </c>
      <c r="J80">
        <v>0</v>
      </c>
      <c r="K80" s="1" t="s">
        <v>27</v>
      </c>
      <c r="L80">
        <v>0.89</v>
      </c>
    </row>
    <row r="81" spans="1:12" x14ac:dyDescent="0.3">
      <c r="A81" s="1" t="s">
        <v>253</v>
      </c>
      <c r="B81" s="1" t="s">
        <v>254</v>
      </c>
      <c r="C81" s="1" t="s">
        <v>69</v>
      </c>
      <c r="D81">
        <v>54</v>
      </c>
      <c r="E81" s="1" t="s">
        <v>103</v>
      </c>
      <c r="F81" s="1" t="s">
        <v>104</v>
      </c>
      <c r="G81" s="1" t="s">
        <v>124</v>
      </c>
      <c r="H81">
        <v>21</v>
      </c>
      <c r="I81" s="1" t="s">
        <v>240</v>
      </c>
      <c r="J81">
        <v>4.5999999999999996</v>
      </c>
      <c r="K81" s="1" t="s">
        <v>51</v>
      </c>
    </row>
    <row r="82" spans="1:12" x14ac:dyDescent="0.3">
      <c r="A82" s="1" t="s">
        <v>255</v>
      </c>
      <c r="B82" s="1" t="s">
        <v>256</v>
      </c>
      <c r="C82" s="1" t="s">
        <v>86</v>
      </c>
      <c r="D82">
        <v>33</v>
      </c>
      <c r="E82" s="1" t="s">
        <v>80</v>
      </c>
      <c r="F82" s="1" t="s">
        <v>81</v>
      </c>
      <c r="G82" s="1" t="s">
        <v>82</v>
      </c>
      <c r="H82">
        <v>12</v>
      </c>
      <c r="I82" s="1" t="s">
        <v>18</v>
      </c>
      <c r="J82">
        <v>3.6</v>
      </c>
      <c r="K82" s="1" t="s">
        <v>19</v>
      </c>
      <c r="L82">
        <v>0.63</v>
      </c>
    </row>
    <row r="83" spans="1:12" x14ac:dyDescent="0.3">
      <c r="A83" s="1" t="s">
        <v>257</v>
      </c>
      <c r="B83" s="1" t="s">
        <v>258</v>
      </c>
      <c r="C83" s="1" t="s">
        <v>14</v>
      </c>
      <c r="D83">
        <v>25</v>
      </c>
      <c r="E83" s="1" t="s">
        <v>149</v>
      </c>
      <c r="F83" s="1" t="s">
        <v>150</v>
      </c>
      <c r="G83" s="1" t="s">
        <v>39</v>
      </c>
      <c r="H83">
        <v>7</v>
      </c>
      <c r="I83" s="1" t="s">
        <v>61</v>
      </c>
      <c r="J83">
        <v>4.4000000000000004</v>
      </c>
      <c r="K83" s="1" t="s">
        <v>65</v>
      </c>
      <c r="L83">
        <v>81</v>
      </c>
    </row>
    <row r="84" spans="1:12" x14ac:dyDescent="0.3">
      <c r="A84" s="1" t="s">
        <v>259</v>
      </c>
      <c r="B84" s="1" t="s">
        <v>260</v>
      </c>
      <c r="C84" s="1" t="s">
        <v>107</v>
      </c>
      <c r="E84" s="1" t="s">
        <v>186</v>
      </c>
      <c r="F84" s="1" t="s">
        <v>187</v>
      </c>
      <c r="G84" s="1" t="s">
        <v>99</v>
      </c>
      <c r="H84">
        <v>3</v>
      </c>
      <c r="I84" s="1" t="s">
        <v>76</v>
      </c>
      <c r="J84">
        <v>4.5999999999999996</v>
      </c>
      <c r="K84" s="1" t="s">
        <v>35</v>
      </c>
      <c r="L84">
        <v>0.74</v>
      </c>
    </row>
    <row r="85" spans="1:12" x14ac:dyDescent="0.3">
      <c r="A85" s="1" t="s">
        <v>261</v>
      </c>
      <c r="B85" s="1" t="s">
        <v>262</v>
      </c>
      <c r="C85" s="1" t="s">
        <v>30</v>
      </c>
      <c r="D85">
        <v>35</v>
      </c>
      <c r="E85" s="1" t="s">
        <v>122</v>
      </c>
      <c r="F85" s="1" t="s">
        <v>123</v>
      </c>
      <c r="G85" s="1" t="s">
        <v>39</v>
      </c>
      <c r="H85">
        <v>5</v>
      </c>
      <c r="I85" s="1" t="s">
        <v>181</v>
      </c>
      <c r="J85">
        <v>3.2</v>
      </c>
      <c r="K85" s="1" t="s">
        <v>51</v>
      </c>
      <c r="L85">
        <v>0.72</v>
      </c>
    </row>
    <row r="86" spans="1:12" x14ac:dyDescent="0.3">
      <c r="A86" s="1" t="s">
        <v>263</v>
      </c>
      <c r="B86" s="1" t="s">
        <v>264</v>
      </c>
      <c r="C86" s="1" t="s">
        <v>107</v>
      </c>
      <c r="D86">
        <v>59</v>
      </c>
      <c r="E86" s="1" t="s">
        <v>122</v>
      </c>
      <c r="F86" s="1" t="s">
        <v>123</v>
      </c>
      <c r="G86" s="1" t="s">
        <v>49</v>
      </c>
      <c r="H86">
        <v>30</v>
      </c>
      <c r="I86" s="1" t="s">
        <v>40</v>
      </c>
      <c r="J86">
        <v>0</v>
      </c>
      <c r="K86" s="1" t="s">
        <v>66</v>
      </c>
    </row>
    <row r="87" spans="1:12" x14ac:dyDescent="0.3">
      <c r="A87" s="1" t="s">
        <v>265</v>
      </c>
      <c r="B87" s="1" t="s">
        <v>266</v>
      </c>
      <c r="C87" s="1" t="s">
        <v>43</v>
      </c>
      <c r="D87">
        <v>21</v>
      </c>
      <c r="E87" s="1" t="s">
        <v>186</v>
      </c>
      <c r="F87" s="1" t="s">
        <v>187</v>
      </c>
      <c r="G87" s="1" t="s">
        <v>99</v>
      </c>
      <c r="H87">
        <v>2</v>
      </c>
      <c r="I87" s="1" t="s">
        <v>18</v>
      </c>
      <c r="J87">
        <v>2.6</v>
      </c>
      <c r="K87" s="1" t="s">
        <v>83</v>
      </c>
      <c r="L87">
        <v>0.85</v>
      </c>
    </row>
    <row r="88" spans="1:12" x14ac:dyDescent="0.3">
      <c r="A88" s="1" t="s">
        <v>267</v>
      </c>
      <c r="B88" s="1" t="s">
        <v>268</v>
      </c>
      <c r="C88" s="1" t="s">
        <v>102</v>
      </c>
      <c r="D88">
        <v>25</v>
      </c>
      <c r="E88" s="1" t="s">
        <v>64</v>
      </c>
      <c r="F88" s="1" t="s">
        <v>24</v>
      </c>
      <c r="G88" s="1" t="s">
        <v>25</v>
      </c>
      <c r="H88">
        <v>2</v>
      </c>
      <c r="I88" s="1" t="s">
        <v>181</v>
      </c>
      <c r="J88">
        <v>3.7</v>
      </c>
      <c r="K88" s="1" t="s">
        <v>35</v>
      </c>
    </row>
    <row r="89" spans="1:12" x14ac:dyDescent="0.3">
      <c r="A89" s="1" t="s">
        <v>269</v>
      </c>
      <c r="B89" s="1" t="s">
        <v>270</v>
      </c>
      <c r="C89" s="1" t="s">
        <v>14</v>
      </c>
      <c r="D89">
        <v>38</v>
      </c>
      <c r="E89" s="1" t="s">
        <v>190</v>
      </c>
      <c r="F89" s="1" t="s">
        <v>81</v>
      </c>
      <c r="G89" s="1" t="s">
        <v>39</v>
      </c>
      <c r="H89">
        <v>19</v>
      </c>
      <c r="I89" s="1" t="s">
        <v>92</v>
      </c>
      <c r="J89">
        <v>2.2999999999999998</v>
      </c>
      <c r="K89" s="1" t="s">
        <v>51</v>
      </c>
      <c r="L89">
        <v>0.61</v>
      </c>
    </row>
    <row r="90" spans="1:12" x14ac:dyDescent="0.3">
      <c r="A90" s="1" t="s">
        <v>271</v>
      </c>
      <c r="B90" s="1" t="s">
        <v>272</v>
      </c>
      <c r="C90" s="1" t="s">
        <v>107</v>
      </c>
      <c r="D90">
        <v>57</v>
      </c>
      <c r="E90" s="1" t="s">
        <v>134</v>
      </c>
      <c r="F90" s="1" t="s">
        <v>135</v>
      </c>
      <c r="G90" s="1" t="s">
        <v>49</v>
      </c>
      <c r="H90">
        <v>16</v>
      </c>
      <c r="I90" s="1" t="s">
        <v>18</v>
      </c>
      <c r="J90">
        <v>3.1</v>
      </c>
      <c r="K90" s="1" t="s">
        <v>51</v>
      </c>
    </row>
    <row r="91" spans="1:12" x14ac:dyDescent="0.3">
      <c r="A91" s="1" t="s">
        <v>273</v>
      </c>
      <c r="B91" s="1" t="s">
        <v>274</v>
      </c>
      <c r="C91" s="1" t="s">
        <v>54</v>
      </c>
      <c r="D91">
        <v>32</v>
      </c>
      <c r="E91" s="1" t="s">
        <v>103</v>
      </c>
      <c r="F91" s="1" t="s">
        <v>104</v>
      </c>
      <c r="G91" s="1" t="s">
        <v>25</v>
      </c>
      <c r="H91">
        <v>10</v>
      </c>
      <c r="I91" s="1" t="s">
        <v>131</v>
      </c>
      <c r="J91">
        <v>2.4</v>
      </c>
      <c r="K91" s="1" t="s">
        <v>19</v>
      </c>
      <c r="L91">
        <v>0.86</v>
      </c>
    </row>
    <row r="92" spans="1:12" x14ac:dyDescent="0.3">
      <c r="A92" s="1" t="s">
        <v>275</v>
      </c>
      <c r="B92" s="1" t="s">
        <v>276</v>
      </c>
      <c r="C92" s="1" t="s">
        <v>30</v>
      </c>
      <c r="D92">
        <v>21</v>
      </c>
      <c r="E92" s="1" t="s">
        <v>15</v>
      </c>
      <c r="F92" s="1" t="s">
        <v>16</v>
      </c>
      <c r="G92" s="1" t="s">
        <v>99</v>
      </c>
      <c r="H92">
        <v>2</v>
      </c>
      <c r="I92" s="1" t="s">
        <v>26</v>
      </c>
      <c r="J92">
        <v>1.6</v>
      </c>
      <c r="K92" s="1" t="s">
        <v>77</v>
      </c>
      <c r="L92">
        <v>0.97</v>
      </c>
    </row>
    <row r="93" spans="1:12" x14ac:dyDescent="0.3">
      <c r="A93" s="1" t="s">
        <v>277</v>
      </c>
      <c r="B93" s="1" t="s">
        <v>278</v>
      </c>
      <c r="C93" s="1" t="s">
        <v>86</v>
      </c>
      <c r="D93">
        <v>57</v>
      </c>
      <c r="E93" s="1" t="s">
        <v>138</v>
      </c>
      <c r="F93" s="1" t="s">
        <v>24</v>
      </c>
      <c r="G93" s="1" t="s">
        <v>87</v>
      </c>
      <c r="H93">
        <v>18</v>
      </c>
      <c r="I93" s="1" t="s">
        <v>34</v>
      </c>
      <c r="J93">
        <v>2.4</v>
      </c>
      <c r="K93" s="1" t="s">
        <v>27</v>
      </c>
      <c r="L93">
        <v>0.63</v>
      </c>
    </row>
    <row r="94" spans="1:12" x14ac:dyDescent="0.3">
      <c r="A94" s="1" t="s">
        <v>279</v>
      </c>
      <c r="B94" s="1" t="s">
        <v>280</v>
      </c>
      <c r="C94" s="1" t="s">
        <v>30</v>
      </c>
      <c r="D94">
        <v>53</v>
      </c>
      <c r="E94" s="1" t="s">
        <v>186</v>
      </c>
      <c r="F94" s="1" t="s">
        <v>187</v>
      </c>
      <c r="G94" s="1" t="s">
        <v>82</v>
      </c>
      <c r="H94">
        <v>21</v>
      </c>
      <c r="I94" s="1" t="s">
        <v>26</v>
      </c>
      <c r="K94" s="1" t="s">
        <v>83</v>
      </c>
      <c r="L94">
        <v>0.97</v>
      </c>
    </row>
    <row r="95" spans="1:12" x14ac:dyDescent="0.3">
      <c r="A95" s="1" t="s">
        <v>281</v>
      </c>
      <c r="B95" s="1" t="s">
        <v>282</v>
      </c>
      <c r="C95" s="1" t="s">
        <v>102</v>
      </c>
      <c r="D95">
        <v>35</v>
      </c>
      <c r="E95" s="1" t="s">
        <v>134</v>
      </c>
      <c r="F95" s="1" t="s">
        <v>135</v>
      </c>
      <c r="G95" s="1" t="s">
        <v>17</v>
      </c>
      <c r="H95">
        <v>3</v>
      </c>
      <c r="I95" s="1" t="s">
        <v>119</v>
      </c>
      <c r="J95">
        <v>3.8</v>
      </c>
      <c r="K95" s="1" t="s">
        <v>77</v>
      </c>
      <c r="L95">
        <v>0.81</v>
      </c>
    </row>
    <row r="96" spans="1:12" x14ac:dyDescent="0.3">
      <c r="A96" s="1" t="s">
        <v>283</v>
      </c>
      <c r="B96" s="1" t="s">
        <v>284</v>
      </c>
      <c r="C96" s="1" t="s">
        <v>14</v>
      </c>
      <c r="D96">
        <v>54</v>
      </c>
      <c r="E96" s="1" t="s">
        <v>186</v>
      </c>
      <c r="F96" s="1" t="s">
        <v>187</v>
      </c>
      <c r="G96" s="1" t="s">
        <v>124</v>
      </c>
      <c r="H96">
        <v>17</v>
      </c>
      <c r="I96" s="1" t="s">
        <v>151</v>
      </c>
      <c r="J96">
        <v>1.7</v>
      </c>
      <c r="K96" s="1" t="s">
        <v>19</v>
      </c>
      <c r="L96">
        <v>0.69</v>
      </c>
    </row>
    <row r="97" spans="1:12" x14ac:dyDescent="0.3">
      <c r="A97" s="1" t="s">
        <v>285</v>
      </c>
      <c r="B97" s="1" t="s">
        <v>286</v>
      </c>
      <c r="C97" s="1" t="s">
        <v>22</v>
      </c>
      <c r="D97">
        <v>36</v>
      </c>
      <c r="E97" s="1" t="s">
        <v>15</v>
      </c>
      <c r="F97" s="1" t="s">
        <v>16</v>
      </c>
      <c r="G97" s="1" t="s">
        <v>82</v>
      </c>
      <c r="H97">
        <v>0</v>
      </c>
      <c r="I97" s="1" t="s">
        <v>151</v>
      </c>
      <c r="J97">
        <v>1.3</v>
      </c>
      <c r="K97" s="1" t="s">
        <v>83</v>
      </c>
      <c r="L97">
        <v>0.64</v>
      </c>
    </row>
    <row r="98" spans="1:12" x14ac:dyDescent="0.3">
      <c r="A98" s="1" t="s">
        <v>287</v>
      </c>
      <c r="B98" s="1" t="s">
        <v>288</v>
      </c>
      <c r="C98" s="1" t="s">
        <v>14</v>
      </c>
      <c r="D98">
        <v>49</v>
      </c>
      <c r="E98" s="1" t="s">
        <v>201</v>
      </c>
      <c r="F98" s="1" t="s">
        <v>81</v>
      </c>
      <c r="G98" s="1" t="s">
        <v>87</v>
      </c>
      <c r="H98">
        <v>25</v>
      </c>
      <c r="I98" s="1" t="s">
        <v>34</v>
      </c>
      <c r="J98">
        <v>5</v>
      </c>
      <c r="K98" s="1" t="s">
        <v>35</v>
      </c>
      <c r="L98">
        <v>0.77</v>
      </c>
    </row>
    <row r="99" spans="1:12" x14ac:dyDescent="0.3">
      <c r="A99" s="1" t="s">
        <v>289</v>
      </c>
      <c r="B99" s="1" t="s">
        <v>290</v>
      </c>
      <c r="C99" s="1" t="s">
        <v>107</v>
      </c>
      <c r="D99">
        <v>37</v>
      </c>
      <c r="E99" s="1" t="s">
        <v>64</v>
      </c>
      <c r="F99" s="1" t="s">
        <v>24</v>
      </c>
      <c r="G99" s="1" t="s">
        <v>17</v>
      </c>
      <c r="H99">
        <v>17</v>
      </c>
      <c r="I99" s="1" t="s">
        <v>151</v>
      </c>
      <c r="J99">
        <v>3.3</v>
      </c>
      <c r="K99" s="1" t="s">
        <v>19</v>
      </c>
      <c r="L99">
        <v>96</v>
      </c>
    </row>
    <row r="100" spans="1:12" x14ac:dyDescent="0.3">
      <c r="A100" s="1" t="s">
        <v>291</v>
      </c>
      <c r="B100" s="1" t="s">
        <v>292</v>
      </c>
      <c r="C100" s="1" t="s">
        <v>69</v>
      </c>
      <c r="E100" s="1" t="s">
        <v>64</v>
      </c>
      <c r="F100" s="1" t="s">
        <v>24</v>
      </c>
      <c r="G100" s="1" t="s">
        <v>82</v>
      </c>
      <c r="H100">
        <v>5</v>
      </c>
      <c r="I100" s="1" t="s">
        <v>131</v>
      </c>
      <c r="J100">
        <v>1.1000000000000001</v>
      </c>
      <c r="K100" s="1" t="s">
        <v>170</v>
      </c>
      <c r="L100">
        <v>0.74</v>
      </c>
    </row>
    <row r="101" spans="1:12" x14ac:dyDescent="0.3">
      <c r="A101" s="1" t="s">
        <v>293</v>
      </c>
      <c r="B101" s="1" t="s">
        <v>294</v>
      </c>
      <c r="C101" s="1" t="s">
        <v>54</v>
      </c>
      <c r="D101">
        <v>32</v>
      </c>
      <c r="E101" s="1" t="s">
        <v>149</v>
      </c>
      <c r="F101" s="1" t="s">
        <v>150</v>
      </c>
      <c r="G101" s="1" t="s">
        <v>82</v>
      </c>
      <c r="H101">
        <v>10</v>
      </c>
      <c r="I101" s="1" t="s">
        <v>34</v>
      </c>
      <c r="J101">
        <v>1.2</v>
      </c>
      <c r="K101" s="1" t="s">
        <v>51</v>
      </c>
      <c r="L101">
        <v>0.89</v>
      </c>
    </row>
    <row r="102" spans="1:12" x14ac:dyDescent="0.3">
      <c r="A102" s="1" t="s">
        <v>295</v>
      </c>
      <c r="B102" s="1" t="s">
        <v>296</v>
      </c>
      <c r="C102" s="1" t="s">
        <v>54</v>
      </c>
      <c r="D102">
        <v>35</v>
      </c>
      <c r="E102" s="1" t="s">
        <v>103</v>
      </c>
      <c r="F102" s="1" t="s">
        <v>104</v>
      </c>
      <c r="G102" s="1" t="s">
        <v>25</v>
      </c>
      <c r="H102">
        <v>0</v>
      </c>
      <c r="I102" s="1" t="s">
        <v>65</v>
      </c>
      <c r="J102">
        <v>2</v>
      </c>
      <c r="K102" s="1" t="s">
        <v>27</v>
      </c>
      <c r="L102">
        <v>0.64</v>
      </c>
    </row>
    <row r="103" spans="1:12" x14ac:dyDescent="0.3">
      <c r="A103" s="1" t="s">
        <v>297</v>
      </c>
      <c r="B103" s="1" t="s">
        <v>298</v>
      </c>
      <c r="C103" s="1" t="s">
        <v>14</v>
      </c>
      <c r="D103">
        <v>51</v>
      </c>
      <c r="E103" s="1" t="s">
        <v>134</v>
      </c>
      <c r="F103" s="1" t="s">
        <v>135</v>
      </c>
      <c r="G103" s="1" t="s">
        <v>33</v>
      </c>
      <c r="H103">
        <v>2</v>
      </c>
      <c r="I103" s="1" t="s">
        <v>50</v>
      </c>
      <c r="J103">
        <v>4.5</v>
      </c>
      <c r="K103" s="1" t="s">
        <v>19</v>
      </c>
      <c r="L103">
        <v>64</v>
      </c>
    </row>
    <row r="104" spans="1:12" x14ac:dyDescent="0.3">
      <c r="A104" s="1" t="s">
        <v>299</v>
      </c>
      <c r="B104" s="1" t="s">
        <v>300</v>
      </c>
      <c r="C104" s="1" t="s">
        <v>14</v>
      </c>
      <c r="D104">
        <v>50</v>
      </c>
      <c r="E104" s="1" t="s">
        <v>134</v>
      </c>
      <c r="F104" s="1" t="s">
        <v>135</v>
      </c>
      <c r="G104" s="1" t="s">
        <v>99</v>
      </c>
      <c r="H104">
        <v>30</v>
      </c>
      <c r="I104" s="1" t="s">
        <v>18</v>
      </c>
      <c r="J104">
        <v>3</v>
      </c>
      <c r="K104" s="1" t="s">
        <v>27</v>
      </c>
      <c r="L104">
        <v>0.73</v>
      </c>
    </row>
    <row r="105" spans="1:12" x14ac:dyDescent="0.3">
      <c r="A105" s="1" t="s">
        <v>301</v>
      </c>
      <c r="B105" s="1" t="s">
        <v>302</v>
      </c>
      <c r="C105" s="1" t="s">
        <v>14</v>
      </c>
      <c r="D105">
        <v>21</v>
      </c>
      <c r="E105" s="1" t="s">
        <v>70</v>
      </c>
      <c r="F105" s="1" t="s">
        <v>71</v>
      </c>
      <c r="G105" s="1" t="s">
        <v>17</v>
      </c>
      <c r="H105">
        <v>2</v>
      </c>
      <c r="I105" s="1" t="s">
        <v>72</v>
      </c>
      <c r="J105">
        <v>4.9000000000000004</v>
      </c>
      <c r="K105" s="1" t="s">
        <v>77</v>
      </c>
      <c r="L105">
        <v>0.68</v>
      </c>
    </row>
    <row r="106" spans="1:12" x14ac:dyDescent="0.3">
      <c r="A106" s="1" t="s">
        <v>303</v>
      </c>
      <c r="B106" s="1" t="s">
        <v>304</v>
      </c>
      <c r="C106" s="1" t="s">
        <v>69</v>
      </c>
      <c r="D106">
        <v>25</v>
      </c>
      <c r="E106" s="1" t="s">
        <v>64</v>
      </c>
      <c r="F106" s="1" t="s">
        <v>24</v>
      </c>
      <c r="G106" s="1" t="s">
        <v>33</v>
      </c>
      <c r="H106">
        <v>3</v>
      </c>
      <c r="I106" s="1" t="s">
        <v>50</v>
      </c>
      <c r="K106" s="1" t="s">
        <v>170</v>
      </c>
      <c r="L106">
        <v>0.88</v>
      </c>
    </row>
    <row r="107" spans="1:12" x14ac:dyDescent="0.3">
      <c r="A107" s="1" t="s">
        <v>305</v>
      </c>
      <c r="B107" s="1" t="s">
        <v>306</v>
      </c>
      <c r="C107" s="1" t="s">
        <v>22</v>
      </c>
      <c r="D107">
        <v>57</v>
      </c>
      <c r="E107" s="1" t="s">
        <v>145</v>
      </c>
      <c r="F107" s="1" t="s">
        <v>146</v>
      </c>
      <c r="G107" s="1" t="s">
        <v>99</v>
      </c>
      <c r="H107">
        <v>21</v>
      </c>
      <c r="I107" s="1" t="s">
        <v>40</v>
      </c>
      <c r="J107">
        <v>2.5</v>
      </c>
      <c r="K107" s="1" t="s">
        <v>19</v>
      </c>
      <c r="L107">
        <v>0.77</v>
      </c>
    </row>
    <row r="108" spans="1:12" x14ac:dyDescent="0.3">
      <c r="A108" s="1" t="s">
        <v>307</v>
      </c>
      <c r="B108" s="1" t="s">
        <v>308</v>
      </c>
      <c r="C108" s="1" t="s">
        <v>54</v>
      </c>
      <c r="D108">
        <v>58</v>
      </c>
      <c r="E108" s="1" t="s">
        <v>134</v>
      </c>
      <c r="F108" s="1" t="s">
        <v>135</v>
      </c>
      <c r="G108" s="1" t="s">
        <v>17</v>
      </c>
      <c r="H108">
        <v>3</v>
      </c>
      <c r="I108" s="1" t="s">
        <v>65</v>
      </c>
      <c r="J108">
        <v>0</v>
      </c>
      <c r="K108" s="1" t="s">
        <v>27</v>
      </c>
    </row>
    <row r="109" spans="1:12" x14ac:dyDescent="0.3">
      <c r="A109" s="1" t="s">
        <v>309</v>
      </c>
      <c r="B109" s="1" t="s">
        <v>310</v>
      </c>
      <c r="C109" s="1" t="s">
        <v>38</v>
      </c>
      <c r="D109">
        <v>45</v>
      </c>
      <c r="E109" s="1" t="s">
        <v>55</v>
      </c>
      <c r="F109" s="1" t="s">
        <v>56</v>
      </c>
      <c r="G109" s="1" t="s">
        <v>25</v>
      </c>
      <c r="H109">
        <v>19</v>
      </c>
      <c r="I109" s="1" t="s">
        <v>76</v>
      </c>
      <c r="K109" s="1" t="s">
        <v>27</v>
      </c>
      <c r="L109">
        <v>0.72</v>
      </c>
    </row>
    <row r="110" spans="1:12" x14ac:dyDescent="0.3">
      <c r="A110" s="1" t="s">
        <v>311</v>
      </c>
      <c r="B110" s="1" t="s">
        <v>312</v>
      </c>
      <c r="C110" s="1" t="s">
        <v>38</v>
      </c>
      <c r="D110">
        <v>23</v>
      </c>
      <c r="E110" s="1" t="s">
        <v>64</v>
      </c>
      <c r="F110" s="1" t="s">
        <v>24</v>
      </c>
      <c r="G110" s="1" t="s">
        <v>39</v>
      </c>
      <c r="H110">
        <v>0</v>
      </c>
      <c r="I110" s="1" t="s">
        <v>151</v>
      </c>
      <c r="J110">
        <v>4.7</v>
      </c>
      <c r="K110" s="1" t="s">
        <v>83</v>
      </c>
      <c r="L110">
        <v>0.6</v>
      </c>
    </row>
    <row r="111" spans="1:12" x14ac:dyDescent="0.3">
      <c r="A111" s="1" t="s">
        <v>313</v>
      </c>
      <c r="B111" s="1" t="s">
        <v>314</v>
      </c>
      <c r="C111" s="1" t="s">
        <v>22</v>
      </c>
      <c r="D111">
        <v>46</v>
      </c>
      <c r="E111" s="1" t="s">
        <v>64</v>
      </c>
      <c r="F111" s="1" t="s">
        <v>24</v>
      </c>
      <c r="G111" s="1" t="s">
        <v>49</v>
      </c>
      <c r="H111">
        <v>9</v>
      </c>
      <c r="I111" s="1" t="s">
        <v>50</v>
      </c>
      <c r="J111">
        <v>3.5</v>
      </c>
      <c r="K111" s="1" t="s">
        <v>65</v>
      </c>
      <c r="L111">
        <v>72</v>
      </c>
    </row>
    <row r="112" spans="1:12" x14ac:dyDescent="0.3">
      <c r="A112" s="1" t="s">
        <v>315</v>
      </c>
      <c r="B112" s="1" t="s">
        <v>316</v>
      </c>
      <c r="C112" s="1" t="s">
        <v>69</v>
      </c>
      <c r="D112">
        <v>27</v>
      </c>
      <c r="E112" s="1" t="s">
        <v>80</v>
      </c>
      <c r="F112" s="1" t="s">
        <v>81</v>
      </c>
      <c r="G112" s="1" t="s">
        <v>82</v>
      </c>
      <c r="H112">
        <v>5</v>
      </c>
      <c r="I112" s="1" t="s">
        <v>44</v>
      </c>
      <c r="K112" s="1" t="s">
        <v>35</v>
      </c>
      <c r="L112">
        <v>0.92</v>
      </c>
    </row>
    <row r="113" spans="1:12" x14ac:dyDescent="0.3">
      <c r="A113" s="1" t="s">
        <v>317</v>
      </c>
      <c r="B113" s="1" t="s">
        <v>318</v>
      </c>
      <c r="C113" s="1" t="s">
        <v>22</v>
      </c>
      <c r="D113">
        <v>32</v>
      </c>
      <c r="E113" s="1" t="s">
        <v>64</v>
      </c>
      <c r="F113" s="1" t="s">
        <v>24</v>
      </c>
      <c r="G113" s="1" t="s">
        <v>124</v>
      </c>
      <c r="H113">
        <v>6</v>
      </c>
      <c r="I113" s="1" t="s">
        <v>108</v>
      </c>
      <c r="J113">
        <v>3.4</v>
      </c>
      <c r="K113" s="1" t="s">
        <v>27</v>
      </c>
    </row>
    <row r="114" spans="1:12" x14ac:dyDescent="0.3">
      <c r="A114" s="1" t="s">
        <v>319</v>
      </c>
      <c r="B114" s="1" t="s">
        <v>320</v>
      </c>
      <c r="C114" s="1" t="s">
        <v>14</v>
      </c>
      <c r="D114">
        <v>48</v>
      </c>
      <c r="E114" s="1" t="s">
        <v>80</v>
      </c>
      <c r="F114" s="1" t="s">
        <v>81</v>
      </c>
      <c r="G114" s="1" t="s">
        <v>124</v>
      </c>
      <c r="H114">
        <v>6</v>
      </c>
      <c r="I114" s="1" t="s">
        <v>58</v>
      </c>
      <c r="J114">
        <v>2.5</v>
      </c>
      <c r="K114" s="1" t="s">
        <v>65</v>
      </c>
      <c r="L114">
        <v>0.92</v>
      </c>
    </row>
    <row r="115" spans="1:12" x14ac:dyDescent="0.3">
      <c r="A115" s="1" t="s">
        <v>321</v>
      </c>
      <c r="B115" s="1" t="s">
        <v>322</v>
      </c>
      <c r="C115" s="1" t="s">
        <v>30</v>
      </c>
      <c r="D115">
        <v>30</v>
      </c>
      <c r="E115" s="1" t="s">
        <v>70</v>
      </c>
      <c r="F115" s="1" t="s">
        <v>71</v>
      </c>
      <c r="G115" s="1" t="s">
        <v>25</v>
      </c>
      <c r="H115">
        <v>3</v>
      </c>
      <c r="I115" s="1" t="s">
        <v>50</v>
      </c>
      <c r="J115">
        <v>1.1000000000000001</v>
      </c>
      <c r="K115" s="1" t="s">
        <v>66</v>
      </c>
    </row>
    <row r="116" spans="1:12" x14ac:dyDescent="0.3">
      <c r="A116" s="1" t="s">
        <v>323</v>
      </c>
      <c r="B116" s="1" t="s">
        <v>324</v>
      </c>
      <c r="C116" s="1" t="s">
        <v>107</v>
      </c>
      <c r="D116">
        <v>59</v>
      </c>
      <c r="E116" s="1" t="s">
        <v>70</v>
      </c>
      <c r="F116" s="1" t="s">
        <v>71</v>
      </c>
      <c r="G116" s="1" t="s">
        <v>49</v>
      </c>
      <c r="H116">
        <v>13</v>
      </c>
      <c r="I116" s="1" t="s">
        <v>325</v>
      </c>
      <c r="J116">
        <v>4.8</v>
      </c>
      <c r="K116" s="1" t="s">
        <v>65</v>
      </c>
    </row>
    <row r="117" spans="1:12" x14ac:dyDescent="0.3">
      <c r="A117" s="1" t="s">
        <v>326</v>
      </c>
      <c r="B117" s="1" t="s">
        <v>327</v>
      </c>
      <c r="C117" s="1" t="s">
        <v>43</v>
      </c>
      <c r="D117">
        <v>32</v>
      </c>
      <c r="E117" s="1" t="s">
        <v>190</v>
      </c>
      <c r="F117" s="1" t="s">
        <v>81</v>
      </c>
      <c r="G117" s="1" t="s">
        <v>49</v>
      </c>
      <c r="H117">
        <v>5</v>
      </c>
      <c r="I117" s="1" t="s">
        <v>50</v>
      </c>
      <c r="K117" s="1" t="s">
        <v>19</v>
      </c>
      <c r="L117">
        <v>0.86</v>
      </c>
    </row>
    <row r="118" spans="1:12" x14ac:dyDescent="0.3">
      <c r="A118" s="1" t="s">
        <v>328</v>
      </c>
      <c r="B118" s="1" t="s">
        <v>329</v>
      </c>
      <c r="C118" s="1" t="s">
        <v>86</v>
      </c>
      <c r="D118">
        <v>57</v>
      </c>
      <c r="E118" s="1" t="s">
        <v>149</v>
      </c>
      <c r="F118" s="1" t="s">
        <v>150</v>
      </c>
      <c r="G118" s="1" t="s">
        <v>82</v>
      </c>
      <c r="H118">
        <v>4</v>
      </c>
      <c r="I118" s="1" t="s">
        <v>61</v>
      </c>
      <c r="J118">
        <v>3.4</v>
      </c>
      <c r="K118" s="1" t="s">
        <v>27</v>
      </c>
      <c r="L118">
        <v>0.68</v>
      </c>
    </row>
    <row r="119" spans="1:12" x14ac:dyDescent="0.3">
      <c r="A119" s="1" t="s">
        <v>330</v>
      </c>
      <c r="B119" s="1" t="s">
        <v>331</v>
      </c>
      <c r="C119" s="1" t="s">
        <v>69</v>
      </c>
      <c r="D119">
        <v>27</v>
      </c>
      <c r="E119" s="1" t="s">
        <v>23</v>
      </c>
      <c r="F119" s="1" t="s">
        <v>24</v>
      </c>
      <c r="G119" s="1" t="s">
        <v>124</v>
      </c>
      <c r="H119">
        <v>7</v>
      </c>
      <c r="I119" s="1" t="s">
        <v>325</v>
      </c>
      <c r="J119">
        <v>3.2</v>
      </c>
      <c r="K119" s="1" t="s">
        <v>27</v>
      </c>
      <c r="L119">
        <v>0.62</v>
      </c>
    </row>
    <row r="120" spans="1:12" x14ac:dyDescent="0.3">
      <c r="A120" s="1" t="s">
        <v>332</v>
      </c>
      <c r="B120" s="1" t="s">
        <v>333</v>
      </c>
      <c r="C120" s="1" t="s">
        <v>38</v>
      </c>
      <c r="D120">
        <v>33</v>
      </c>
      <c r="E120" s="1" t="s">
        <v>55</v>
      </c>
      <c r="F120" s="1" t="s">
        <v>56</v>
      </c>
      <c r="G120" s="1" t="s">
        <v>124</v>
      </c>
      <c r="H120">
        <v>13</v>
      </c>
      <c r="I120" s="1" t="s">
        <v>151</v>
      </c>
      <c r="J120">
        <v>3.2</v>
      </c>
      <c r="K120" s="1" t="s">
        <v>51</v>
      </c>
    </row>
    <row r="121" spans="1:12" x14ac:dyDescent="0.3">
      <c r="A121" s="1" t="s">
        <v>334</v>
      </c>
      <c r="B121" s="1" t="s">
        <v>335</v>
      </c>
      <c r="C121" s="1" t="s">
        <v>30</v>
      </c>
      <c r="D121">
        <v>29</v>
      </c>
      <c r="E121" s="1" t="s">
        <v>122</v>
      </c>
      <c r="F121" s="1" t="s">
        <v>123</v>
      </c>
      <c r="G121" s="1" t="s">
        <v>57</v>
      </c>
      <c r="H121">
        <v>4</v>
      </c>
      <c r="I121" s="1" t="s">
        <v>44</v>
      </c>
      <c r="J121">
        <v>0</v>
      </c>
      <c r="K121" s="1" t="s">
        <v>83</v>
      </c>
      <c r="L121">
        <v>0.82</v>
      </c>
    </row>
    <row r="122" spans="1:12" x14ac:dyDescent="0.3">
      <c r="A122" s="1" t="s">
        <v>336</v>
      </c>
      <c r="B122" s="1" t="s">
        <v>337</v>
      </c>
      <c r="C122" s="1" t="s">
        <v>43</v>
      </c>
      <c r="D122">
        <v>36</v>
      </c>
      <c r="E122" s="1" t="s">
        <v>55</v>
      </c>
      <c r="F122" s="1" t="s">
        <v>56</v>
      </c>
      <c r="G122" s="1" t="s">
        <v>82</v>
      </c>
      <c r="H122">
        <v>13</v>
      </c>
      <c r="I122" s="1" t="s">
        <v>92</v>
      </c>
      <c r="K122" s="1" t="s">
        <v>27</v>
      </c>
    </row>
    <row r="123" spans="1:12" x14ac:dyDescent="0.3">
      <c r="A123" s="1" t="s">
        <v>338</v>
      </c>
      <c r="B123" s="1" t="s">
        <v>339</v>
      </c>
      <c r="C123" s="1" t="s">
        <v>86</v>
      </c>
      <c r="D123">
        <v>47</v>
      </c>
      <c r="E123" s="1" t="s">
        <v>15</v>
      </c>
      <c r="F123" s="1" t="s">
        <v>16</v>
      </c>
      <c r="G123" s="1" t="s">
        <v>99</v>
      </c>
      <c r="H123">
        <v>5</v>
      </c>
      <c r="I123" s="1" t="s">
        <v>40</v>
      </c>
      <c r="J123">
        <v>3.7</v>
      </c>
      <c r="K123" s="1" t="s">
        <v>51</v>
      </c>
      <c r="L123">
        <v>93</v>
      </c>
    </row>
    <row r="124" spans="1:12" x14ac:dyDescent="0.3">
      <c r="A124" s="1" t="s">
        <v>340</v>
      </c>
      <c r="B124" s="1" t="s">
        <v>341</v>
      </c>
      <c r="C124" s="1" t="s">
        <v>69</v>
      </c>
      <c r="D124">
        <v>48</v>
      </c>
      <c r="E124" s="1" t="s">
        <v>138</v>
      </c>
      <c r="F124" s="1" t="s">
        <v>24</v>
      </c>
      <c r="G124" s="1" t="s">
        <v>124</v>
      </c>
      <c r="H124">
        <v>15</v>
      </c>
      <c r="I124" s="1" t="s">
        <v>108</v>
      </c>
      <c r="J124">
        <v>1</v>
      </c>
      <c r="K124" s="1" t="s">
        <v>83</v>
      </c>
      <c r="L124">
        <v>0.64</v>
      </c>
    </row>
    <row r="125" spans="1:12" x14ac:dyDescent="0.3">
      <c r="A125" s="1" t="s">
        <v>342</v>
      </c>
      <c r="B125" s="1" t="s">
        <v>343</v>
      </c>
      <c r="C125" s="1" t="s">
        <v>14</v>
      </c>
      <c r="D125">
        <v>27</v>
      </c>
      <c r="E125" s="1" t="s">
        <v>186</v>
      </c>
      <c r="F125" s="1" t="s">
        <v>187</v>
      </c>
      <c r="G125" s="1" t="s">
        <v>82</v>
      </c>
      <c r="H125">
        <v>8</v>
      </c>
      <c r="I125" s="1" t="s">
        <v>72</v>
      </c>
      <c r="J125">
        <v>0</v>
      </c>
      <c r="K125" s="1" t="s">
        <v>65</v>
      </c>
    </row>
    <row r="126" spans="1:12" x14ac:dyDescent="0.3">
      <c r="A126" s="1" t="s">
        <v>344</v>
      </c>
      <c r="B126" s="1" t="s">
        <v>345</v>
      </c>
      <c r="C126" s="1" t="s">
        <v>30</v>
      </c>
      <c r="D126">
        <v>34</v>
      </c>
      <c r="E126" s="1" t="s">
        <v>23</v>
      </c>
      <c r="F126" s="1" t="s">
        <v>24</v>
      </c>
      <c r="G126" s="1" t="s">
        <v>39</v>
      </c>
      <c r="H126">
        <v>10</v>
      </c>
      <c r="I126" s="1" t="s">
        <v>65</v>
      </c>
      <c r="J126">
        <v>1.7</v>
      </c>
      <c r="K126" s="1" t="s">
        <v>35</v>
      </c>
      <c r="L126">
        <v>0.96</v>
      </c>
    </row>
    <row r="127" spans="1:12" x14ac:dyDescent="0.3">
      <c r="A127" s="1" t="s">
        <v>346</v>
      </c>
      <c r="B127" s="1" t="s">
        <v>347</v>
      </c>
      <c r="C127" s="1" t="s">
        <v>107</v>
      </c>
      <c r="D127">
        <v>49</v>
      </c>
      <c r="E127" s="1" t="s">
        <v>122</v>
      </c>
      <c r="F127" s="1" t="s">
        <v>123</v>
      </c>
      <c r="G127" s="1" t="s">
        <v>57</v>
      </c>
      <c r="H127">
        <v>19</v>
      </c>
      <c r="I127" s="1" t="s">
        <v>65</v>
      </c>
      <c r="J127">
        <v>5</v>
      </c>
      <c r="K127" s="1" t="s">
        <v>83</v>
      </c>
      <c r="L127">
        <v>0.83</v>
      </c>
    </row>
    <row r="128" spans="1:12" x14ac:dyDescent="0.3">
      <c r="A128" s="1" t="s">
        <v>348</v>
      </c>
      <c r="B128" s="1" t="s">
        <v>349</v>
      </c>
      <c r="C128" s="1" t="s">
        <v>30</v>
      </c>
      <c r="D128">
        <v>30</v>
      </c>
      <c r="E128" s="1" t="s">
        <v>117</v>
      </c>
      <c r="F128" s="1" t="s">
        <v>118</v>
      </c>
      <c r="G128" s="1" t="s">
        <v>25</v>
      </c>
      <c r="H128">
        <v>10</v>
      </c>
      <c r="I128" s="1" t="s">
        <v>240</v>
      </c>
      <c r="J128">
        <v>1.7</v>
      </c>
      <c r="K128" s="1" t="s">
        <v>77</v>
      </c>
      <c r="L128">
        <v>0.64</v>
      </c>
    </row>
    <row r="129" spans="1:12" x14ac:dyDescent="0.3">
      <c r="A129" s="1" t="s">
        <v>350</v>
      </c>
      <c r="B129" s="1" t="s">
        <v>351</v>
      </c>
      <c r="C129" s="1" t="s">
        <v>30</v>
      </c>
      <c r="D129">
        <v>31</v>
      </c>
      <c r="E129" s="1" t="s">
        <v>149</v>
      </c>
      <c r="F129" s="1" t="s">
        <v>150</v>
      </c>
      <c r="G129" s="1" t="s">
        <v>33</v>
      </c>
      <c r="H129">
        <v>8</v>
      </c>
      <c r="I129" s="1" t="s">
        <v>76</v>
      </c>
      <c r="J129">
        <v>4.4000000000000004</v>
      </c>
      <c r="K129" s="1" t="s">
        <v>19</v>
      </c>
      <c r="L129">
        <v>0.7</v>
      </c>
    </row>
    <row r="130" spans="1:12" x14ac:dyDescent="0.3">
      <c r="A130" s="1" t="s">
        <v>352</v>
      </c>
      <c r="B130" s="1" t="s">
        <v>353</v>
      </c>
      <c r="C130" s="1" t="s">
        <v>54</v>
      </c>
      <c r="D130">
        <v>58</v>
      </c>
      <c r="E130" s="1" t="s">
        <v>186</v>
      </c>
      <c r="F130" s="1" t="s">
        <v>187</v>
      </c>
      <c r="G130" s="1" t="s">
        <v>124</v>
      </c>
      <c r="H130">
        <v>9</v>
      </c>
      <c r="I130" s="1" t="s">
        <v>151</v>
      </c>
      <c r="J130">
        <v>0</v>
      </c>
      <c r="K130" s="1" t="s">
        <v>35</v>
      </c>
      <c r="L130">
        <v>0.65</v>
      </c>
    </row>
    <row r="131" spans="1:12" x14ac:dyDescent="0.3">
      <c r="A131" s="1" t="s">
        <v>354</v>
      </c>
      <c r="B131" s="1" t="s">
        <v>355</v>
      </c>
      <c r="C131" s="1" t="s">
        <v>107</v>
      </c>
      <c r="D131">
        <v>47</v>
      </c>
      <c r="E131" s="1" t="s">
        <v>145</v>
      </c>
      <c r="F131" s="1" t="s">
        <v>146</v>
      </c>
      <c r="G131" s="1" t="s">
        <v>124</v>
      </c>
      <c r="H131">
        <v>13</v>
      </c>
      <c r="I131" s="1" t="s">
        <v>76</v>
      </c>
      <c r="J131">
        <v>3.4</v>
      </c>
      <c r="K131" s="1" t="s">
        <v>65</v>
      </c>
      <c r="L131">
        <v>0.67</v>
      </c>
    </row>
    <row r="132" spans="1:12" x14ac:dyDescent="0.3">
      <c r="A132" s="1" t="s">
        <v>356</v>
      </c>
      <c r="B132" s="1" t="s">
        <v>357</v>
      </c>
      <c r="C132" s="1" t="s">
        <v>14</v>
      </c>
      <c r="D132">
        <v>45</v>
      </c>
      <c r="E132" s="1" t="s">
        <v>75</v>
      </c>
      <c r="F132" s="1" t="s">
        <v>24</v>
      </c>
      <c r="G132" s="1" t="s">
        <v>87</v>
      </c>
      <c r="H132">
        <v>14</v>
      </c>
      <c r="I132" s="1" t="s">
        <v>26</v>
      </c>
      <c r="J132">
        <v>1.1000000000000001</v>
      </c>
      <c r="K132" s="1" t="s">
        <v>170</v>
      </c>
      <c r="L132">
        <v>93</v>
      </c>
    </row>
    <row r="133" spans="1:12" x14ac:dyDescent="0.3">
      <c r="A133" s="1" t="s">
        <v>358</v>
      </c>
      <c r="B133" s="1" t="s">
        <v>359</v>
      </c>
      <c r="C133" s="1" t="s">
        <v>22</v>
      </c>
      <c r="D133">
        <v>57</v>
      </c>
      <c r="E133" s="1" t="s">
        <v>145</v>
      </c>
      <c r="F133" s="1" t="s">
        <v>146</v>
      </c>
      <c r="G133" s="1" t="s">
        <v>124</v>
      </c>
      <c r="H133">
        <v>0</v>
      </c>
      <c r="I133" s="1" t="s">
        <v>34</v>
      </c>
      <c r="J133">
        <v>1.6</v>
      </c>
      <c r="K133" s="1" t="s">
        <v>35</v>
      </c>
      <c r="L133">
        <v>0.6</v>
      </c>
    </row>
    <row r="134" spans="1:12" x14ac:dyDescent="0.3">
      <c r="A134" s="1" t="s">
        <v>360</v>
      </c>
      <c r="B134" s="1" t="s">
        <v>361</v>
      </c>
      <c r="C134" s="1" t="s">
        <v>69</v>
      </c>
      <c r="D134">
        <v>50</v>
      </c>
      <c r="E134" s="1" t="s">
        <v>103</v>
      </c>
      <c r="F134" s="1" t="s">
        <v>104</v>
      </c>
      <c r="G134" s="1" t="s">
        <v>39</v>
      </c>
      <c r="H134">
        <v>22</v>
      </c>
      <c r="I134" s="1" t="s">
        <v>18</v>
      </c>
      <c r="J134">
        <v>4.0999999999999996</v>
      </c>
      <c r="K134" s="1" t="s">
        <v>35</v>
      </c>
      <c r="L134">
        <v>0.62</v>
      </c>
    </row>
    <row r="135" spans="1:12" x14ac:dyDescent="0.3">
      <c r="A135" s="1" t="s">
        <v>362</v>
      </c>
      <c r="B135" s="1" t="s">
        <v>363</v>
      </c>
      <c r="C135" s="1" t="s">
        <v>22</v>
      </c>
      <c r="E135" s="1" t="s">
        <v>117</v>
      </c>
      <c r="F135" s="1" t="s">
        <v>118</v>
      </c>
      <c r="G135" s="1" t="s">
        <v>124</v>
      </c>
      <c r="H135">
        <v>4</v>
      </c>
      <c r="I135" s="1" t="s">
        <v>65</v>
      </c>
      <c r="J135">
        <v>2.5</v>
      </c>
      <c r="K135" s="1" t="s">
        <v>65</v>
      </c>
      <c r="L135">
        <v>0.7</v>
      </c>
    </row>
    <row r="136" spans="1:12" x14ac:dyDescent="0.3">
      <c r="A136" s="1" t="s">
        <v>364</v>
      </c>
      <c r="B136" s="1" t="s">
        <v>365</v>
      </c>
      <c r="C136" s="1" t="s">
        <v>86</v>
      </c>
      <c r="D136">
        <v>45</v>
      </c>
      <c r="E136" s="1" t="s">
        <v>55</v>
      </c>
      <c r="F136" s="1" t="s">
        <v>56</v>
      </c>
      <c r="G136" s="1" t="s">
        <v>17</v>
      </c>
      <c r="H136">
        <v>22</v>
      </c>
      <c r="I136" s="1" t="s">
        <v>240</v>
      </c>
      <c r="J136">
        <v>4</v>
      </c>
      <c r="K136" s="1" t="s">
        <v>83</v>
      </c>
      <c r="L136">
        <v>0.75</v>
      </c>
    </row>
    <row r="137" spans="1:12" x14ac:dyDescent="0.3">
      <c r="A137" s="1" t="s">
        <v>366</v>
      </c>
      <c r="B137" s="1" t="s">
        <v>367</v>
      </c>
      <c r="C137" s="1" t="s">
        <v>69</v>
      </c>
      <c r="D137">
        <v>60</v>
      </c>
      <c r="E137" s="1" t="s">
        <v>164</v>
      </c>
      <c r="F137" s="1" t="s">
        <v>165</v>
      </c>
      <c r="G137" s="1" t="s">
        <v>87</v>
      </c>
      <c r="H137">
        <v>39</v>
      </c>
      <c r="I137" s="1" t="s">
        <v>92</v>
      </c>
      <c r="J137">
        <v>1.4</v>
      </c>
      <c r="K137" s="1" t="s">
        <v>170</v>
      </c>
      <c r="L137">
        <v>0.7</v>
      </c>
    </row>
    <row r="138" spans="1:12" x14ac:dyDescent="0.3">
      <c r="A138" s="1" t="s">
        <v>368</v>
      </c>
      <c r="B138" s="1" t="s">
        <v>369</v>
      </c>
      <c r="C138" s="1" t="s">
        <v>43</v>
      </c>
      <c r="D138">
        <v>43</v>
      </c>
      <c r="E138" s="1" t="s">
        <v>75</v>
      </c>
      <c r="F138" s="1" t="s">
        <v>24</v>
      </c>
      <c r="G138" s="1" t="s">
        <v>87</v>
      </c>
      <c r="H138">
        <v>5</v>
      </c>
      <c r="I138" s="1" t="s">
        <v>108</v>
      </c>
      <c r="K138" s="1" t="s">
        <v>27</v>
      </c>
      <c r="L138">
        <v>0.84</v>
      </c>
    </row>
    <row r="139" spans="1:12" x14ac:dyDescent="0.3">
      <c r="A139" s="1" t="s">
        <v>370</v>
      </c>
      <c r="B139" s="1" t="s">
        <v>371</v>
      </c>
      <c r="C139" s="1" t="s">
        <v>38</v>
      </c>
      <c r="D139">
        <v>39</v>
      </c>
      <c r="E139" s="1" t="s">
        <v>145</v>
      </c>
      <c r="F139" s="1" t="s">
        <v>146</v>
      </c>
      <c r="G139" s="1" t="s">
        <v>87</v>
      </c>
      <c r="H139">
        <v>5</v>
      </c>
      <c r="I139" s="1" t="s">
        <v>61</v>
      </c>
      <c r="J139">
        <v>1.2</v>
      </c>
      <c r="K139" s="1" t="s">
        <v>19</v>
      </c>
      <c r="L139">
        <v>83</v>
      </c>
    </row>
    <row r="140" spans="1:12" x14ac:dyDescent="0.3">
      <c r="A140" s="1" t="s">
        <v>372</v>
      </c>
      <c r="B140" s="1" t="s">
        <v>373</v>
      </c>
      <c r="C140" s="1" t="s">
        <v>30</v>
      </c>
      <c r="D140">
        <v>26</v>
      </c>
      <c r="E140" s="1" t="s">
        <v>190</v>
      </c>
      <c r="F140" s="1" t="s">
        <v>81</v>
      </c>
      <c r="G140" s="1" t="s">
        <v>82</v>
      </c>
      <c r="H140">
        <v>5</v>
      </c>
      <c r="I140" s="1" t="s">
        <v>34</v>
      </c>
      <c r="J140">
        <v>0</v>
      </c>
      <c r="K140" s="1" t="s">
        <v>35</v>
      </c>
    </row>
    <row r="141" spans="1:12" x14ac:dyDescent="0.3">
      <c r="A141" s="1" t="s">
        <v>374</v>
      </c>
      <c r="B141" s="1" t="s">
        <v>375</v>
      </c>
      <c r="C141" s="1" t="s">
        <v>54</v>
      </c>
      <c r="D141">
        <v>31</v>
      </c>
      <c r="E141" s="1" t="s">
        <v>31</v>
      </c>
      <c r="F141" s="1" t="s">
        <v>32</v>
      </c>
      <c r="G141" s="1" t="s">
        <v>87</v>
      </c>
      <c r="H141">
        <v>11</v>
      </c>
      <c r="I141" s="1" t="s">
        <v>34</v>
      </c>
      <c r="J141">
        <v>3.1</v>
      </c>
      <c r="K141" s="1" t="s">
        <v>51</v>
      </c>
      <c r="L141">
        <v>0.88</v>
      </c>
    </row>
    <row r="142" spans="1:12" x14ac:dyDescent="0.3">
      <c r="A142" s="1" t="s">
        <v>376</v>
      </c>
      <c r="B142" s="1" t="s">
        <v>377</v>
      </c>
      <c r="C142" s="1" t="s">
        <v>54</v>
      </c>
      <c r="D142">
        <v>52</v>
      </c>
      <c r="E142" s="1" t="s">
        <v>145</v>
      </c>
      <c r="F142" s="1" t="s">
        <v>146</v>
      </c>
      <c r="G142" s="1" t="s">
        <v>82</v>
      </c>
      <c r="H142">
        <v>15</v>
      </c>
      <c r="I142" s="1" t="s">
        <v>34</v>
      </c>
      <c r="J142">
        <v>0</v>
      </c>
      <c r="K142" s="1" t="s">
        <v>77</v>
      </c>
      <c r="L142">
        <v>0.81</v>
      </c>
    </row>
    <row r="143" spans="1:12" x14ac:dyDescent="0.3">
      <c r="A143" s="1" t="s">
        <v>378</v>
      </c>
      <c r="B143" s="1" t="s">
        <v>379</v>
      </c>
      <c r="C143" s="1" t="s">
        <v>43</v>
      </c>
      <c r="D143">
        <v>34</v>
      </c>
      <c r="E143" s="1" t="s">
        <v>103</v>
      </c>
      <c r="F143" s="1" t="s">
        <v>104</v>
      </c>
      <c r="G143" s="1" t="s">
        <v>57</v>
      </c>
      <c r="H143">
        <v>5</v>
      </c>
      <c r="I143" s="1" t="s">
        <v>325</v>
      </c>
      <c r="J143">
        <v>2.2000000000000002</v>
      </c>
      <c r="K143" s="1" t="s">
        <v>83</v>
      </c>
      <c r="L143">
        <v>0.8</v>
      </c>
    </row>
    <row r="144" spans="1:12" x14ac:dyDescent="0.3">
      <c r="A144" s="1" t="s">
        <v>380</v>
      </c>
      <c r="B144" s="1" t="s">
        <v>381</v>
      </c>
      <c r="C144" s="1" t="s">
        <v>30</v>
      </c>
      <c r="D144">
        <v>45</v>
      </c>
      <c r="E144" s="1" t="s">
        <v>75</v>
      </c>
      <c r="F144" s="1" t="s">
        <v>24</v>
      </c>
      <c r="G144" s="1" t="s">
        <v>39</v>
      </c>
      <c r="H144">
        <v>7</v>
      </c>
      <c r="I144" s="1" t="s">
        <v>92</v>
      </c>
      <c r="J144">
        <v>3</v>
      </c>
      <c r="K144" s="1" t="s">
        <v>27</v>
      </c>
      <c r="L144">
        <v>0.67</v>
      </c>
    </row>
    <row r="145" spans="1:12" x14ac:dyDescent="0.3">
      <c r="A145" s="1" t="s">
        <v>382</v>
      </c>
      <c r="B145" s="1" t="s">
        <v>383</v>
      </c>
      <c r="C145" s="1" t="s">
        <v>54</v>
      </c>
      <c r="D145">
        <v>46</v>
      </c>
      <c r="E145" s="1" t="s">
        <v>75</v>
      </c>
      <c r="F145" s="1" t="s">
        <v>24</v>
      </c>
      <c r="G145" s="1" t="s">
        <v>87</v>
      </c>
      <c r="H145">
        <v>9</v>
      </c>
      <c r="I145" s="1" t="s">
        <v>131</v>
      </c>
      <c r="J145">
        <v>0</v>
      </c>
      <c r="K145" s="1" t="s">
        <v>35</v>
      </c>
      <c r="L145">
        <v>0.82</v>
      </c>
    </row>
    <row r="146" spans="1:12" x14ac:dyDescent="0.3">
      <c r="A146" s="1" t="s">
        <v>384</v>
      </c>
      <c r="B146" s="1" t="s">
        <v>385</v>
      </c>
      <c r="C146" s="1" t="s">
        <v>54</v>
      </c>
      <c r="D146">
        <v>56</v>
      </c>
      <c r="E146" s="1" t="s">
        <v>145</v>
      </c>
      <c r="F146" s="1" t="s">
        <v>146</v>
      </c>
      <c r="G146" s="1" t="s">
        <v>82</v>
      </c>
      <c r="H146">
        <v>21</v>
      </c>
      <c r="I146" s="1" t="s">
        <v>26</v>
      </c>
      <c r="J146">
        <v>0</v>
      </c>
      <c r="K146" s="1" t="s">
        <v>66</v>
      </c>
      <c r="L146">
        <v>78</v>
      </c>
    </row>
    <row r="147" spans="1:12" x14ac:dyDescent="0.3">
      <c r="A147" s="1" t="s">
        <v>386</v>
      </c>
      <c r="B147" s="1" t="s">
        <v>387</v>
      </c>
      <c r="C147" s="1" t="s">
        <v>22</v>
      </c>
      <c r="D147">
        <v>59</v>
      </c>
      <c r="E147" s="1" t="s">
        <v>31</v>
      </c>
      <c r="F147" s="1" t="s">
        <v>32</v>
      </c>
      <c r="G147" s="1" t="s">
        <v>49</v>
      </c>
      <c r="H147">
        <v>7</v>
      </c>
      <c r="I147" s="1" t="s">
        <v>40</v>
      </c>
      <c r="J147">
        <v>1.4</v>
      </c>
      <c r="K147" s="1" t="s">
        <v>51</v>
      </c>
      <c r="L147">
        <v>0.81</v>
      </c>
    </row>
    <row r="148" spans="1:12" x14ac:dyDescent="0.3">
      <c r="A148" s="1" t="s">
        <v>388</v>
      </c>
      <c r="B148" s="1" t="s">
        <v>389</v>
      </c>
      <c r="C148" s="1" t="s">
        <v>22</v>
      </c>
      <c r="D148">
        <v>54</v>
      </c>
      <c r="E148" s="1" t="s">
        <v>149</v>
      </c>
      <c r="F148" s="1" t="s">
        <v>150</v>
      </c>
      <c r="G148" s="1" t="s">
        <v>17</v>
      </c>
      <c r="H148">
        <v>4</v>
      </c>
      <c r="I148" s="1" t="s">
        <v>65</v>
      </c>
      <c r="J148">
        <v>1.4</v>
      </c>
      <c r="K148" s="1" t="s">
        <v>66</v>
      </c>
      <c r="L148">
        <v>0.74</v>
      </c>
    </row>
    <row r="149" spans="1:12" x14ac:dyDescent="0.3">
      <c r="A149" s="1" t="s">
        <v>390</v>
      </c>
      <c r="B149" s="1" t="s">
        <v>391</v>
      </c>
      <c r="C149" s="1" t="s">
        <v>102</v>
      </c>
      <c r="D149">
        <v>36</v>
      </c>
      <c r="E149" s="1" t="s">
        <v>31</v>
      </c>
      <c r="F149" s="1" t="s">
        <v>32</v>
      </c>
      <c r="G149" s="1" t="s">
        <v>82</v>
      </c>
      <c r="H149">
        <v>7</v>
      </c>
      <c r="I149" s="1" t="s">
        <v>44</v>
      </c>
      <c r="J149">
        <v>0</v>
      </c>
      <c r="K149" s="1" t="s">
        <v>35</v>
      </c>
      <c r="L149">
        <v>0.88</v>
      </c>
    </row>
    <row r="150" spans="1:12" x14ac:dyDescent="0.3">
      <c r="A150" s="1" t="s">
        <v>392</v>
      </c>
      <c r="B150" s="1" t="s">
        <v>393</v>
      </c>
      <c r="C150" s="1" t="s">
        <v>30</v>
      </c>
      <c r="D150">
        <v>25</v>
      </c>
      <c r="E150" s="1" t="s">
        <v>190</v>
      </c>
      <c r="F150" s="1" t="s">
        <v>81</v>
      </c>
      <c r="G150" s="1" t="s">
        <v>57</v>
      </c>
      <c r="H150">
        <v>0</v>
      </c>
      <c r="I150" s="1" t="s">
        <v>76</v>
      </c>
      <c r="J150">
        <v>0</v>
      </c>
      <c r="K150" s="1" t="s">
        <v>19</v>
      </c>
      <c r="L150">
        <v>0.9</v>
      </c>
    </row>
    <row r="151" spans="1:12" x14ac:dyDescent="0.3">
      <c r="A151" s="1" t="s">
        <v>394</v>
      </c>
      <c r="B151" s="1" t="s">
        <v>395</v>
      </c>
      <c r="C151" s="1" t="s">
        <v>22</v>
      </c>
      <c r="D151">
        <v>37</v>
      </c>
      <c r="E151" s="1" t="s">
        <v>134</v>
      </c>
      <c r="F151" s="1" t="s">
        <v>135</v>
      </c>
      <c r="G151" s="1" t="s">
        <v>57</v>
      </c>
      <c r="H151">
        <v>15</v>
      </c>
      <c r="I151" s="1" t="s">
        <v>40</v>
      </c>
      <c r="J151">
        <v>2.9</v>
      </c>
      <c r="K151" s="1" t="s">
        <v>51</v>
      </c>
    </row>
    <row r="152" spans="1:12" x14ac:dyDescent="0.3">
      <c r="A152" s="1" t="s">
        <v>396</v>
      </c>
      <c r="B152" s="1" t="s">
        <v>397</v>
      </c>
      <c r="C152" s="1" t="s">
        <v>102</v>
      </c>
      <c r="E152" s="1" t="s">
        <v>70</v>
      </c>
      <c r="F152" s="1" t="s">
        <v>71</v>
      </c>
      <c r="G152" s="1" t="s">
        <v>57</v>
      </c>
      <c r="H152">
        <v>10</v>
      </c>
      <c r="I152" s="1" t="s">
        <v>61</v>
      </c>
      <c r="J152">
        <v>0</v>
      </c>
      <c r="K152" s="1" t="s">
        <v>65</v>
      </c>
    </row>
    <row r="153" spans="1:12" x14ac:dyDescent="0.3">
      <c r="A153" s="1" t="s">
        <v>398</v>
      </c>
      <c r="B153" s="1" t="s">
        <v>399</v>
      </c>
      <c r="C153" s="1" t="s">
        <v>54</v>
      </c>
      <c r="D153">
        <v>29</v>
      </c>
      <c r="E153" s="1" t="s">
        <v>201</v>
      </c>
      <c r="F153" s="1" t="s">
        <v>81</v>
      </c>
      <c r="G153" s="1" t="s">
        <v>57</v>
      </c>
      <c r="H153">
        <v>11</v>
      </c>
      <c r="I153" s="1" t="s">
        <v>151</v>
      </c>
      <c r="J153">
        <v>2.7</v>
      </c>
      <c r="K153" s="1" t="s">
        <v>170</v>
      </c>
      <c r="L153">
        <v>0.93</v>
      </c>
    </row>
    <row r="154" spans="1:12" x14ac:dyDescent="0.3">
      <c r="A154" s="1" t="s">
        <v>400</v>
      </c>
      <c r="B154" s="1" t="s">
        <v>401</v>
      </c>
      <c r="C154" s="1" t="s">
        <v>43</v>
      </c>
      <c r="D154">
        <v>55</v>
      </c>
      <c r="E154" s="1" t="s">
        <v>80</v>
      </c>
      <c r="F154" s="1" t="s">
        <v>81</v>
      </c>
      <c r="G154" s="1" t="s">
        <v>25</v>
      </c>
      <c r="H154">
        <v>12</v>
      </c>
      <c r="I154" s="1" t="s">
        <v>18</v>
      </c>
      <c r="J154">
        <v>1.8</v>
      </c>
      <c r="K154" s="1" t="s">
        <v>27</v>
      </c>
    </row>
    <row r="155" spans="1:12" x14ac:dyDescent="0.3">
      <c r="A155" s="1" t="s">
        <v>402</v>
      </c>
      <c r="B155" s="1" t="s">
        <v>403</v>
      </c>
      <c r="C155" s="1" t="s">
        <v>86</v>
      </c>
      <c r="D155">
        <v>38</v>
      </c>
      <c r="E155" s="1" t="s">
        <v>95</v>
      </c>
      <c r="F155" s="1" t="s">
        <v>96</v>
      </c>
      <c r="G155" s="1" t="s">
        <v>99</v>
      </c>
      <c r="H155">
        <v>20</v>
      </c>
      <c r="I155" s="1" t="s">
        <v>181</v>
      </c>
      <c r="J155">
        <v>1.1000000000000001</v>
      </c>
      <c r="K155" s="1" t="s">
        <v>170</v>
      </c>
      <c r="L155">
        <v>0.71</v>
      </c>
    </row>
    <row r="156" spans="1:12" x14ac:dyDescent="0.3">
      <c r="A156" s="1" t="s">
        <v>404</v>
      </c>
      <c r="B156" s="1" t="s">
        <v>405</v>
      </c>
      <c r="C156" s="1" t="s">
        <v>107</v>
      </c>
      <c r="D156">
        <v>47</v>
      </c>
      <c r="E156" s="1" t="s">
        <v>122</v>
      </c>
      <c r="F156" s="1" t="s">
        <v>123</v>
      </c>
      <c r="G156" s="1" t="s">
        <v>99</v>
      </c>
      <c r="H156">
        <v>29</v>
      </c>
      <c r="I156" s="1" t="s">
        <v>40</v>
      </c>
      <c r="J156">
        <v>4.3</v>
      </c>
      <c r="K156" s="1" t="s">
        <v>27</v>
      </c>
      <c r="L156">
        <v>0.95</v>
      </c>
    </row>
    <row r="157" spans="1:12" x14ac:dyDescent="0.3">
      <c r="A157" s="1" t="s">
        <v>406</v>
      </c>
      <c r="B157" s="1" t="s">
        <v>407</v>
      </c>
      <c r="C157" s="1" t="s">
        <v>102</v>
      </c>
      <c r="D157">
        <v>60</v>
      </c>
      <c r="E157" s="1" t="s">
        <v>117</v>
      </c>
      <c r="F157" s="1" t="s">
        <v>118</v>
      </c>
      <c r="G157" s="1" t="s">
        <v>39</v>
      </c>
      <c r="H157">
        <v>15</v>
      </c>
      <c r="I157" s="1" t="s">
        <v>18</v>
      </c>
      <c r="J157">
        <v>1.5</v>
      </c>
      <c r="K157" s="1" t="s">
        <v>19</v>
      </c>
      <c r="L157">
        <v>80</v>
      </c>
    </row>
    <row r="158" spans="1:12" x14ac:dyDescent="0.3">
      <c r="A158" s="1" t="s">
        <v>408</v>
      </c>
      <c r="B158" s="1" t="s">
        <v>409</v>
      </c>
      <c r="C158" s="1" t="s">
        <v>22</v>
      </c>
      <c r="D158">
        <v>43</v>
      </c>
      <c r="E158" s="1" t="s">
        <v>15</v>
      </c>
      <c r="F158" s="1" t="s">
        <v>16</v>
      </c>
      <c r="G158" s="1" t="s">
        <v>57</v>
      </c>
      <c r="H158">
        <v>9</v>
      </c>
      <c r="I158" s="1" t="s">
        <v>131</v>
      </c>
      <c r="J158">
        <v>2.2000000000000002</v>
      </c>
      <c r="K158" s="1" t="s">
        <v>35</v>
      </c>
    </row>
    <row r="159" spans="1:12" x14ac:dyDescent="0.3">
      <c r="A159" s="1" t="s">
        <v>410</v>
      </c>
      <c r="B159" s="1" t="s">
        <v>411</v>
      </c>
      <c r="C159" s="1" t="s">
        <v>107</v>
      </c>
      <c r="D159">
        <v>56</v>
      </c>
      <c r="E159" s="1" t="s">
        <v>164</v>
      </c>
      <c r="F159" s="1" t="s">
        <v>165</v>
      </c>
      <c r="G159" s="1" t="s">
        <v>57</v>
      </c>
      <c r="I159" s="1" t="s">
        <v>18</v>
      </c>
      <c r="J159">
        <v>3.2</v>
      </c>
      <c r="K159" s="1" t="s">
        <v>19</v>
      </c>
      <c r="L159">
        <v>0.62</v>
      </c>
    </row>
    <row r="160" spans="1:12" x14ac:dyDescent="0.3">
      <c r="A160" s="1" t="s">
        <v>412</v>
      </c>
      <c r="B160" s="1" t="s">
        <v>413</v>
      </c>
      <c r="C160" s="1" t="s">
        <v>30</v>
      </c>
      <c r="D160">
        <v>42</v>
      </c>
      <c r="E160" s="1" t="s">
        <v>134</v>
      </c>
      <c r="F160" s="1" t="s">
        <v>135</v>
      </c>
      <c r="G160" s="1" t="s">
        <v>99</v>
      </c>
      <c r="H160">
        <v>2</v>
      </c>
      <c r="I160" s="1" t="s">
        <v>72</v>
      </c>
      <c r="J160">
        <v>1.9</v>
      </c>
      <c r="K160" s="1" t="s">
        <v>51</v>
      </c>
      <c r="L160">
        <v>0.95</v>
      </c>
    </row>
    <row r="161" spans="1:12" x14ac:dyDescent="0.3">
      <c r="A161" s="1" t="s">
        <v>414</v>
      </c>
      <c r="B161" s="1" t="s">
        <v>415</v>
      </c>
      <c r="C161" s="1" t="s">
        <v>86</v>
      </c>
      <c r="D161">
        <v>20</v>
      </c>
      <c r="E161" s="1" t="s">
        <v>201</v>
      </c>
      <c r="F161" s="1" t="s">
        <v>81</v>
      </c>
      <c r="G161" s="1" t="s">
        <v>33</v>
      </c>
      <c r="H161">
        <v>0</v>
      </c>
      <c r="I161" s="1" t="s">
        <v>76</v>
      </c>
      <c r="J161">
        <v>2.5</v>
      </c>
      <c r="K161" s="1" t="s">
        <v>19</v>
      </c>
      <c r="L161">
        <v>0.79</v>
      </c>
    </row>
    <row r="162" spans="1:12" x14ac:dyDescent="0.3">
      <c r="A162" s="1" t="s">
        <v>416</v>
      </c>
      <c r="B162" s="1" t="s">
        <v>417</v>
      </c>
      <c r="C162" s="1" t="s">
        <v>43</v>
      </c>
      <c r="D162">
        <v>47</v>
      </c>
      <c r="E162" s="1" t="s">
        <v>55</v>
      </c>
      <c r="F162" s="1" t="s">
        <v>56</v>
      </c>
      <c r="G162" s="1" t="s">
        <v>82</v>
      </c>
      <c r="H162">
        <v>12</v>
      </c>
      <c r="I162" s="1" t="s">
        <v>76</v>
      </c>
      <c r="J162">
        <v>4.5</v>
      </c>
      <c r="K162" s="1" t="s">
        <v>170</v>
      </c>
      <c r="L162">
        <v>0.62</v>
      </c>
    </row>
    <row r="163" spans="1:12" x14ac:dyDescent="0.3">
      <c r="A163" s="1" t="s">
        <v>418</v>
      </c>
      <c r="B163" s="1" t="s">
        <v>419</v>
      </c>
      <c r="C163" s="1" t="s">
        <v>54</v>
      </c>
      <c r="E163" s="1" t="s">
        <v>80</v>
      </c>
      <c r="F163" s="1" t="s">
        <v>81</v>
      </c>
      <c r="G163" s="1" t="s">
        <v>57</v>
      </c>
      <c r="H163">
        <v>12</v>
      </c>
      <c r="I163" s="1" t="s">
        <v>50</v>
      </c>
      <c r="J163">
        <v>4.0999999999999996</v>
      </c>
      <c r="K163" s="1" t="s">
        <v>170</v>
      </c>
      <c r="L163">
        <v>0.68</v>
      </c>
    </row>
    <row r="164" spans="1:12" x14ac:dyDescent="0.3">
      <c r="A164" s="1" t="s">
        <v>420</v>
      </c>
      <c r="B164" s="1" t="s">
        <v>421</v>
      </c>
      <c r="C164" s="1" t="s">
        <v>102</v>
      </c>
      <c r="D164">
        <v>56</v>
      </c>
      <c r="E164" s="1" t="s">
        <v>55</v>
      </c>
      <c r="F164" s="1" t="s">
        <v>56</v>
      </c>
      <c r="G164" s="1" t="s">
        <v>99</v>
      </c>
      <c r="H164">
        <v>15</v>
      </c>
      <c r="I164" s="1" t="s">
        <v>58</v>
      </c>
      <c r="J164">
        <v>0</v>
      </c>
      <c r="K164" s="1" t="s">
        <v>170</v>
      </c>
    </row>
    <row r="165" spans="1:12" x14ac:dyDescent="0.3">
      <c r="A165" s="1" t="s">
        <v>422</v>
      </c>
      <c r="B165" s="1" t="s">
        <v>423</v>
      </c>
      <c r="C165" s="1" t="s">
        <v>107</v>
      </c>
      <c r="D165">
        <v>59</v>
      </c>
      <c r="E165" s="1" t="s">
        <v>75</v>
      </c>
      <c r="F165" s="1" t="s">
        <v>24</v>
      </c>
      <c r="G165" s="1" t="s">
        <v>99</v>
      </c>
      <c r="H165">
        <v>29</v>
      </c>
      <c r="I165" s="1" t="s">
        <v>58</v>
      </c>
      <c r="K165" s="1" t="s">
        <v>19</v>
      </c>
      <c r="L165">
        <v>0.8</v>
      </c>
    </row>
    <row r="166" spans="1:12" x14ac:dyDescent="0.3">
      <c r="A166" s="1" t="s">
        <v>424</v>
      </c>
      <c r="B166" s="1" t="s">
        <v>425</v>
      </c>
      <c r="C166" s="1" t="s">
        <v>69</v>
      </c>
      <c r="D166">
        <v>56</v>
      </c>
      <c r="E166" s="1" t="s">
        <v>95</v>
      </c>
      <c r="F166" s="1" t="s">
        <v>96</v>
      </c>
      <c r="G166" s="1" t="s">
        <v>87</v>
      </c>
      <c r="H166">
        <v>15</v>
      </c>
      <c r="I166" s="1" t="s">
        <v>76</v>
      </c>
      <c r="J166">
        <v>3.7</v>
      </c>
      <c r="K166" s="1" t="s">
        <v>65</v>
      </c>
      <c r="L166">
        <v>0.92</v>
      </c>
    </row>
    <row r="167" spans="1:12" x14ac:dyDescent="0.3">
      <c r="A167" s="1" t="s">
        <v>426</v>
      </c>
      <c r="B167" s="1" t="s">
        <v>427</v>
      </c>
      <c r="C167" s="1" t="s">
        <v>43</v>
      </c>
      <c r="D167">
        <v>31</v>
      </c>
      <c r="E167" s="1" t="s">
        <v>164</v>
      </c>
      <c r="F167" s="1" t="s">
        <v>165</v>
      </c>
      <c r="G167" s="1" t="s">
        <v>39</v>
      </c>
      <c r="I167" s="1" t="s">
        <v>58</v>
      </c>
      <c r="J167">
        <v>1.3</v>
      </c>
      <c r="K167" s="1" t="s">
        <v>27</v>
      </c>
      <c r="L167">
        <v>0.65</v>
      </c>
    </row>
    <row r="168" spans="1:12" x14ac:dyDescent="0.3">
      <c r="A168" s="1" t="s">
        <v>428</v>
      </c>
      <c r="B168" s="1" t="s">
        <v>429</v>
      </c>
      <c r="C168" s="1" t="s">
        <v>54</v>
      </c>
      <c r="D168">
        <v>60</v>
      </c>
      <c r="E168" s="1" t="s">
        <v>122</v>
      </c>
      <c r="F168" s="1" t="s">
        <v>123</v>
      </c>
      <c r="G168" s="1" t="s">
        <v>25</v>
      </c>
      <c r="H168">
        <v>33</v>
      </c>
      <c r="I168" s="1" t="s">
        <v>76</v>
      </c>
      <c r="J168">
        <v>3.6</v>
      </c>
      <c r="K168" s="1" t="s">
        <v>27</v>
      </c>
      <c r="L168">
        <v>0.87</v>
      </c>
    </row>
    <row r="169" spans="1:12" x14ac:dyDescent="0.3">
      <c r="A169" s="1" t="s">
        <v>430</v>
      </c>
      <c r="B169" s="1" t="s">
        <v>431</v>
      </c>
      <c r="C169" s="1" t="s">
        <v>22</v>
      </c>
      <c r="D169">
        <v>31</v>
      </c>
      <c r="E169" s="1" t="s">
        <v>138</v>
      </c>
      <c r="F169" s="1" t="s">
        <v>24</v>
      </c>
      <c r="G169" s="1" t="s">
        <v>39</v>
      </c>
      <c r="H169">
        <v>10</v>
      </c>
      <c r="I169" s="1" t="s">
        <v>92</v>
      </c>
      <c r="J169">
        <v>0</v>
      </c>
      <c r="K169" s="1" t="s">
        <v>170</v>
      </c>
      <c r="L169">
        <v>0.7</v>
      </c>
    </row>
    <row r="170" spans="1:12" x14ac:dyDescent="0.3">
      <c r="A170" s="1" t="s">
        <v>432</v>
      </c>
      <c r="B170" s="1" t="s">
        <v>433</v>
      </c>
      <c r="C170" s="1" t="s">
        <v>69</v>
      </c>
      <c r="D170">
        <v>60</v>
      </c>
      <c r="E170" s="1" t="s">
        <v>80</v>
      </c>
      <c r="F170" s="1" t="s">
        <v>81</v>
      </c>
      <c r="G170" s="1" t="s">
        <v>87</v>
      </c>
      <c r="H170">
        <v>20</v>
      </c>
      <c r="I170" s="1" t="s">
        <v>76</v>
      </c>
      <c r="J170">
        <v>1.4</v>
      </c>
      <c r="K170" s="1" t="s">
        <v>170</v>
      </c>
      <c r="L170">
        <v>87</v>
      </c>
    </row>
    <row r="171" spans="1:12" x14ac:dyDescent="0.3">
      <c r="A171" s="1" t="s">
        <v>434</v>
      </c>
      <c r="B171" s="1" t="s">
        <v>435</v>
      </c>
      <c r="C171" s="1" t="s">
        <v>69</v>
      </c>
      <c r="D171">
        <v>46</v>
      </c>
      <c r="E171" s="1" t="s">
        <v>145</v>
      </c>
      <c r="F171" s="1" t="s">
        <v>146</v>
      </c>
      <c r="G171" s="1" t="s">
        <v>99</v>
      </c>
      <c r="H171">
        <v>23</v>
      </c>
      <c r="I171" s="1" t="s">
        <v>151</v>
      </c>
      <c r="J171">
        <v>2.9</v>
      </c>
      <c r="K171" s="1" t="s">
        <v>35</v>
      </c>
      <c r="L171">
        <v>0.72</v>
      </c>
    </row>
    <row r="172" spans="1:12" x14ac:dyDescent="0.3">
      <c r="A172" s="1" t="s">
        <v>436</v>
      </c>
      <c r="B172" s="1" t="s">
        <v>437</v>
      </c>
      <c r="C172" s="1" t="s">
        <v>38</v>
      </c>
      <c r="E172" s="1" t="s">
        <v>47</v>
      </c>
      <c r="F172" s="1" t="s">
        <v>48</v>
      </c>
      <c r="G172" s="1" t="s">
        <v>17</v>
      </c>
      <c r="I172" s="1" t="s">
        <v>76</v>
      </c>
      <c r="J172">
        <v>2.8</v>
      </c>
      <c r="K172" s="1" t="s">
        <v>35</v>
      </c>
      <c r="L172">
        <v>0.8</v>
      </c>
    </row>
    <row r="173" spans="1:12" x14ac:dyDescent="0.3">
      <c r="A173" s="1" t="s">
        <v>438</v>
      </c>
      <c r="B173" s="1" t="s">
        <v>439</v>
      </c>
      <c r="C173" s="1" t="s">
        <v>107</v>
      </c>
      <c r="D173">
        <v>34</v>
      </c>
      <c r="E173" s="1" t="s">
        <v>95</v>
      </c>
      <c r="F173" s="1" t="s">
        <v>96</v>
      </c>
      <c r="G173" s="1" t="s">
        <v>82</v>
      </c>
      <c r="H173">
        <v>0</v>
      </c>
      <c r="I173" s="1" t="s">
        <v>151</v>
      </c>
      <c r="J173">
        <v>1.7</v>
      </c>
      <c r="K173" s="1" t="s">
        <v>19</v>
      </c>
      <c r="L173">
        <v>0.66</v>
      </c>
    </row>
    <row r="174" spans="1:12" x14ac:dyDescent="0.3">
      <c r="A174" s="1" t="s">
        <v>440</v>
      </c>
      <c r="B174" s="1" t="s">
        <v>441</v>
      </c>
      <c r="C174" s="1" t="s">
        <v>14</v>
      </c>
      <c r="D174">
        <v>42</v>
      </c>
      <c r="E174" s="1" t="s">
        <v>47</v>
      </c>
      <c r="F174" s="1" t="s">
        <v>48</v>
      </c>
      <c r="G174" s="1" t="s">
        <v>33</v>
      </c>
      <c r="H174">
        <v>7</v>
      </c>
      <c r="I174" s="1" t="s">
        <v>61</v>
      </c>
      <c r="J174">
        <v>0</v>
      </c>
      <c r="K174" s="1" t="s">
        <v>27</v>
      </c>
    </row>
    <row r="175" spans="1:12" x14ac:dyDescent="0.3">
      <c r="A175" s="1" t="s">
        <v>442</v>
      </c>
      <c r="B175" s="1" t="s">
        <v>443</v>
      </c>
      <c r="C175" s="1" t="s">
        <v>102</v>
      </c>
      <c r="D175">
        <v>31</v>
      </c>
      <c r="E175" s="1" t="s">
        <v>75</v>
      </c>
      <c r="F175" s="1" t="s">
        <v>24</v>
      </c>
      <c r="G175" s="1" t="s">
        <v>57</v>
      </c>
      <c r="H175">
        <v>4</v>
      </c>
      <c r="I175" s="1" t="s">
        <v>58</v>
      </c>
      <c r="J175">
        <v>1.1000000000000001</v>
      </c>
      <c r="K175" s="1" t="s">
        <v>66</v>
      </c>
      <c r="L175">
        <v>0.64</v>
      </c>
    </row>
    <row r="176" spans="1:12" x14ac:dyDescent="0.3">
      <c r="A176" s="1" t="s">
        <v>444</v>
      </c>
      <c r="B176" s="1" t="s">
        <v>445</v>
      </c>
      <c r="C176" s="1" t="s">
        <v>30</v>
      </c>
      <c r="D176">
        <v>29</v>
      </c>
      <c r="E176" s="1" t="s">
        <v>117</v>
      </c>
      <c r="F176" s="1" t="s">
        <v>118</v>
      </c>
      <c r="G176" s="1" t="s">
        <v>82</v>
      </c>
      <c r="H176">
        <v>9</v>
      </c>
      <c r="I176" s="1" t="s">
        <v>151</v>
      </c>
      <c r="K176" s="1" t="s">
        <v>65</v>
      </c>
      <c r="L176">
        <v>0.68</v>
      </c>
    </row>
    <row r="177" spans="1:12" x14ac:dyDescent="0.3">
      <c r="A177" s="1" t="s">
        <v>446</v>
      </c>
      <c r="B177" s="1" t="s">
        <v>447</v>
      </c>
      <c r="C177" s="1" t="s">
        <v>43</v>
      </c>
      <c r="D177">
        <v>57</v>
      </c>
      <c r="E177" s="1" t="s">
        <v>23</v>
      </c>
      <c r="F177" s="1" t="s">
        <v>24</v>
      </c>
      <c r="G177" s="1" t="s">
        <v>33</v>
      </c>
      <c r="H177">
        <v>17</v>
      </c>
      <c r="I177" s="1" t="s">
        <v>151</v>
      </c>
      <c r="J177">
        <v>3.6</v>
      </c>
      <c r="K177" s="1" t="s">
        <v>19</v>
      </c>
      <c r="L177">
        <v>0.63</v>
      </c>
    </row>
    <row r="178" spans="1:12" x14ac:dyDescent="0.3">
      <c r="A178" s="1" t="s">
        <v>448</v>
      </c>
      <c r="B178" s="1" t="s">
        <v>449</v>
      </c>
      <c r="C178" s="1" t="s">
        <v>69</v>
      </c>
      <c r="D178">
        <v>47</v>
      </c>
      <c r="E178" s="1" t="s">
        <v>103</v>
      </c>
      <c r="F178" s="1" t="s">
        <v>104</v>
      </c>
      <c r="G178" s="1" t="s">
        <v>99</v>
      </c>
      <c r="H178">
        <v>8</v>
      </c>
      <c r="I178" s="1" t="s">
        <v>151</v>
      </c>
      <c r="J178">
        <v>4.5</v>
      </c>
      <c r="K178" s="1" t="s">
        <v>27</v>
      </c>
      <c r="L178">
        <v>0.72</v>
      </c>
    </row>
    <row r="179" spans="1:12" x14ac:dyDescent="0.3">
      <c r="A179" s="1" t="s">
        <v>450</v>
      </c>
      <c r="B179" s="1" t="s">
        <v>451</v>
      </c>
      <c r="C179" s="1" t="s">
        <v>69</v>
      </c>
      <c r="D179">
        <v>47</v>
      </c>
      <c r="E179" s="1" t="s">
        <v>164</v>
      </c>
      <c r="F179" s="1" t="s">
        <v>165</v>
      </c>
      <c r="G179" s="1" t="s">
        <v>49</v>
      </c>
      <c r="H179">
        <v>14</v>
      </c>
      <c r="I179" s="1" t="s">
        <v>50</v>
      </c>
      <c r="J179">
        <v>0</v>
      </c>
      <c r="K179" s="1" t="s">
        <v>66</v>
      </c>
      <c r="L179">
        <v>0.86</v>
      </c>
    </row>
    <row r="180" spans="1:12" x14ac:dyDescent="0.3">
      <c r="A180" s="1" t="s">
        <v>452</v>
      </c>
      <c r="B180" s="1" t="s">
        <v>453</v>
      </c>
      <c r="C180" s="1" t="s">
        <v>22</v>
      </c>
      <c r="D180">
        <v>45</v>
      </c>
      <c r="E180" s="1" t="s">
        <v>145</v>
      </c>
      <c r="F180" s="1" t="s">
        <v>146</v>
      </c>
      <c r="G180" s="1" t="s">
        <v>33</v>
      </c>
      <c r="H180">
        <v>21</v>
      </c>
      <c r="I180" s="1" t="s">
        <v>119</v>
      </c>
      <c r="J180">
        <v>1.5</v>
      </c>
      <c r="K180" s="1" t="s">
        <v>27</v>
      </c>
      <c r="L180">
        <v>0.73</v>
      </c>
    </row>
    <row r="181" spans="1:12" x14ac:dyDescent="0.3">
      <c r="A181" s="1" t="s">
        <v>454</v>
      </c>
      <c r="B181" s="1" t="s">
        <v>455</v>
      </c>
      <c r="C181" s="1" t="s">
        <v>54</v>
      </c>
      <c r="D181">
        <v>24</v>
      </c>
      <c r="E181" s="1" t="s">
        <v>70</v>
      </c>
      <c r="F181" s="1" t="s">
        <v>71</v>
      </c>
      <c r="G181" s="1" t="s">
        <v>124</v>
      </c>
      <c r="H181">
        <v>1</v>
      </c>
      <c r="I181" s="1" t="s">
        <v>50</v>
      </c>
      <c r="J181">
        <v>3.7</v>
      </c>
      <c r="K181" s="1" t="s">
        <v>170</v>
      </c>
      <c r="L181">
        <v>0.95</v>
      </c>
    </row>
    <row r="182" spans="1:12" x14ac:dyDescent="0.3">
      <c r="A182" s="1" t="s">
        <v>456</v>
      </c>
      <c r="B182" s="1" t="s">
        <v>457</v>
      </c>
      <c r="C182" s="1" t="s">
        <v>22</v>
      </c>
      <c r="D182">
        <v>31</v>
      </c>
      <c r="E182" s="1" t="s">
        <v>80</v>
      </c>
      <c r="F182" s="1" t="s">
        <v>81</v>
      </c>
      <c r="G182" s="1" t="s">
        <v>25</v>
      </c>
      <c r="H182">
        <v>12</v>
      </c>
      <c r="I182" s="1" t="s">
        <v>151</v>
      </c>
      <c r="J182">
        <v>2.2999999999999998</v>
      </c>
      <c r="K182" s="1" t="s">
        <v>51</v>
      </c>
      <c r="L182">
        <v>0.9</v>
      </c>
    </row>
    <row r="183" spans="1:12" x14ac:dyDescent="0.3">
      <c r="A183" s="1" t="s">
        <v>458</v>
      </c>
      <c r="B183" s="1" t="s">
        <v>459</v>
      </c>
      <c r="C183" s="1" t="s">
        <v>38</v>
      </c>
      <c r="D183">
        <v>20</v>
      </c>
      <c r="E183" s="1" t="s">
        <v>190</v>
      </c>
      <c r="F183" s="1" t="s">
        <v>81</v>
      </c>
      <c r="G183" s="1" t="s">
        <v>33</v>
      </c>
      <c r="H183">
        <v>2</v>
      </c>
      <c r="I183" s="1" t="s">
        <v>131</v>
      </c>
      <c r="J183">
        <v>2.8</v>
      </c>
      <c r="K183" s="1" t="s">
        <v>19</v>
      </c>
      <c r="L183">
        <v>0.78</v>
      </c>
    </row>
    <row r="184" spans="1:12" x14ac:dyDescent="0.3">
      <c r="A184" s="1" t="s">
        <v>460</v>
      </c>
      <c r="B184" s="1" t="s">
        <v>461</v>
      </c>
      <c r="C184" s="1" t="s">
        <v>69</v>
      </c>
      <c r="D184">
        <v>38</v>
      </c>
      <c r="E184" s="1" t="s">
        <v>95</v>
      </c>
      <c r="F184" s="1" t="s">
        <v>96</v>
      </c>
      <c r="G184" s="1" t="s">
        <v>39</v>
      </c>
      <c r="H184">
        <v>3</v>
      </c>
      <c r="I184" s="1" t="s">
        <v>44</v>
      </c>
      <c r="J184">
        <v>3.5</v>
      </c>
      <c r="K184" s="1" t="s">
        <v>170</v>
      </c>
      <c r="L184">
        <v>0.97</v>
      </c>
    </row>
    <row r="185" spans="1:12" x14ac:dyDescent="0.3">
      <c r="A185" s="1" t="s">
        <v>462</v>
      </c>
      <c r="B185" s="1" t="s">
        <v>463</v>
      </c>
      <c r="C185" s="1" t="s">
        <v>43</v>
      </c>
      <c r="D185">
        <v>33</v>
      </c>
      <c r="E185" s="1" t="s">
        <v>31</v>
      </c>
      <c r="F185" s="1" t="s">
        <v>32</v>
      </c>
      <c r="G185" s="1" t="s">
        <v>82</v>
      </c>
      <c r="H185">
        <v>11</v>
      </c>
      <c r="I185" s="1" t="s">
        <v>65</v>
      </c>
      <c r="J185">
        <v>0</v>
      </c>
      <c r="K185" s="1" t="s">
        <v>77</v>
      </c>
      <c r="L185">
        <v>0.65</v>
      </c>
    </row>
    <row r="186" spans="1:12" x14ac:dyDescent="0.3">
      <c r="A186" s="1" t="s">
        <v>464</v>
      </c>
      <c r="B186" s="1" t="s">
        <v>465</v>
      </c>
      <c r="C186" s="1" t="s">
        <v>38</v>
      </c>
      <c r="D186">
        <v>31</v>
      </c>
      <c r="E186" s="1" t="s">
        <v>23</v>
      </c>
      <c r="F186" s="1" t="s">
        <v>24</v>
      </c>
      <c r="G186" s="1" t="s">
        <v>39</v>
      </c>
      <c r="H186">
        <v>4</v>
      </c>
      <c r="I186" s="1" t="s">
        <v>76</v>
      </c>
      <c r="J186">
        <v>3.2</v>
      </c>
      <c r="K186" s="1" t="s">
        <v>27</v>
      </c>
      <c r="L186">
        <v>0.78</v>
      </c>
    </row>
    <row r="187" spans="1:12" x14ac:dyDescent="0.3">
      <c r="A187" s="1" t="s">
        <v>466</v>
      </c>
      <c r="B187" s="1" t="s">
        <v>467</v>
      </c>
      <c r="C187" s="1" t="s">
        <v>54</v>
      </c>
      <c r="D187">
        <v>41</v>
      </c>
      <c r="E187" s="1" t="s">
        <v>201</v>
      </c>
      <c r="F187" s="1" t="s">
        <v>81</v>
      </c>
      <c r="G187" s="1" t="s">
        <v>124</v>
      </c>
      <c r="H187">
        <v>21</v>
      </c>
      <c r="I187" s="1" t="s">
        <v>34</v>
      </c>
      <c r="J187">
        <v>3.3</v>
      </c>
      <c r="K187" s="1" t="s">
        <v>83</v>
      </c>
      <c r="L187">
        <v>0.65</v>
      </c>
    </row>
    <row r="188" spans="1:12" x14ac:dyDescent="0.3">
      <c r="A188" s="1" t="s">
        <v>468</v>
      </c>
      <c r="B188" s="1" t="s">
        <v>469</v>
      </c>
      <c r="C188" s="1" t="s">
        <v>69</v>
      </c>
      <c r="D188">
        <v>54</v>
      </c>
      <c r="E188" s="1" t="s">
        <v>70</v>
      </c>
      <c r="F188" s="1" t="s">
        <v>71</v>
      </c>
      <c r="G188" s="1" t="s">
        <v>39</v>
      </c>
      <c r="H188">
        <v>0</v>
      </c>
      <c r="I188" s="1" t="s">
        <v>131</v>
      </c>
      <c r="J188">
        <v>4.9000000000000004</v>
      </c>
      <c r="K188" s="1" t="s">
        <v>65</v>
      </c>
    </row>
    <row r="189" spans="1:12" x14ac:dyDescent="0.3">
      <c r="A189" s="1" t="s">
        <v>470</v>
      </c>
      <c r="B189" s="1" t="s">
        <v>471</v>
      </c>
      <c r="C189" s="1" t="s">
        <v>30</v>
      </c>
      <c r="D189">
        <v>50</v>
      </c>
      <c r="E189" s="1" t="s">
        <v>190</v>
      </c>
      <c r="F189" s="1" t="s">
        <v>81</v>
      </c>
      <c r="G189" s="1" t="s">
        <v>57</v>
      </c>
      <c r="H189">
        <v>6</v>
      </c>
      <c r="I189" s="1" t="s">
        <v>44</v>
      </c>
      <c r="J189">
        <v>2.2000000000000002</v>
      </c>
      <c r="K189" s="1" t="s">
        <v>27</v>
      </c>
      <c r="L189">
        <v>0.95</v>
      </c>
    </row>
    <row r="190" spans="1:12" x14ac:dyDescent="0.3">
      <c r="A190" s="1" t="s">
        <v>472</v>
      </c>
      <c r="B190" s="1" t="s">
        <v>473</v>
      </c>
      <c r="C190" s="1" t="s">
        <v>69</v>
      </c>
      <c r="D190">
        <v>48</v>
      </c>
      <c r="E190" s="1" t="s">
        <v>117</v>
      </c>
      <c r="F190" s="1" t="s">
        <v>118</v>
      </c>
      <c r="G190" s="1" t="s">
        <v>124</v>
      </c>
      <c r="H190">
        <v>18</v>
      </c>
      <c r="I190" s="1" t="s">
        <v>61</v>
      </c>
      <c r="K190" s="1" t="s">
        <v>27</v>
      </c>
      <c r="L190">
        <v>0.88</v>
      </c>
    </row>
    <row r="191" spans="1:12" x14ac:dyDescent="0.3">
      <c r="A191" s="1" t="s">
        <v>474</v>
      </c>
      <c r="B191" s="1" t="s">
        <v>475</v>
      </c>
      <c r="C191" s="1" t="s">
        <v>14</v>
      </c>
      <c r="D191">
        <v>49</v>
      </c>
      <c r="E191" s="1" t="s">
        <v>190</v>
      </c>
      <c r="F191" s="1" t="s">
        <v>81</v>
      </c>
      <c r="G191" s="1" t="s">
        <v>33</v>
      </c>
      <c r="I191" s="1" t="s">
        <v>65</v>
      </c>
      <c r="J191">
        <v>1.8</v>
      </c>
      <c r="K191" s="1" t="s">
        <v>19</v>
      </c>
    </row>
    <row r="192" spans="1:12" x14ac:dyDescent="0.3">
      <c r="A192" s="1" t="s">
        <v>476</v>
      </c>
      <c r="B192" s="1" t="s">
        <v>477</v>
      </c>
      <c r="C192" s="1" t="s">
        <v>107</v>
      </c>
      <c r="D192">
        <v>21</v>
      </c>
      <c r="E192" s="1" t="s">
        <v>122</v>
      </c>
      <c r="F192" s="1" t="s">
        <v>123</v>
      </c>
      <c r="G192" s="1" t="s">
        <v>33</v>
      </c>
      <c r="H192">
        <v>1</v>
      </c>
      <c r="I192" s="1" t="s">
        <v>92</v>
      </c>
      <c r="J192">
        <v>4.5999999999999996</v>
      </c>
      <c r="K192" s="1" t="s">
        <v>19</v>
      </c>
      <c r="L192">
        <v>0.92</v>
      </c>
    </row>
    <row r="193" spans="1:12" x14ac:dyDescent="0.3">
      <c r="A193" s="1" t="s">
        <v>478</v>
      </c>
      <c r="B193" s="1" t="s">
        <v>479</v>
      </c>
      <c r="C193" s="1" t="s">
        <v>102</v>
      </c>
      <c r="D193">
        <v>58</v>
      </c>
      <c r="E193" s="1" t="s">
        <v>23</v>
      </c>
      <c r="F193" s="1" t="s">
        <v>24</v>
      </c>
      <c r="G193" s="1" t="s">
        <v>33</v>
      </c>
      <c r="H193">
        <v>20</v>
      </c>
      <c r="I193" s="1" t="s">
        <v>92</v>
      </c>
      <c r="J193">
        <v>2.8</v>
      </c>
      <c r="K193" s="1" t="s">
        <v>170</v>
      </c>
      <c r="L193">
        <v>0.75</v>
      </c>
    </row>
    <row r="194" spans="1:12" x14ac:dyDescent="0.3">
      <c r="A194" s="1" t="s">
        <v>480</v>
      </c>
      <c r="B194" s="1" t="s">
        <v>274</v>
      </c>
      <c r="C194" s="1" t="s">
        <v>69</v>
      </c>
      <c r="D194">
        <v>41</v>
      </c>
      <c r="E194" s="1" t="s">
        <v>15</v>
      </c>
      <c r="F194" s="1" t="s">
        <v>16</v>
      </c>
      <c r="G194" s="1" t="s">
        <v>99</v>
      </c>
      <c r="I194" s="1" t="s">
        <v>50</v>
      </c>
      <c r="J194">
        <v>1.4</v>
      </c>
      <c r="K194" s="1" t="s">
        <v>51</v>
      </c>
      <c r="L194">
        <v>0.74</v>
      </c>
    </row>
    <row r="195" spans="1:12" x14ac:dyDescent="0.3">
      <c r="A195" s="1" t="s">
        <v>481</v>
      </c>
      <c r="B195" s="1" t="s">
        <v>482</v>
      </c>
      <c r="C195" s="1" t="s">
        <v>38</v>
      </c>
      <c r="D195">
        <v>58</v>
      </c>
      <c r="E195" s="1" t="s">
        <v>134</v>
      </c>
      <c r="F195" s="1" t="s">
        <v>135</v>
      </c>
      <c r="G195" s="1" t="s">
        <v>17</v>
      </c>
      <c r="H195">
        <v>25</v>
      </c>
      <c r="I195" s="1" t="s">
        <v>50</v>
      </c>
      <c r="J195">
        <v>4.2</v>
      </c>
      <c r="K195" s="1" t="s">
        <v>83</v>
      </c>
      <c r="L195">
        <v>0.71</v>
      </c>
    </row>
    <row r="196" spans="1:12" x14ac:dyDescent="0.3">
      <c r="A196" s="1" t="s">
        <v>483</v>
      </c>
      <c r="B196" s="1" t="s">
        <v>484</v>
      </c>
      <c r="C196" s="1" t="s">
        <v>43</v>
      </c>
      <c r="D196">
        <v>50</v>
      </c>
      <c r="E196" s="1" t="s">
        <v>164</v>
      </c>
      <c r="F196" s="1" t="s">
        <v>165</v>
      </c>
      <c r="G196" s="1" t="s">
        <v>33</v>
      </c>
      <c r="H196">
        <v>20</v>
      </c>
      <c r="I196" s="1" t="s">
        <v>61</v>
      </c>
      <c r="J196">
        <v>3.6</v>
      </c>
      <c r="K196" s="1" t="s">
        <v>27</v>
      </c>
      <c r="L196">
        <v>0.89</v>
      </c>
    </row>
    <row r="197" spans="1:12" x14ac:dyDescent="0.3">
      <c r="A197" s="1" t="s">
        <v>485</v>
      </c>
      <c r="B197" s="1" t="s">
        <v>486</v>
      </c>
      <c r="C197" s="1" t="s">
        <v>54</v>
      </c>
      <c r="D197">
        <v>52</v>
      </c>
      <c r="E197" s="1" t="s">
        <v>55</v>
      </c>
      <c r="F197" s="1" t="s">
        <v>56</v>
      </c>
      <c r="G197" s="1" t="s">
        <v>39</v>
      </c>
      <c r="H197">
        <v>33</v>
      </c>
      <c r="I197" s="1" t="s">
        <v>240</v>
      </c>
      <c r="J197">
        <v>1.6</v>
      </c>
      <c r="K197" s="1" t="s">
        <v>65</v>
      </c>
      <c r="L197">
        <v>0.66</v>
      </c>
    </row>
    <row r="198" spans="1:12" x14ac:dyDescent="0.3">
      <c r="A198" s="1" t="s">
        <v>487</v>
      </c>
      <c r="B198" s="1" t="s">
        <v>488</v>
      </c>
      <c r="C198" s="1" t="s">
        <v>54</v>
      </c>
      <c r="D198">
        <v>34</v>
      </c>
      <c r="E198" s="1" t="s">
        <v>47</v>
      </c>
      <c r="F198" s="1" t="s">
        <v>48</v>
      </c>
      <c r="G198" s="1" t="s">
        <v>57</v>
      </c>
      <c r="H198">
        <v>6</v>
      </c>
      <c r="I198" s="1" t="s">
        <v>240</v>
      </c>
      <c r="J198">
        <v>2</v>
      </c>
      <c r="K198" s="1" t="s">
        <v>170</v>
      </c>
    </row>
    <row r="199" spans="1:12" x14ac:dyDescent="0.3">
      <c r="A199" s="1" t="s">
        <v>489</v>
      </c>
      <c r="B199" s="1" t="s">
        <v>490</v>
      </c>
      <c r="C199" s="1" t="s">
        <v>107</v>
      </c>
      <c r="D199">
        <v>32</v>
      </c>
      <c r="E199" s="1" t="s">
        <v>145</v>
      </c>
      <c r="F199" s="1" t="s">
        <v>146</v>
      </c>
      <c r="G199" s="1" t="s">
        <v>124</v>
      </c>
      <c r="H199">
        <v>11</v>
      </c>
      <c r="I199" s="1" t="s">
        <v>76</v>
      </c>
      <c r="J199">
        <v>4.3</v>
      </c>
      <c r="K199" s="1" t="s">
        <v>66</v>
      </c>
      <c r="L199">
        <v>0.86</v>
      </c>
    </row>
    <row r="200" spans="1:12" x14ac:dyDescent="0.3">
      <c r="A200" s="1" t="s">
        <v>491</v>
      </c>
      <c r="B200" s="1" t="s">
        <v>492</v>
      </c>
      <c r="C200" s="1" t="s">
        <v>38</v>
      </c>
      <c r="D200">
        <v>50</v>
      </c>
      <c r="E200" s="1" t="s">
        <v>103</v>
      </c>
      <c r="F200" s="1" t="s">
        <v>104</v>
      </c>
      <c r="G200" s="1" t="s">
        <v>33</v>
      </c>
      <c r="H200">
        <v>28</v>
      </c>
      <c r="I200" s="1" t="s">
        <v>240</v>
      </c>
      <c r="J200">
        <v>4.9000000000000004</v>
      </c>
      <c r="K200" s="1" t="s">
        <v>83</v>
      </c>
      <c r="L200">
        <v>0.86</v>
      </c>
    </row>
    <row r="201" spans="1:12" x14ac:dyDescent="0.3">
      <c r="A201" s="1" t="s">
        <v>493</v>
      </c>
      <c r="B201" s="1" t="s">
        <v>494</v>
      </c>
      <c r="C201" s="1" t="s">
        <v>43</v>
      </c>
      <c r="D201">
        <v>39</v>
      </c>
      <c r="E201" s="1" t="s">
        <v>80</v>
      </c>
      <c r="F201" s="1" t="s">
        <v>81</v>
      </c>
      <c r="G201" s="1" t="s">
        <v>57</v>
      </c>
      <c r="H201">
        <v>11</v>
      </c>
      <c r="I201" s="1" t="s">
        <v>18</v>
      </c>
      <c r="J201">
        <v>3.5</v>
      </c>
      <c r="K201" s="1" t="s">
        <v>83</v>
      </c>
      <c r="L201">
        <v>0.82</v>
      </c>
    </row>
    <row r="202" spans="1:12" x14ac:dyDescent="0.3">
      <c r="A202" s="1" t="s">
        <v>495</v>
      </c>
      <c r="B202" s="1" t="s">
        <v>496</v>
      </c>
      <c r="C202" s="1" t="s">
        <v>14</v>
      </c>
      <c r="D202">
        <v>25</v>
      </c>
      <c r="E202" s="1" t="s">
        <v>201</v>
      </c>
      <c r="F202" s="1" t="s">
        <v>81</v>
      </c>
      <c r="G202" s="1" t="s">
        <v>49</v>
      </c>
      <c r="H202">
        <v>2</v>
      </c>
      <c r="I202" s="1" t="s">
        <v>18</v>
      </c>
      <c r="J202">
        <v>2.5</v>
      </c>
      <c r="K202" s="1" t="s">
        <v>170</v>
      </c>
      <c r="L202">
        <v>87</v>
      </c>
    </row>
    <row r="203" spans="1:12" x14ac:dyDescent="0.3">
      <c r="A203" s="1" t="s">
        <v>497</v>
      </c>
      <c r="B203" s="1" t="s">
        <v>498</v>
      </c>
      <c r="C203" s="1" t="s">
        <v>22</v>
      </c>
      <c r="D203">
        <v>55</v>
      </c>
      <c r="E203" s="1" t="s">
        <v>186</v>
      </c>
      <c r="F203" s="1" t="s">
        <v>187</v>
      </c>
      <c r="G203" s="1" t="s">
        <v>124</v>
      </c>
      <c r="H203">
        <v>7</v>
      </c>
      <c r="I203" s="1" t="s">
        <v>18</v>
      </c>
      <c r="J203">
        <v>1.7</v>
      </c>
      <c r="K203" s="1" t="s">
        <v>27</v>
      </c>
      <c r="L203">
        <v>0.8</v>
      </c>
    </row>
    <row r="204" spans="1:12" x14ac:dyDescent="0.3">
      <c r="A204" s="1" t="s">
        <v>499</v>
      </c>
      <c r="B204" s="1" t="s">
        <v>500</v>
      </c>
      <c r="C204" s="1" t="s">
        <v>54</v>
      </c>
      <c r="D204">
        <v>42</v>
      </c>
      <c r="E204" s="1" t="s">
        <v>15</v>
      </c>
      <c r="F204" s="1" t="s">
        <v>16</v>
      </c>
      <c r="G204" s="1" t="s">
        <v>99</v>
      </c>
      <c r="H204">
        <v>10</v>
      </c>
      <c r="I204" s="1" t="s">
        <v>26</v>
      </c>
      <c r="J204">
        <v>4.5999999999999996</v>
      </c>
      <c r="K204" s="1" t="s">
        <v>83</v>
      </c>
      <c r="L204">
        <v>0.71</v>
      </c>
    </row>
    <row r="205" spans="1:12" x14ac:dyDescent="0.3">
      <c r="A205" s="1" t="s">
        <v>501</v>
      </c>
      <c r="B205" s="1" t="s">
        <v>502</v>
      </c>
      <c r="C205" s="1" t="s">
        <v>30</v>
      </c>
      <c r="D205">
        <v>43</v>
      </c>
      <c r="E205" s="1" t="s">
        <v>134</v>
      </c>
      <c r="F205" s="1" t="s">
        <v>135</v>
      </c>
      <c r="G205" s="1" t="s">
        <v>25</v>
      </c>
      <c r="H205">
        <v>6</v>
      </c>
      <c r="I205" s="1" t="s">
        <v>34</v>
      </c>
      <c r="K205" s="1" t="s">
        <v>35</v>
      </c>
      <c r="L205">
        <v>0.77</v>
      </c>
    </row>
    <row r="206" spans="1:12" x14ac:dyDescent="0.3">
      <c r="A206" s="1" t="s">
        <v>503</v>
      </c>
      <c r="B206" s="1" t="s">
        <v>504</v>
      </c>
      <c r="C206" s="1" t="s">
        <v>54</v>
      </c>
      <c r="D206">
        <v>54</v>
      </c>
      <c r="E206" s="1" t="s">
        <v>15</v>
      </c>
      <c r="F206" s="1" t="s">
        <v>16</v>
      </c>
      <c r="G206" s="1" t="s">
        <v>99</v>
      </c>
      <c r="H206">
        <v>29</v>
      </c>
      <c r="I206" s="1" t="s">
        <v>50</v>
      </c>
      <c r="J206">
        <v>1.7</v>
      </c>
      <c r="K206" s="1" t="s">
        <v>19</v>
      </c>
      <c r="L206">
        <v>68</v>
      </c>
    </row>
    <row r="207" spans="1:12" x14ac:dyDescent="0.3">
      <c r="A207" s="1" t="s">
        <v>505</v>
      </c>
      <c r="B207" s="1" t="s">
        <v>506</v>
      </c>
      <c r="C207" s="1" t="s">
        <v>22</v>
      </c>
      <c r="D207">
        <v>21</v>
      </c>
      <c r="E207" s="1" t="s">
        <v>149</v>
      </c>
      <c r="F207" s="1" t="s">
        <v>150</v>
      </c>
      <c r="G207" s="1" t="s">
        <v>33</v>
      </c>
      <c r="H207">
        <v>0</v>
      </c>
      <c r="I207" s="1" t="s">
        <v>151</v>
      </c>
      <c r="J207">
        <v>1.8</v>
      </c>
      <c r="K207" s="1" t="s">
        <v>35</v>
      </c>
      <c r="L207">
        <v>0.91</v>
      </c>
    </row>
    <row r="208" spans="1:12" x14ac:dyDescent="0.3">
      <c r="A208" s="1" t="s">
        <v>507</v>
      </c>
      <c r="B208" s="1" t="s">
        <v>508</v>
      </c>
      <c r="C208" s="1" t="s">
        <v>54</v>
      </c>
      <c r="D208">
        <v>46</v>
      </c>
      <c r="E208" s="1" t="s">
        <v>138</v>
      </c>
      <c r="F208" s="1" t="s">
        <v>24</v>
      </c>
      <c r="G208" s="1" t="s">
        <v>82</v>
      </c>
      <c r="H208">
        <v>5</v>
      </c>
      <c r="I208" s="1" t="s">
        <v>151</v>
      </c>
      <c r="J208">
        <v>2.2000000000000002</v>
      </c>
      <c r="K208" s="1" t="s">
        <v>51</v>
      </c>
      <c r="L208">
        <v>0.75</v>
      </c>
    </row>
    <row r="209" spans="1:12" x14ac:dyDescent="0.3">
      <c r="A209" s="1" t="s">
        <v>509</v>
      </c>
      <c r="B209" s="1" t="s">
        <v>510</v>
      </c>
      <c r="C209" s="1" t="s">
        <v>14</v>
      </c>
      <c r="D209">
        <v>30</v>
      </c>
      <c r="E209" s="1" t="s">
        <v>201</v>
      </c>
      <c r="F209" s="1" t="s">
        <v>81</v>
      </c>
      <c r="G209" s="1" t="s">
        <v>17</v>
      </c>
      <c r="H209">
        <v>11</v>
      </c>
      <c r="I209" s="1" t="s">
        <v>76</v>
      </c>
      <c r="J209">
        <v>1</v>
      </c>
      <c r="K209" s="1" t="s">
        <v>35</v>
      </c>
      <c r="L209">
        <v>0.9</v>
      </c>
    </row>
    <row r="210" spans="1:12" x14ac:dyDescent="0.3">
      <c r="A210" s="1" t="s">
        <v>511</v>
      </c>
      <c r="B210" s="1" t="s">
        <v>512</v>
      </c>
      <c r="C210" s="1" t="s">
        <v>30</v>
      </c>
      <c r="D210">
        <v>36</v>
      </c>
      <c r="E210" s="1" t="s">
        <v>186</v>
      </c>
      <c r="F210" s="1" t="s">
        <v>187</v>
      </c>
      <c r="G210" s="1" t="s">
        <v>124</v>
      </c>
      <c r="H210">
        <v>11</v>
      </c>
      <c r="I210" s="1" t="s">
        <v>181</v>
      </c>
      <c r="J210">
        <v>3.2</v>
      </c>
      <c r="K210" s="1" t="s">
        <v>19</v>
      </c>
      <c r="L210">
        <v>93</v>
      </c>
    </row>
    <row r="211" spans="1:12" x14ac:dyDescent="0.3">
      <c r="A211" s="1" t="s">
        <v>513</v>
      </c>
      <c r="B211" s="1" t="s">
        <v>514</v>
      </c>
      <c r="C211" s="1" t="s">
        <v>86</v>
      </c>
      <c r="D211">
        <v>47</v>
      </c>
      <c r="E211" s="1" t="s">
        <v>31</v>
      </c>
      <c r="F211" s="1" t="s">
        <v>32</v>
      </c>
      <c r="G211" s="1" t="s">
        <v>57</v>
      </c>
      <c r="H211">
        <v>15</v>
      </c>
      <c r="I211" s="1" t="s">
        <v>76</v>
      </c>
      <c r="J211">
        <v>2.1</v>
      </c>
      <c r="K211" s="1" t="s">
        <v>77</v>
      </c>
      <c r="L211">
        <v>0.94</v>
      </c>
    </row>
    <row r="212" spans="1:12" x14ac:dyDescent="0.3">
      <c r="A212" s="1" t="s">
        <v>515</v>
      </c>
      <c r="B212" s="1" t="s">
        <v>516</v>
      </c>
      <c r="C212" s="1" t="s">
        <v>38</v>
      </c>
      <c r="D212">
        <v>43</v>
      </c>
      <c r="E212" s="1" t="s">
        <v>138</v>
      </c>
      <c r="F212" s="1" t="s">
        <v>24</v>
      </c>
      <c r="G212" s="1" t="s">
        <v>25</v>
      </c>
      <c r="H212">
        <v>1</v>
      </c>
      <c r="I212" s="1" t="s">
        <v>108</v>
      </c>
      <c r="J212">
        <v>4.5999999999999996</v>
      </c>
      <c r="K212" s="1" t="s">
        <v>66</v>
      </c>
      <c r="L212">
        <v>64</v>
      </c>
    </row>
    <row r="213" spans="1:12" x14ac:dyDescent="0.3">
      <c r="A213" s="1" t="s">
        <v>517</v>
      </c>
      <c r="B213" s="1" t="s">
        <v>518</v>
      </c>
      <c r="C213" s="1" t="s">
        <v>54</v>
      </c>
      <c r="D213">
        <v>57</v>
      </c>
      <c r="E213" s="1" t="s">
        <v>122</v>
      </c>
      <c r="F213" s="1" t="s">
        <v>123</v>
      </c>
      <c r="G213" s="1" t="s">
        <v>87</v>
      </c>
      <c r="H213">
        <v>8</v>
      </c>
      <c r="I213" s="1" t="s">
        <v>131</v>
      </c>
      <c r="J213">
        <v>0</v>
      </c>
      <c r="K213" s="1" t="s">
        <v>77</v>
      </c>
      <c r="L213">
        <v>0.84</v>
      </c>
    </row>
    <row r="214" spans="1:12" x14ac:dyDescent="0.3">
      <c r="A214" s="1" t="s">
        <v>519</v>
      </c>
      <c r="B214" s="1" t="s">
        <v>520</v>
      </c>
      <c r="C214" s="1" t="s">
        <v>30</v>
      </c>
      <c r="D214">
        <v>52</v>
      </c>
      <c r="E214" s="1" t="s">
        <v>15</v>
      </c>
      <c r="F214" s="1" t="s">
        <v>16</v>
      </c>
      <c r="G214" s="1" t="s">
        <v>124</v>
      </c>
      <c r="H214">
        <v>30</v>
      </c>
      <c r="I214" s="1" t="s">
        <v>131</v>
      </c>
      <c r="J214">
        <v>2.8</v>
      </c>
      <c r="K214" s="1" t="s">
        <v>170</v>
      </c>
      <c r="L214">
        <v>0.87</v>
      </c>
    </row>
    <row r="215" spans="1:12" x14ac:dyDescent="0.3">
      <c r="A215" s="1" t="s">
        <v>521</v>
      </c>
      <c r="B215" s="1" t="s">
        <v>522</v>
      </c>
      <c r="C215" s="1" t="s">
        <v>69</v>
      </c>
      <c r="E215" s="1" t="s">
        <v>31</v>
      </c>
      <c r="F215" s="1" t="s">
        <v>32</v>
      </c>
      <c r="G215" s="1" t="s">
        <v>17</v>
      </c>
      <c r="H215">
        <v>8</v>
      </c>
      <c r="I215" s="1" t="s">
        <v>40</v>
      </c>
      <c r="J215">
        <v>0</v>
      </c>
      <c r="K215" s="1" t="s">
        <v>35</v>
      </c>
      <c r="L215">
        <v>0.64</v>
      </c>
    </row>
    <row r="216" spans="1:12" x14ac:dyDescent="0.3">
      <c r="A216" s="1" t="s">
        <v>523</v>
      </c>
      <c r="B216" s="1" t="s">
        <v>524</v>
      </c>
      <c r="C216" s="1" t="s">
        <v>43</v>
      </c>
      <c r="D216">
        <v>22</v>
      </c>
      <c r="E216" s="1" t="s">
        <v>55</v>
      </c>
      <c r="F216" s="1" t="s">
        <v>56</v>
      </c>
      <c r="G216" s="1" t="s">
        <v>124</v>
      </c>
      <c r="H216">
        <v>0</v>
      </c>
      <c r="I216" s="1" t="s">
        <v>18</v>
      </c>
      <c r="J216">
        <v>2.7</v>
      </c>
      <c r="K216" s="1" t="s">
        <v>66</v>
      </c>
      <c r="L216">
        <v>0.64</v>
      </c>
    </row>
    <row r="217" spans="1:12" x14ac:dyDescent="0.3">
      <c r="A217" s="1" t="s">
        <v>525</v>
      </c>
      <c r="B217" s="1" t="s">
        <v>526</v>
      </c>
      <c r="C217" s="1" t="s">
        <v>54</v>
      </c>
      <c r="E217" s="1" t="s">
        <v>103</v>
      </c>
      <c r="F217" s="1" t="s">
        <v>104</v>
      </c>
      <c r="G217" s="1" t="s">
        <v>124</v>
      </c>
      <c r="H217">
        <v>12</v>
      </c>
      <c r="I217" s="1" t="s">
        <v>131</v>
      </c>
      <c r="J217">
        <v>0</v>
      </c>
      <c r="K217" s="1" t="s">
        <v>66</v>
      </c>
      <c r="L217">
        <v>0.8</v>
      </c>
    </row>
    <row r="218" spans="1:12" x14ac:dyDescent="0.3">
      <c r="A218" s="1" t="s">
        <v>527</v>
      </c>
      <c r="B218" s="1" t="s">
        <v>528</v>
      </c>
      <c r="C218" s="1" t="s">
        <v>38</v>
      </c>
      <c r="D218">
        <v>58</v>
      </c>
      <c r="E218" s="1" t="s">
        <v>201</v>
      </c>
      <c r="F218" s="1" t="s">
        <v>81</v>
      </c>
      <c r="G218" s="1" t="s">
        <v>25</v>
      </c>
      <c r="H218">
        <v>4</v>
      </c>
      <c r="I218" s="1" t="s">
        <v>72</v>
      </c>
      <c r="J218">
        <v>3.1</v>
      </c>
      <c r="K218" s="1" t="s">
        <v>19</v>
      </c>
      <c r="L218">
        <v>0.9</v>
      </c>
    </row>
    <row r="219" spans="1:12" x14ac:dyDescent="0.3">
      <c r="A219" s="1" t="s">
        <v>529</v>
      </c>
      <c r="B219" s="1" t="s">
        <v>530</v>
      </c>
      <c r="C219" s="1" t="s">
        <v>102</v>
      </c>
      <c r="D219">
        <v>39</v>
      </c>
      <c r="E219" s="1" t="s">
        <v>122</v>
      </c>
      <c r="F219" s="1" t="s">
        <v>123</v>
      </c>
      <c r="G219" s="1" t="s">
        <v>39</v>
      </c>
      <c r="H219">
        <v>14</v>
      </c>
      <c r="I219" s="1" t="s">
        <v>26</v>
      </c>
      <c r="J219">
        <v>0</v>
      </c>
      <c r="K219" s="1" t="s">
        <v>83</v>
      </c>
      <c r="L219">
        <v>0.92</v>
      </c>
    </row>
    <row r="220" spans="1:12" x14ac:dyDescent="0.3">
      <c r="A220" s="1" t="s">
        <v>531</v>
      </c>
      <c r="B220" s="1" t="s">
        <v>532</v>
      </c>
      <c r="C220" s="1" t="s">
        <v>102</v>
      </c>
      <c r="D220">
        <v>32</v>
      </c>
      <c r="E220" s="1" t="s">
        <v>55</v>
      </c>
      <c r="F220" s="1" t="s">
        <v>56</v>
      </c>
      <c r="G220" s="1" t="s">
        <v>33</v>
      </c>
      <c r="H220">
        <v>14</v>
      </c>
      <c r="I220" s="1" t="s">
        <v>65</v>
      </c>
      <c r="K220" s="1" t="s">
        <v>19</v>
      </c>
      <c r="L220">
        <v>0.96</v>
      </c>
    </row>
    <row r="221" spans="1:12" x14ac:dyDescent="0.3">
      <c r="A221" s="1" t="s">
        <v>533</v>
      </c>
      <c r="B221" s="1" t="s">
        <v>534</v>
      </c>
      <c r="C221" s="1" t="s">
        <v>54</v>
      </c>
      <c r="D221">
        <v>37</v>
      </c>
      <c r="E221" s="1" t="s">
        <v>138</v>
      </c>
      <c r="F221" s="1" t="s">
        <v>24</v>
      </c>
      <c r="G221" s="1" t="s">
        <v>82</v>
      </c>
      <c r="H221">
        <v>2</v>
      </c>
      <c r="I221" s="1" t="s">
        <v>50</v>
      </c>
      <c r="J221">
        <v>2.2999999999999998</v>
      </c>
      <c r="K221" s="1" t="s">
        <v>77</v>
      </c>
    </row>
    <row r="222" spans="1:12" x14ac:dyDescent="0.3">
      <c r="A222" s="1" t="s">
        <v>535</v>
      </c>
      <c r="B222" s="1" t="s">
        <v>536</v>
      </c>
      <c r="C222" s="1" t="s">
        <v>22</v>
      </c>
      <c r="D222">
        <v>21</v>
      </c>
      <c r="E222" s="1" t="s">
        <v>186</v>
      </c>
      <c r="F222" s="1" t="s">
        <v>187</v>
      </c>
      <c r="G222" s="1" t="s">
        <v>87</v>
      </c>
      <c r="H222">
        <v>2</v>
      </c>
      <c r="I222" s="1" t="s">
        <v>18</v>
      </c>
      <c r="J222">
        <v>2.4</v>
      </c>
      <c r="K222" s="1" t="s">
        <v>83</v>
      </c>
    </row>
    <row r="223" spans="1:12" x14ac:dyDescent="0.3">
      <c r="A223" s="1" t="s">
        <v>537</v>
      </c>
      <c r="B223" s="1" t="s">
        <v>538</v>
      </c>
      <c r="C223" s="1" t="s">
        <v>69</v>
      </c>
      <c r="D223">
        <v>41</v>
      </c>
      <c r="E223" s="1" t="s">
        <v>122</v>
      </c>
      <c r="F223" s="1" t="s">
        <v>123</v>
      </c>
      <c r="G223" s="1" t="s">
        <v>124</v>
      </c>
      <c r="H223">
        <v>4</v>
      </c>
      <c r="I223" s="1" t="s">
        <v>92</v>
      </c>
      <c r="J223">
        <v>2.6</v>
      </c>
      <c r="K223" s="1" t="s">
        <v>65</v>
      </c>
      <c r="L223">
        <v>0.85</v>
      </c>
    </row>
    <row r="224" spans="1:12" x14ac:dyDescent="0.3">
      <c r="A224" s="1" t="s">
        <v>539</v>
      </c>
      <c r="B224" s="1" t="s">
        <v>540</v>
      </c>
      <c r="C224" s="1" t="s">
        <v>14</v>
      </c>
      <c r="D224">
        <v>21</v>
      </c>
      <c r="E224" s="1" t="s">
        <v>138</v>
      </c>
      <c r="F224" s="1" t="s">
        <v>24</v>
      </c>
      <c r="G224" s="1" t="s">
        <v>49</v>
      </c>
      <c r="H224">
        <v>0</v>
      </c>
      <c r="I224" s="1" t="s">
        <v>61</v>
      </c>
      <c r="J224">
        <v>1.1000000000000001</v>
      </c>
      <c r="K224" s="1" t="s">
        <v>19</v>
      </c>
      <c r="L224">
        <v>0.79</v>
      </c>
    </row>
    <row r="225" spans="1:12" x14ac:dyDescent="0.3">
      <c r="A225" s="1" t="s">
        <v>541</v>
      </c>
      <c r="B225" s="1" t="s">
        <v>542</v>
      </c>
      <c r="C225" s="1" t="s">
        <v>38</v>
      </c>
      <c r="D225">
        <v>58</v>
      </c>
      <c r="E225" s="1" t="s">
        <v>186</v>
      </c>
      <c r="F225" s="1" t="s">
        <v>187</v>
      </c>
      <c r="G225" s="1" t="s">
        <v>124</v>
      </c>
      <c r="H225">
        <v>9</v>
      </c>
      <c r="I225" s="1" t="s">
        <v>44</v>
      </c>
      <c r="J225">
        <v>0</v>
      </c>
      <c r="K225" s="1" t="s">
        <v>27</v>
      </c>
      <c r="L225">
        <v>0.65</v>
      </c>
    </row>
    <row r="226" spans="1:12" x14ac:dyDescent="0.3">
      <c r="A226" s="1" t="s">
        <v>543</v>
      </c>
      <c r="B226" s="1" t="s">
        <v>544</v>
      </c>
      <c r="C226" s="1" t="s">
        <v>107</v>
      </c>
      <c r="D226">
        <v>60</v>
      </c>
      <c r="E226" s="1" t="s">
        <v>138</v>
      </c>
      <c r="F226" s="1" t="s">
        <v>24</v>
      </c>
      <c r="G226" s="1" t="s">
        <v>124</v>
      </c>
      <c r="H226">
        <v>3</v>
      </c>
      <c r="I226" s="1" t="s">
        <v>76</v>
      </c>
      <c r="J226">
        <v>4.7</v>
      </c>
      <c r="K226" s="1" t="s">
        <v>51</v>
      </c>
      <c r="L226">
        <v>0.63</v>
      </c>
    </row>
    <row r="227" spans="1:12" x14ac:dyDescent="0.3">
      <c r="A227" s="1" t="s">
        <v>545</v>
      </c>
      <c r="B227" s="1" t="s">
        <v>546</v>
      </c>
      <c r="C227" s="1" t="s">
        <v>102</v>
      </c>
      <c r="D227">
        <v>27</v>
      </c>
      <c r="E227" s="1" t="s">
        <v>164</v>
      </c>
      <c r="F227" s="1" t="s">
        <v>165</v>
      </c>
      <c r="G227" s="1" t="s">
        <v>39</v>
      </c>
      <c r="H227">
        <v>2</v>
      </c>
      <c r="I227" s="1" t="s">
        <v>40</v>
      </c>
      <c r="J227">
        <v>1.2</v>
      </c>
      <c r="K227" s="1" t="s">
        <v>51</v>
      </c>
    </row>
    <row r="228" spans="1:12" x14ac:dyDescent="0.3">
      <c r="A228" s="1" t="s">
        <v>547</v>
      </c>
      <c r="B228" s="1" t="s">
        <v>548</v>
      </c>
      <c r="C228" s="1" t="s">
        <v>14</v>
      </c>
      <c r="D228">
        <v>29</v>
      </c>
      <c r="E228" s="1" t="s">
        <v>31</v>
      </c>
      <c r="F228" s="1" t="s">
        <v>32</v>
      </c>
      <c r="G228" s="1" t="s">
        <v>124</v>
      </c>
      <c r="H228">
        <v>10</v>
      </c>
      <c r="I228" s="1" t="s">
        <v>61</v>
      </c>
      <c r="J228">
        <v>1.2</v>
      </c>
      <c r="K228" s="1" t="s">
        <v>51</v>
      </c>
      <c r="L228">
        <v>0.78</v>
      </c>
    </row>
    <row r="229" spans="1:12" x14ac:dyDescent="0.3">
      <c r="A229" s="1" t="s">
        <v>549</v>
      </c>
      <c r="B229" s="1" t="s">
        <v>550</v>
      </c>
      <c r="C229" s="1" t="s">
        <v>86</v>
      </c>
      <c r="D229">
        <v>54</v>
      </c>
      <c r="E229" s="1" t="s">
        <v>138</v>
      </c>
      <c r="F229" s="1" t="s">
        <v>24</v>
      </c>
      <c r="G229" s="1" t="s">
        <v>33</v>
      </c>
      <c r="H229">
        <v>33</v>
      </c>
      <c r="I229" s="1" t="s">
        <v>181</v>
      </c>
      <c r="J229">
        <v>0</v>
      </c>
      <c r="K229" s="1" t="s">
        <v>27</v>
      </c>
      <c r="L229">
        <v>0.62</v>
      </c>
    </row>
    <row r="230" spans="1:12" x14ac:dyDescent="0.3">
      <c r="A230" s="1" t="s">
        <v>551</v>
      </c>
      <c r="B230" s="1" t="s">
        <v>552</v>
      </c>
      <c r="C230" s="1" t="s">
        <v>102</v>
      </c>
      <c r="D230">
        <v>52</v>
      </c>
      <c r="E230" s="1" t="s">
        <v>190</v>
      </c>
      <c r="F230" s="1" t="s">
        <v>81</v>
      </c>
      <c r="G230" s="1" t="s">
        <v>124</v>
      </c>
      <c r="H230">
        <v>12</v>
      </c>
      <c r="I230" s="1" t="s">
        <v>76</v>
      </c>
      <c r="J230">
        <v>1.2</v>
      </c>
      <c r="K230" s="1" t="s">
        <v>19</v>
      </c>
      <c r="L230">
        <v>0.76</v>
      </c>
    </row>
    <row r="231" spans="1:12" x14ac:dyDescent="0.3">
      <c r="A231" s="1" t="s">
        <v>553</v>
      </c>
      <c r="B231" s="1" t="s">
        <v>554</v>
      </c>
      <c r="C231" s="1" t="s">
        <v>22</v>
      </c>
      <c r="D231">
        <v>55</v>
      </c>
      <c r="E231" s="1" t="s">
        <v>55</v>
      </c>
      <c r="F231" s="1" t="s">
        <v>56</v>
      </c>
      <c r="G231" s="1" t="s">
        <v>17</v>
      </c>
      <c r="H231">
        <v>18</v>
      </c>
      <c r="I231" s="1" t="s">
        <v>18</v>
      </c>
      <c r="J231">
        <v>2.9</v>
      </c>
      <c r="K231" s="1" t="s">
        <v>19</v>
      </c>
      <c r="L231">
        <v>97</v>
      </c>
    </row>
    <row r="232" spans="1:12" x14ac:dyDescent="0.3">
      <c r="A232" s="1" t="s">
        <v>555</v>
      </c>
      <c r="B232" s="1" t="s">
        <v>556</v>
      </c>
      <c r="C232" s="1" t="s">
        <v>30</v>
      </c>
      <c r="D232">
        <v>37</v>
      </c>
      <c r="E232" s="1" t="s">
        <v>117</v>
      </c>
      <c r="F232" s="1" t="s">
        <v>118</v>
      </c>
      <c r="G232" s="1" t="s">
        <v>17</v>
      </c>
      <c r="H232">
        <v>4</v>
      </c>
      <c r="I232" s="1" t="s">
        <v>65</v>
      </c>
      <c r="K232" s="1" t="s">
        <v>35</v>
      </c>
    </row>
    <row r="233" spans="1:12" x14ac:dyDescent="0.3">
      <c r="A233" s="1" t="s">
        <v>557</v>
      </c>
      <c r="B233" s="1" t="s">
        <v>558</v>
      </c>
      <c r="C233" s="1" t="s">
        <v>14</v>
      </c>
      <c r="D233">
        <v>34</v>
      </c>
      <c r="E233" s="1" t="s">
        <v>149</v>
      </c>
      <c r="F233" s="1" t="s">
        <v>150</v>
      </c>
      <c r="G233" s="1" t="s">
        <v>57</v>
      </c>
      <c r="H233">
        <v>11</v>
      </c>
      <c r="I233" s="1" t="s">
        <v>72</v>
      </c>
      <c r="J233">
        <v>3.9</v>
      </c>
      <c r="K233" s="1" t="s">
        <v>27</v>
      </c>
      <c r="L233">
        <v>0.82</v>
      </c>
    </row>
    <row r="234" spans="1:12" x14ac:dyDescent="0.3">
      <c r="A234" s="1" t="s">
        <v>559</v>
      </c>
      <c r="B234" s="1" t="s">
        <v>560</v>
      </c>
      <c r="C234" s="1" t="s">
        <v>54</v>
      </c>
      <c r="D234">
        <v>20</v>
      </c>
      <c r="E234" s="1" t="s">
        <v>145</v>
      </c>
      <c r="F234" s="1" t="s">
        <v>146</v>
      </c>
      <c r="G234" s="1" t="s">
        <v>57</v>
      </c>
      <c r="H234">
        <v>1</v>
      </c>
      <c r="I234" s="1" t="s">
        <v>34</v>
      </c>
      <c r="J234">
        <v>3.1</v>
      </c>
      <c r="K234" s="1" t="s">
        <v>65</v>
      </c>
      <c r="L234">
        <v>0.71</v>
      </c>
    </row>
    <row r="235" spans="1:12" x14ac:dyDescent="0.3">
      <c r="A235" s="1" t="s">
        <v>561</v>
      </c>
      <c r="B235" s="1" t="s">
        <v>562</v>
      </c>
      <c r="C235" s="1" t="s">
        <v>54</v>
      </c>
      <c r="D235">
        <v>22</v>
      </c>
      <c r="E235" s="1" t="s">
        <v>190</v>
      </c>
      <c r="F235" s="1" t="s">
        <v>81</v>
      </c>
      <c r="G235" s="1" t="s">
        <v>82</v>
      </c>
      <c r="H235">
        <v>2</v>
      </c>
      <c r="I235" s="1" t="s">
        <v>65</v>
      </c>
      <c r="J235">
        <v>0</v>
      </c>
      <c r="K235" s="1" t="s">
        <v>27</v>
      </c>
    </row>
    <row r="236" spans="1:12" x14ac:dyDescent="0.3">
      <c r="A236" s="1" t="s">
        <v>563</v>
      </c>
      <c r="B236" s="1" t="s">
        <v>564</v>
      </c>
      <c r="C236" s="1" t="s">
        <v>14</v>
      </c>
      <c r="D236">
        <v>23</v>
      </c>
      <c r="E236" s="1" t="s">
        <v>122</v>
      </c>
      <c r="F236" s="1" t="s">
        <v>123</v>
      </c>
      <c r="G236" s="1" t="s">
        <v>33</v>
      </c>
      <c r="H236">
        <v>2</v>
      </c>
      <c r="I236" s="1" t="s">
        <v>34</v>
      </c>
      <c r="J236">
        <v>3.2</v>
      </c>
      <c r="K236" s="1" t="s">
        <v>66</v>
      </c>
    </row>
    <row r="237" spans="1:12" x14ac:dyDescent="0.3">
      <c r="A237" s="1" t="s">
        <v>565</v>
      </c>
      <c r="B237" s="1" t="s">
        <v>566</v>
      </c>
      <c r="C237" s="1" t="s">
        <v>38</v>
      </c>
      <c r="D237">
        <v>53</v>
      </c>
      <c r="E237" s="1" t="s">
        <v>122</v>
      </c>
      <c r="F237" s="1" t="s">
        <v>123</v>
      </c>
      <c r="G237" s="1" t="s">
        <v>17</v>
      </c>
      <c r="H237">
        <v>34</v>
      </c>
      <c r="I237" s="1" t="s">
        <v>44</v>
      </c>
      <c r="K237" s="1" t="s">
        <v>83</v>
      </c>
    </row>
    <row r="238" spans="1:12" x14ac:dyDescent="0.3">
      <c r="A238" s="1" t="s">
        <v>567</v>
      </c>
      <c r="B238" s="1" t="s">
        <v>568</v>
      </c>
      <c r="C238" s="1" t="s">
        <v>38</v>
      </c>
      <c r="D238">
        <v>56</v>
      </c>
      <c r="E238" s="1" t="s">
        <v>122</v>
      </c>
      <c r="F238" s="1" t="s">
        <v>123</v>
      </c>
      <c r="G238" s="1" t="s">
        <v>33</v>
      </c>
      <c r="H238">
        <v>27</v>
      </c>
      <c r="I238" s="1" t="s">
        <v>18</v>
      </c>
      <c r="J238">
        <v>4.7</v>
      </c>
      <c r="K238" s="1" t="s">
        <v>66</v>
      </c>
      <c r="L238">
        <v>0.69</v>
      </c>
    </row>
    <row r="239" spans="1:12" x14ac:dyDescent="0.3">
      <c r="A239" s="1" t="s">
        <v>569</v>
      </c>
      <c r="B239" s="1" t="s">
        <v>570</v>
      </c>
      <c r="C239" s="1" t="s">
        <v>102</v>
      </c>
      <c r="D239">
        <v>27</v>
      </c>
      <c r="E239" s="1" t="s">
        <v>138</v>
      </c>
      <c r="F239" s="1" t="s">
        <v>24</v>
      </c>
      <c r="G239" s="1" t="s">
        <v>49</v>
      </c>
      <c r="H239">
        <v>4</v>
      </c>
      <c r="I239" s="1" t="s">
        <v>92</v>
      </c>
      <c r="J239">
        <v>5</v>
      </c>
      <c r="K239" s="1" t="s">
        <v>19</v>
      </c>
      <c r="L239">
        <v>0.88</v>
      </c>
    </row>
    <row r="240" spans="1:12" x14ac:dyDescent="0.3">
      <c r="A240" s="1" t="s">
        <v>571</v>
      </c>
      <c r="B240" s="1" t="s">
        <v>572</v>
      </c>
      <c r="C240" s="1" t="s">
        <v>107</v>
      </c>
      <c r="D240">
        <v>34</v>
      </c>
      <c r="E240" s="1" t="s">
        <v>15</v>
      </c>
      <c r="F240" s="1" t="s">
        <v>16</v>
      </c>
      <c r="G240" s="1" t="s">
        <v>25</v>
      </c>
      <c r="H240">
        <v>11</v>
      </c>
      <c r="I240" s="1" t="s">
        <v>61</v>
      </c>
      <c r="K240" s="1" t="s">
        <v>51</v>
      </c>
      <c r="L240">
        <v>0.67</v>
      </c>
    </row>
    <row r="241" spans="1:12" x14ac:dyDescent="0.3">
      <c r="A241" s="1" t="s">
        <v>573</v>
      </c>
      <c r="B241" s="1" t="s">
        <v>574</v>
      </c>
      <c r="C241" s="1" t="s">
        <v>102</v>
      </c>
      <c r="D241">
        <v>29</v>
      </c>
      <c r="E241" s="1" t="s">
        <v>64</v>
      </c>
      <c r="F241" s="1" t="s">
        <v>24</v>
      </c>
      <c r="G241" s="1" t="s">
        <v>39</v>
      </c>
      <c r="H241">
        <v>4</v>
      </c>
      <c r="I241" s="1" t="s">
        <v>108</v>
      </c>
      <c r="J241">
        <v>4</v>
      </c>
      <c r="K241" s="1" t="s">
        <v>19</v>
      </c>
    </row>
    <row r="242" spans="1:12" x14ac:dyDescent="0.3">
      <c r="A242" s="1" t="s">
        <v>575</v>
      </c>
      <c r="B242" s="1" t="s">
        <v>576</v>
      </c>
      <c r="C242" s="1" t="s">
        <v>102</v>
      </c>
      <c r="D242">
        <v>34</v>
      </c>
      <c r="E242" s="1" t="s">
        <v>103</v>
      </c>
      <c r="F242" s="1" t="s">
        <v>104</v>
      </c>
      <c r="G242" s="1" t="s">
        <v>49</v>
      </c>
      <c r="H242">
        <v>11</v>
      </c>
      <c r="I242" s="1" t="s">
        <v>65</v>
      </c>
      <c r="J242">
        <v>1.2</v>
      </c>
      <c r="K242" s="1" t="s">
        <v>27</v>
      </c>
    </row>
    <row r="243" spans="1:12" x14ac:dyDescent="0.3">
      <c r="A243" s="1" t="s">
        <v>577</v>
      </c>
      <c r="B243" s="1" t="s">
        <v>578</v>
      </c>
      <c r="C243" s="1" t="s">
        <v>43</v>
      </c>
      <c r="D243">
        <v>32</v>
      </c>
      <c r="E243" s="1" t="s">
        <v>190</v>
      </c>
      <c r="F243" s="1" t="s">
        <v>81</v>
      </c>
      <c r="G243" s="1" t="s">
        <v>49</v>
      </c>
      <c r="H243">
        <v>1</v>
      </c>
      <c r="I243" s="1" t="s">
        <v>18</v>
      </c>
      <c r="J243">
        <v>4.7</v>
      </c>
      <c r="K243" s="1" t="s">
        <v>19</v>
      </c>
      <c r="L243">
        <v>0.67</v>
      </c>
    </row>
    <row r="244" spans="1:12" x14ac:dyDescent="0.3">
      <c r="A244" s="1" t="s">
        <v>579</v>
      </c>
      <c r="B244" s="1" t="s">
        <v>580</v>
      </c>
      <c r="C244" s="1" t="s">
        <v>14</v>
      </c>
      <c r="D244">
        <v>21</v>
      </c>
      <c r="E244" s="1" t="s">
        <v>164</v>
      </c>
      <c r="F244" s="1" t="s">
        <v>165</v>
      </c>
      <c r="G244" s="1" t="s">
        <v>124</v>
      </c>
      <c r="H244">
        <v>2</v>
      </c>
      <c r="I244" s="1" t="s">
        <v>151</v>
      </c>
      <c r="J244">
        <v>2.4</v>
      </c>
      <c r="K244" s="1" t="s">
        <v>65</v>
      </c>
      <c r="L244">
        <v>0.86</v>
      </c>
    </row>
    <row r="245" spans="1:12" x14ac:dyDescent="0.3">
      <c r="A245" s="1" t="s">
        <v>581</v>
      </c>
      <c r="B245" s="1" t="s">
        <v>582</v>
      </c>
      <c r="C245" s="1" t="s">
        <v>69</v>
      </c>
      <c r="D245">
        <v>20</v>
      </c>
      <c r="E245" s="1" t="s">
        <v>190</v>
      </c>
      <c r="F245" s="1" t="s">
        <v>81</v>
      </c>
      <c r="G245" s="1" t="s">
        <v>33</v>
      </c>
      <c r="H245">
        <v>2</v>
      </c>
      <c r="I245" s="1" t="s">
        <v>65</v>
      </c>
      <c r="J245">
        <v>1.1000000000000001</v>
      </c>
      <c r="K245" s="1" t="s">
        <v>51</v>
      </c>
      <c r="L245">
        <v>0.69</v>
      </c>
    </row>
    <row r="246" spans="1:12" x14ac:dyDescent="0.3">
      <c r="A246" s="1" t="s">
        <v>583</v>
      </c>
      <c r="B246" s="1" t="s">
        <v>584</v>
      </c>
      <c r="C246" s="1" t="s">
        <v>22</v>
      </c>
      <c r="D246">
        <v>35</v>
      </c>
      <c r="E246" s="1" t="s">
        <v>64</v>
      </c>
      <c r="F246" s="1" t="s">
        <v>24</v>
      </c>
      <c r="G246" s="1" t="s">
        <v>25</v>
      </c>
      <c r="H246">
        <v>10</v>
      </c>
      <c r="I246" s="1" t="s">
        <v>34</v>
      </c>
      <c r="J246">
        <v>1.4</v>
      </c>
      <c r="K246" s="1" t="s">
        <v>66</v>
      </c>
      <c r="L246">
        <v>0.85</v>
      </c>
    </row>
    <row r="247" spans="1:12" x14ac:dyDescent="0.3">
      <c r="A247" s="1" t="s">
        <v>585</v>
      </c>
      <c r="B247" s="1" t="s">
        <v>586</v>
      </c>
      <c r="C247" s="1" t="s">
        <v>14</v>
      </c>
      <c r="D247">
        <v>47</v>
      </c>
      <c r="E247" s="1" t="s">
        <v>64</v>
      </c>
      <c r="F247" s="1" t="s">
        <v>24</v>
      </c>
      <c r="G247" s="1" t="s">
        <v>82</v>
      </c>
      <c r="H247">
        <v>18</v>
      </c>
      <c r="I247" s="1" t="s">
        <v>76</v>
      </c>
      <c r="J247">
        <v>3.4</v>
      </c>
      <c r="K247" s="1" t="s">
        <v>19</v>
      </c>
      <c r="L247">
        <v>60</v>
      </c>
    </row>
    <row r="248" spans="1:12" x14ac:dyDescent="0.3">
      <c r="A248" s="1" t="s">
        <v>587</v>
      </c>
      <c r="B248" s="1" t="s">
        <v>588</v>
      </c>
      <c r="C248" s="1" t="s">
        <v>14</v>
      </c>
      <c r="D248">
        <v>41</v>
      </c>
      <c r="E248" s="1" t="s">
        <v>70</v>
      </c>
      <c r="F248" s="1" t="s">
        <v>71</v>
      </c>
      <c r="G248" s="1" t="s">
        <v>17</v>
      </c>
      <c r="H248">
        <v>4</v>
      </c>
      <c r="I248" s="1" t="s">
        <v>76</v>
      </c>
      <c r="J248">
        <v>2.7</v>
      </c>
      <c r="K248" s="1" t="s">
        <v>27</v>
      </c>
      <c r="L248">
        <v>70</v>
      </c>
    </row>
    <row r="249" spans="1:12" x14ac:dyDescent="0.3">
      <c r="A249" s="1" t="s">
        <v>589</v>
      </c>
      <c r="B249" s="1" t="s">
        <v>590</v>
      </c>
      <c r="C249" s="1" t="s">
        <v>30</v>
      </c>
      <c r="D249">
        <v>58</v>
      </c>
      <c r="E249" s="1" t="s">
        <v>80</v>
      </c>
      <c r="F249" s="1" t="s">
        <v>81</v>
      </c>
      <c r="G249" s="1" t="s">
        <v>39</v>
      </c>
      <c r="H249">
        <v>23</v>
      </c>
      <c r="I249" s="1" t="s">
        <v>65</v>
      </c>
      <c r="J249">
        <v>4.9000000000000004</v>
      </c>
      <c r="K249" s="1" t="s">
        <v>51</v>
      </c>
    </row>
    <row r="250" spans="1:12" x14ac:dyDescent="0.3">
      <c r="A250" s="1" t="s">
        <v>591</v>
      </c>
      <c r="B250" s="1" t="s">
        <v>592</v>
      </c>
      <c r="C250" s="1" t="s">
        <v>54</v>
      </c>
      <c r="D250">
        <v>34</v>
      </c>
      <c r="E250" s="1" t="s">
        <v>186</v>
      </c>
      <c r="F250" s="1" t="s">
        <v>187</v>
      </c>
      <c r="G250" s="1" t="s">
        <v>57</v>
      </c>
      <c r="H250">
        <v>6</v>
      </c>
      <c r="I250" s="1" t="s">
        <v>92</v>
      </c>
      <c r="J250">
        <v>1.9</v>
      </c>
      <c r="K250" s="1" t="s">
        <v>27</v>
      </c>
      <c r="L250">
        <v>0.81</v>
      </c>
    </row>
    <row r="251" spans="1:12" x14ac:dyDescent="0.3">
      <c r="A251" s="1" t="s">
        <v>593</v>
      </c>
      <c r="B251" s="1" t="s">
        <v>594</v>
      </c>
      <c r="C251" s="1" t="s">
        <v>14</v>
      </c>
      <c r="D251">
        <v>50</v>
      </c>
      <c r="E251" s="1" t="s">
        <v>103</v>
      </c>
      <c r="F251" s="1" t="s">
        <v>104</v>
      </c>
      <c r="G251" s="1" t="s">
        <v>25</v>
      </c>
      <c r="H251">
        <v>5</v>
      </c>
      <c r="I251" s="1" t="s">
        <v>18</v>
      </c>
      <c r="K251" s="1" t="s">
        <v>27</v>
      </c>
    </row>
    <row r="252" spans="1:12" x14ac:dyDescent="0.3">
      <c r="A252" s="1" t="s">
        <v>595</v>
      </c>
      <c r="B252" s="1" t="s">
        <v>596</v>
      </c>
      <c r="C252" s="1" t="s">
        <v>14</v>
      </c>
      <c r="D252">
        <v>42</v>
      </c>
      <c r="E252" s="1" t="s">
        <v>190</v>
      </c>
      <c r="F252" s="1" t="s">
        <v>81</v>
      </c>
      <c r="G252" s="1" t="s">
        <v>99</v>
      </c>
      <c r="H252">
        <v>19</v>
      </c>
      <c r="I252" s="1" t="s">
        <v>58</v>
      </c>
      <c r="J252">
        <v>4.5999999999999996</v>
      </c>
      <c r="K252" s="1" t="s">
        <v>19</v>
      </c>
      <c r="L252">
        <v>0.78</v>
      </c>
    </row>
    <row r="253" spans="1:12" x14ac:dyDescent="0.3">
      <c r="A253" s="1" t="s">
        <v>597</v>
      </c>
      <c r="B253" s="1" t="s">
        <v>598</v>
      </c>
      <c r="C253" s="1" t="s">
        <v>102</v>
      </c>
      <c r="D253">
        <v>43</v>
      </c>
      <c r="E253" s="1" t="s">
        <v>31</v>
      </c>
      <c r="F253" s="1" t="s">
        <v>32</v>
      </c>
      <c r="G253" s="1" t="s">
        <v>82</v>
      </c>
      <c r="H253">
        <v>6</v>
      </c>
      <c r="I253" s="1" t="s">
        <v>34</v>
      </c>
      <c r="J253">
        <v>0</v>
      </c>
      <c r="K253" s="1" t="s">
        <v>19</v>
      </c>
      <c r="L253">
        <v>81</v>
      </c>
    </row>
    <row r="254" spans="1:12" x14ac:dyDescent="0.3">
      <c r="A254" s="1" t="s">
        <v>599</v>
      </c>
      <c r="B254" s="1" t="s">
        <v>600</v>
      </c>
      <c r="C254" s="1" t="s">
        <v>107</v>
      </c>
      <c r="D254">
        <v>34</v>
      </c>
      <c r="E254" s="1" t="s">
        <v>31</v>
      </c>
      <c r="F254" s="1" t="s">
        <v>32</v>
      </c>
      <c r="G254" s="1" t="s">
        <v>57</v>
      </c>
      <c r="H254">
        <v>8</v>
      </c>
      <c r="I254" s="1" t="s">
        <v>92</v>
      </c>
      <c r="J254">
        <v>1.8</v>
      </c>
      <c r="K254" s="1" t="s">
        <v>27</v>
      </c>
      <c r="L254">
        <v>0.71</v>
      </c>
    </row>
    <row r="255" spans="1:12" x14ac:dyDescent="0.3">
      <c r="A255" s="1" t="s">
        <v>601</v>
      </c>
      <c r="B255" s="1" t="s">
        <v>602</v>
      </c>
      <c r="C255" s="1" t="s">
        <v>107</v>
      </c>
      <c r="D255">
        <v>24</v>
      </c>
      <c r="E255" s="1" t="s">
        <v>201</v>
      </c>
      <c r="F255" s="1" t="s">
        <v>81</v>
      </c>
      <c r="G255" s="1" t="s">
        <v>25</v>
      </c>
      <c r="H255">
        <v>3</v>
      </c>
      <c r="I255" s="1" t="s">
        <v>92</v>
      </c>
      <c r="J255">
        <v>2</v>
      </c>
      <c r="K255" s="1" t="s">
        <v>51</v>
      </c>
    </row>
    <row r="256" spans="1:12" x14ac:dyDescent="0.3">
      <c r="A256" s="1" t="s">
        <v>603</v>
      </c>
      <c r="B256" s="1" t="s">
        <v>604</v>
      </c>
      <c r="C256" s="1" t="s">
        <v>54</v>
      </c>
      <c r="D256">
        <v>48</v>
      </c>
      <c r="E256" s="1" t="s">
        <v>164</v>
      </c>
      <c r="F256" s="1" t="s">
        <v>165</v>
      </c>
      <c r="G256" s="1" t="s">
        <v>82</v>
      </c>
      <c r="H256">
        <v>8</v>
      </c>
      <c r="I256" s="1" t="s">
        <v>44</v>
      </c>
      <c r="J256">
        <v>5</v>
      </c>
      <c r="K256" s="1" t="s">
        <v>27</v>
      </c>
      <c r="L256">
        <v>0.99</v>
      </c>
    </row>
    <row r="257" spans="1:12" x14ac:dyDescent="0.3">
      <c r="A257" s="1" t="s">
        <v>605</v>
      </c>
      <c r="B257" s="1" t="s">
        <v>606</v>
      </c>
      <c r="C257" s="1" t="s">
        <v>38</v>
      </c>
      <c r="D257">
        <v>39</v>
      </c>
      <c r="E257" s="1" t="s">
        <v>122</v>
      </c>
      <c r="F257" s="1" t="s">
        <v>123</v>
      </c>
      <c r="G257" s="1" t="s">
        <v>57</v>
      </c>
      <c r="H257">
        <v>12</v>
      </c>
      <c r="I257" s="1" t="s">
        <v>131</v>
      </c>
      <c r="J257">
        <v>3.2</v>
      </c>
      <c r="K257" s="1" t="s">
        <v>66</v>
      </c>
      <c r="L257">
        <v>0.66</v>
      </c>
    </row>
    <row r="258" spans="1:12" x14ac:dyDescent="0.3">
      <c r="A258" s="1" t="s">
        <v>607</v>
      </c>
      <c r="B258" s="1" t="s">
        <v>608</v>
      </c>
      <c r="C258" s="1" t="s">
        <v>38</v>
      </c>
      <c r="D258">
        <v>57</v>
      </c>
      <c r="E258" s="1" t="s">
        <v>23</v>
      </c>
      <c r="F258" s="1" t="s">
        <v>24</v>
      </c>
      <c r="G258" s="1" t="s">
        <v>17</v>
      </c>
      <c r="H258">
        <v>30</v>
      </c>
      <c r="I258" s="1" t="s">
        <v>50</v>
      </c>
      <c r="J258">
        <v>2.4</v>
      </c>
      <c r="K258" s="1" t="s">
        <v>65</v>
      </c>
      <c r="L258">
        <v>0.8</v>
      </c>
    </row>
    <row r="259" spans="1:12" x14ac:dyDescent="0.3">
      <c r="A259" s="1" t="s">
        <v>609</v>
      </c>
      <c r="B259" s="1" t="s">
        <v>610</v>
      </c>
      <c r="C259" s="1" t="s">
        <v>22</v>
      </c>
      <c r="D259">
        <v>44</v>
      </c>
      <c r="E259" s="1" t="s">
        <v>138</v>
      </c>
      <c r="F259" s="1" t="s">
        <v>24</v>
      </c>
      <c r="G259" s="1" t="s">
        <v>39</v>
      </c>
      <c r="H259">
        <v>21</v>
      </c>
      <c r="I259" s="1" t="s">
        <v>18</v>
      </c>
      <c r="J259">
        <v>2.9</v>
      </c>
      <c r="K259" s="1" t="s">
        <v>19</v>
      </c>
      <c r="L259">
        <v>0.83</v>
      </c>
    </row>
    <row r="260" spans="1:12" x14ac:dyDescent="0.3">
      <c r="A260" s="1" t="s">
        <v>611</v>
      </c>
      <c r="B260" s="1" t="s">
        <v>612</v>
      </c>
      <c r="C260" s="1" t="s">
        <v>30</v>
      </c>
      <c r="D260">
        <v>37</v>
      </c>
      <c r="E260" s="1" t="s">
        <v>117</v>
      </c>
      <c r="F260" s="1" t="s">
        <v>118</v>
      </c>
      <c r="G260" s="1" t="s">
        <v>82</v>
      </c>
      <c r="H260">
        <v>17</v>
      </c>
      <c r="I260" s="1" t="s">
        <v>325</v>
      </c>
      <c r="J260">
        <v>0</v>
      </c>
      <c r="K260" s="1" t="s">
        <v>77</v>
      </c>
      <c r="L260">
        <v>87</v>
      </c>
    </row>
    <row r="261" spans="1:12" x14ac:dyDescent="0.3">
      <c r="A261" s="1" t="s">
        <v>613</v>
      </c>
      <c r="B261" s="1" t="s">
        <v>614</v>
      </c>
      <c r="C261" s="1" t="s">
        <v>107</v>
      </c>
      <c r="D261">
        <v>50</v>
      </c>
      <c r="E261" s="1" t="s">
        <v>70</v>
      </c>
      <c r="F261" s="1" t="s">
        <v>71</v>
      </c>
      <c r="G261" s="1" t="s">
        <v>57</v>
      </c>
      <c r="H261">
        <v>9</v>
      </c>
      <c r="I261" s="1" t="s">
        <v>44</v>
      </c>
      <c r="J261">
        <v>3</v>
      </c>
      <c r="K261" s="1" t="s">
        <v>19</v>
      </c>
      <c r="L261">
        <v>76</v>
      </c>
    </row>
    <row r="262" spans="1:12" x14ac:dyDescent="0.3">
      <c r="A262" s="1" t="s">
        <v>615</v>
      </c>
      <c r="B262" s="1" t="s">
        <v>616</v>
      </c>
      <c r="C262" s="1" t="s">
        <v>107</v>
      </c>
      <c r="D262">
        <v>50</v>
      </c>
      <c r="E262" s="1" t="s">
        <v>201</v>
      </c>
      <c r="F262" s="1" t="s">
        <v>81</v>
      </c>
      <c r="G262" s="1" t="s">
        <v>82</v>
      </c>
      <c r="H262">
        <v>2</v>
      </c>
      <c r="I262" s="1" t="s">
        <v>34</v>
      </c>
      <c r="J262">
        <v>1.6</v>
      </c>
      <c r="K262" s="1" t="s">
        <v>170</v>
      </c>
      <c r="L262">
        <v>0.89</v>
      </c>
    </row>
    <row r="263" spans="1:12" x14ac:dyDescent="0.3">
      <c r="A263" s="1" t="s">
        <v>617</v>
      </c>
      <c r="B263" s="1" t="s">
        <v>618</v>
      </c>
      <c r="C263" s="1" t="s">
        <v>86</v>
      </c>
      <c r="D263">
        <v>28</v>
      </c>
      <c r="E263" s="1" t="s">
        <v>145</v>
      </c>
      <c r="F263" s="1" t="s">
        <v>146</v>
      </c>
      <c r="G263" s="1" t="s">
        <v>33</v>
      </c>
      <c r="H263">
        <v>1</v>
      </c>
      <c r="I263" s="1" t="s">
        <v>151</v>
      </c>
      <c r="J263">
        <v>3.6</v>
      </c>
      <c r="K263" s="1" t="s">
        <v>77</v>
      </c>
      <c r="L263">
        <v>0.94</v>
      </c>
    </row>
    <row r="264" spans="1:12" x14ac:dyDescent="0.3">
      <c r="A264" s="1" t="s">
        <v>619</v>
      </c>
      <c r="B264" s="1" t="s">
        <v>620</v>
      </c>
      <c r="C264" s="1" t="s">
        <v>107</v>
      </c>
      <c r="D264">
        <v>48</v>
      </c>
      <c r="E264" s="1" t="s">
        <v>15</v>
      </c>
      <c r="F264" s="1" t="s">
        <v>16</v>
      </c>
      <c r="G264" s="1" t="s">
        <v>39</v>
      </c>
      <c r="H264">
        <v>23</v>
      </c>
      <c r="I264" s="1" t="s">
        <v>65</v>
      </c>
      <c r="J264">
        <v>2.1</v>
      </c>
      <c r="K264" s="1" t="s">
        <v>19</v>
      </c>
      <c r="L264">
        <v>0.68</v>
      </c>
    </row>
    <row r="265" spans="1:12" x14ac:dyDescent="0.3">
      <c r="A265" s="1" t="s">
        <v>621</v>
      </c>
      <c r="B265" s="1" t="s">
        <v>622</v>
      </c>
      <c r="C265" s="1" t="s">
        <v>107</v>
      </c>
      <c r="D265">
        <v>42</v>
      </c>
      <c r="E265" s="1" t="s">
        <v>31</v>
      </c>
      <c r="F265" s="1" t="s">
        <v>32</v>
      </c>
      <c r="G265" s="1" t="s">
        <v>99</v>
      </c>
      <c r="H265">
        <v>8</v>
      </c>
      <c r="I265" s="1" t="s">
        <v>44</v>
      </c>
      <c r="J265">
        <v>3.6</v>
      </c>
      <c r="K265" s="1" t="s">
        <v>27</v>
      </c>
      <c r="L265">
        <v>0.96</v>
      </c>
    </row>
    <row r="266" spans="1:12" x14ac:dyDescent="0.3">
      <c r="A266" s="1" t="s">
        <v>623</v>
      </c>
      <c r="B266" s="1" t="s">
        <v>624</v>
      </c>
      <c r="C266" s="1" t="s">
        <v>86</v>
      </c>
      <c r="D266">
        <v>37</v>
      </c>
      <c r="E266" s="1" t="s">
        <v>138</v>
      </c>
      <c r="F266" s="1" t="s">
        <v>24</v>
      </c>
      <c r="G266" s="1" t="s">
        <v>57</v>
      </c>
      <c r="H266">
        <v>6</v>
      </c>
      <c r="I266" s="1" t="s">
        <v>131</v>
      </c>
      <c r="J266">
        <v>2.7</v>
      </c>
      <c r="K266" s="1" t="s">
        <v>66</v>
      </c>
      <c r="L266">
        <v>0.91</v>
      </c>
    </row>
    <row r="267" spans="1:12" x14ac:dyDescent="0.3">
      <c r="A267" s="1" t="s">
        <v>625</v>
      </c>
      <c r="B267" s="1" t="s">
        <v>626</v>
      </c>
      <c r="C267" s="1" t="s">
        <v>107</v>
      </c>
      <c r="D267">
        <v>21</v>
      </c>
      <c r="E267" s="1" t="s">
        <v>103</v>
      </c>
      <c r="F267" s="1" t="s">
        <v>104</v>
      </c>
      <c r="G267" s="1" t="s">
        <v>17</v>
      </c>
      <c r="H267">
        <v>1</v>
      </c>
      <c r="I267" s="1" t="s">
        <v>18</v>
      </c>
      <c r="J267">
        <v>2.1</v>
      </c>
      <c r="K267" s="1" t="s">
        <v>27</v>
      </c>
      <c r="L267">
        <v>0.92</v>
      </c>
    </row>
    <row r="268" spans="1:12" x14ac:dyDescent="0.3">
      <c r="A268" s="1" t="s">
        <v>627</v>
      </c>
      <c r="B268" s="1" t="s">
        <v>628</v>
      </c>
      <c r="C268" s="1" t="s">
        <v>69</v>
      </c>
      <c r="D268">
        <v>50</v>
      </c>
      <c r="E268" s="1" t="s">
        <v>122</v>
      </c>
      <c r="F268" s="1" t="s">
        <v>123</v>
      </c>
      <c r="G268" s="1" t="s">
        <v>39</v>
      </c>
      <c r="H268">
        <v>19</v>
      </c>
      <c r="I268" s="1" t="s">
        <v>40</v>
      </c>
      <c r="J268">
        <v>4.9000000000000004</v>
      </c>
      <c r="K268" s="1" t="s">
        <v>65</v>
      </c>
      <c r="L268">
        <v>0.82</v>
      </c>
    </row>
    <row r="269" spans="1:12" x14ac:dyDescent="0.3">
      <c r="A269" s="1" t="s">
        <v>629</v>
      </c>
      <c r="B269" s="1" t="s">
        <v>630</v>
      </c>
      <c r="C269" s="1" t="s">
        <v>38</v>
      </c>
      <c r="D269">
        <v>22</v>
      </c>
      <c r="E269" s="1" t="s">
        <v>80</v>
      </c>
      <c r="F269" s="1" t="s">
        <v>81</v>
      </c>
      <c r="G269" s="1" t="s">
        <v>49</v>
      </c>
      <c r="H269">
        <v>2</v>
      </c>
      <c r="I269" s="1" t="s">
        <v>44</v>
      </c>
      <c r="J269">
        <v>2.1</v>
      </c>
      <c r="K269" s="1" t="s">
        <v>65</v>
      </c>
    </row>
    <row r="270" spans="1:12" x14ac:dyDescent="0.3">
      <c r="A270" s="1" t="s">
        <v>631</v>
      </c>
      <c r="B270" s="1" t="s">
        <v>632</v>
      </c>
      <c r="C270" s="1" t="s">
        <v>86</v>
      </c>
      <c r="D270">
        <v>39</v>
      </c>
      <c r="E270" s="1" t="s">
        <v>95</v>
      </c>
      <c r="F270" s="1" t="s">
        <v>96</v>
      </c>
      <c r="G270" s="1" t="s">
        <v>39</v>
      </c>
      <c r="H270">
        <v>21</v>
      </c>
      <c r="I270" s="1" t="s">
        <v>18</v>
      </c>
      <c r="J270">
        <v>0</v>
      </c>
      <c r="K270" s="1" t="s">
        <v>170</v>
      </c>
      <c r="L270">
        <v>0.91</v>
      </c>
    </row>
    <row r="271" spans="1:12" x14ac:dyDescent="0.3">
      <c r="A271" s="1" t="s">
        <v>633</v>
      </c>
      <c r="B271" s="1" t="s">
        <v>634</v>
      </c>
      <c r="C271" s="1" t="s">
        <v>86</v>
      </c>
      <c r="D271">
        <v>25</v>
      </c>
      <c r="E271" s="1" t="s">
        <v>95</v>
      </c>
      <c r="F271" s="1" t="s">
        <v>96</v>
      </c>
      <c r="G271" s="1" t="s">
        <v>124</v>
      </c>
      <c r="H271">
        <v>3</v>
      </c>
      <c r="I271" s="1" t="s">
        <v>72</v>
      </c>
      <c r="J271">
        <v>2.8</v>
      </c>
      <c r="K271" s="1" t="s">
        <v>77</v>
      </c>
      <c r="L271">
        <v>86</v>
      </c>
    </row>
    <row r="272" spans="1:12" x14ac:dyDescent="0.3">
      <c r="A272" s="1" t="s">
        <v>635</v>
      </c>
      <c r="B272" s="1" t="s">
        <v>636</v>
      </c>
      <c r="C272" s="1" t="s">
        <v>22</v>
      </c>
      <c r="D272">
        <v>47</v>
      </c>
      <c r="E272" s="1" t="s">
        <v>164</v>
      </c>
      <c r="F272" s="1" t="s">
        <v>165</v>
      </c>
      <c r="G272" s="1" t="s">
        <v>25</v>
      </c>
      <c r="H272">
        <v>14</v>
      </c>
      <c r="I272" s="1" t="s">
        <v>65</v>
      </c>
      <c r="K272" s="1" t="s">
        <v>51</v>
      </c>
      <c r="L272">
        <v>0.69</v>
      </c>
    </row>
    <row r="273" spans="1:12" x14ac:dyDescent="0.3">
      <c r="A273" s="1" t="s">
        <v>637</v>
      </c>
      <c r="B273" s="1" t="s">
        <v>638</v>
      </c>
      <c r="C273" s="1" t="s">
        <v>14</v>
      </c>
      <c r="D273">
        <v>35</v>
      </c>
      <c r="E273" s="1" t="s">
        <v>164</v>
      </c>
      <c r="F273" s="1" t="s">
        <v>165</v>
      </c>
      <c r="G273" s="1" t="s">
        <v>82</v>
      </c>
      <c r="H273">
        <v>10</v>
      </c>
      <c r="I273" s="1" t="s">
        <v>26</v>
      </c>
      <c r="J273">
        <v>4.7</v>
      </c>
      <c r="K273" s="1" t="s">
        <v>66</v>
      </c>
      <c r="L273">
        <v>0.84</v>
      </c>
    </row>
    <row r="274" spans="1:12" x14ac:dyDescent="0.3">
      <c r="A274" s="1" t="s">
        <v>639</v>
      </c>
      <c r="B274" s="1" t="s">
        <v>640</v>
      </c>
      <c r="C274" s="1" t="s">
        <v>14</v>
      </c>
      <c r="E274" s="1" t="s">
        <v>75</v>
      </c>
      <c r="F274" s="1" t="s">
        <v>24</v>
      </c>
      <c r="G274" s="1" t="s">
        <v>87</v>
      </c>
      <c r="H274">
        <v>5</v>
      </c>
      <c r="I274" s="1" t="s">
        <v>18</v>
      </c>
      <c r="J274">
        <v>1.3</v>
      </c>
      <c r="K274" s="1" t="s">
        <v>19</v>
      </c>
      <c r="L274">
        <v>0.6</v>
      </c>
    </row>
    <row r="275" spans="1:12" x14ac:dyDescent="0.3">
      <c r="A275" s="1" t="s">
        <v>641</v>
      </c>
      <c r="B275" s="1" t="s">
        <v>642</v>
      </c>
      <c r="C275" s="1" t="s">
        <v>30</v>
      </c>
      <c r="D275">
        <v>35</v>
      </c>
      <c r="E275" s="1" t="s">
        <v>47</v>
      </c>
      <c r="F275" s="1" t="s">
        <v>48</v>
      </c>
      <c r="G275" s="1" t="s">
        <v>17</v>
      </c>
      <c r="H275">
        <v>6</v>
      </c>
      <c r="I275" s="1" t="s">
        <v>58</v>
      </c>
      <c r="J275">
        <v>1.6</v>
      </c>
      <c r="K275" s="1" t="s">
        <v>27</v>
      </c>
      <c r="L275">
        <v>0.97</v>
      </c>
    </row>
    <row r="276" spans="1:12" x14ac:dyDescent="0.3">
      <c r="A276" s="1" t="s">
        <v>643</v>
      </c>
      <c r="B276" s="1" t="s">
        <v>644</v>
      </c>
      <c r="C276" s="1" t="s">
        <v>107</v>
      </c>
      <c r="D276">
        <v>59</v>
      </c>
      <c r="E276" s="1" t="s">
        <v>145</v>
      </c>
      <c r="F276" s="1" t="s">
        <v>146</v>
      </c>
      <c r="G276" s="1" t="s">
        <v>39</v>
      </c>
      <c r="H276">
        <v>21</v>
      </c>
      <c r="I276" s="1" t="s">
        <v>18</v>
      </c>
      <c r="J276">
        <v>0</v>
      </c>
      <c r="K276" s="1" t="s">
        <v>65</v>
      </c>
      <c r="L276">
        <v>0.7</v>
      </c>
    </row>
    <row r="277" spans="1:12" x14ac:dyDescent="0.3">
      <c r="A277" s="1" t="s">
        <v>645</v>
      </c>
      <c r="B277" s="1" t="s">
        <v>646</v>
      </c>
      <c r="C277" s="1" t="s">
        <v>22</v>
      </c>
      <c r="D277">
        <v>26</v>
      </c>
      <c r="E277" s="1" t="s">
        <v>186</v>
      </c>
      <c r="F277" s="1" t="s">
        <v>187</v>
      </c>
      <c r="G277" s="1" t="s">
        <v>82</v>
      </c>
      <c r="H277">
        <v>4</v>
      </c>
      <c r="I277" s="1" t="s">
        <v>26</v>
      </c>
      <c r="J277">
        <v>3.6</v>
      </c>
      <c r="K277" s="1" t="s">
        <v>170</v>
      </c>
      <c r="L277">
        <v>0.81</v>
      </c>
    </row>
    <row r="278" spans="1:12" x14ac:dyDescent="0.3">
      <c r="A278" s="1" t="s">
        <v>647</v>
      </c>
      <c r="B278" s="1" t="s">
        <v>648</v>
      </c>
      <c r="C278" s="1" t="s">
        <v>69</v>
      </c>
      <c r="D278">
        <v>44</v>
      </c>
      <c r="E278" s="1" t="s">
        <v>134</v>
      </c>
      <c r="F278" s="1" t="s">
        <v>135</v>
      </c>
      <c r="G278" s="1" t="s">
        <v>124</v>
      </c>
      <c r="H278">
        <v>18</v>
      </c>
      <c r="I278" s="1" t="s">
        <v>151</v>
      </c>
      <c r="J278">
        <v>4.7</v>
      </c>
      <c r="K278" s="1" t="s">
        <v>27</v>
      </c>
      <c r="L278">
        <v>0.88</v>
      </c>
    </row>
    <row r="279" spans="1:12" x14ac:dyDescent="0.3">
      <c r="A279" s="1" t="s">
        <v>649</v>
      </c>
      <c r="B279" s="1" t="s">
        <v>650</v>
      </c>
      <c r="C279" s="1" t="s">
        <v>86</v>
      </c>
      <c r="D279">
        <v>31</v>
      </c>
      <c r="E279" s="1" t="s">
        <v>164</v>
      </c>
      <c r="F279" s="1" t="s">
        <v>165</v>
      </c>
      <c r="G279" s="1" t="s">
        <v>82</v>
      </c>
      <c r="H279">
        <v>12</v>
      </c>
      <c r="I279" s="1" t="s">
        <v>40</v>
      </c>
      <c r="K279" s="1" t="s">
        <v>27</v>
      </c>
      <c r="L279">
        <v>1</v>
      </c>
    </row>
    <row r="280" spans="1:12" x14ac:dyDescent="0.3">
      <c r="A280" s="1" t="s">
        <v>651</v>
      </c>
      <c r="B280" s="1" t="s">
        <v>652</v>
      </c>
      <c r="C280" s="1" t="s">
        <v>30</v>
      </c>
      <c r="D280">
        <v>60</v>
      </c>
      <c r="E280" s="1" t="s">
        <v>70</v>
      </c>
      <c r="F280" s="1" t="s">
        <v>71</v>
      </c>
      <c r="G280" s="1" t="s">
        <v>57</v>
      </c>
      <c r="H280">
        <v>6</v>
      </c>
      <c r="I280" s="1" t="s">
        <v>65</v>
      </c>
      <c r="J280">
        <v>3.2</v>
      </c>
      <c r="K280" s="1" t="s">
        <v>19</v>
      </c>
      <c r="L280">
        <v>95</v>
      </c>
    </row>
    <row r="281" spans="1:12" x14ac:dyDescent="0.3">
      <c r="A281" s="1" t="s">
        <v>653</v>
      </c>
      <c r="B281" s="1" t="s">
        <v>654</v>
      </c>
      <c r="C281" s="1" t="s">
        <v>43</v>
      </c>
      <c r="D281">
        <v>23</v>
      </c>
      <c r="E281" s="1" t="s">
        <v>75</v>
      </c>
      <c r="F281" s="1" t="s">
        <v>24</v>
      </c>
      <c r="G281" s="1" t="s">
        <v>17</v>
      </c>
      <c r="H281">
        <v>4</v>
      </c>
      <c r="I281" s="1" t="s">
        <v>325</v>
      </c>
      <c r="K281" s="1" t="s">
        <v>19</v>
      </c>
      <c r="L281">
        <v>0.71</v>
      </c>
    </row>
    <row r="282" spans="1:12" x14ac:dyDescent="0.3">
      <c r="A282" s="1" t="s">
        <v>655</v>
      </c>
      <c r="B282" s="1" t="s">
        <v>656</v>
      </c>
      <c r="C282" s="1" t="s">
        <v>102</v>
      </c>
      <c r="D282">
        <v>42</v>
      </c>
      <c r="E282" s="1" t="s">
        <v>55</v>
      </c>
      <c r="F282" s="1" t="s">
        <v>56</v>
      </c>
      <c r="G282" s="1" t="s">
        <v>82</v>
      </c>
      <c r="H282">
        <v>13</v>
      </c>
      <c r="I282" s="1" t="s">
        <v>131</v>
      </c>
      <c r="J282">
        <v>4.7</v>
      </c>
      <c r="K282" s="1" t="s">
        <v>35</v>
      </c>
      <c r="L282">
        <v>0.85</v>
      </c>
    </row>
    <row r="283" spans="1:12" x14ac:dyDescent="0.3">
      <c r="A283" s="1" t="s">
        <v>657</v>
      </c>
      <c r="B283" s="1" t="s">
        <v>658</v>
      </c>
      <c r="C283" s="1" t="s">
        <v>14</v>
      </c>
      <c r="D283">
        <v>48</v>
      </c>
      <c r="E283" s="1" t="s">
        <v>103</v>
      </c>
      <c r="F283" s="1" t="s">
        <v>104</v>
      </c>
      <c r="G283" s="1" t="s">
        <v>25</v>
      </c>
      <c r="H283">
        <v>6</v>
      </c>
      <c r="I283" s="1" t="s">
        <v>44</v>
      </c>
      <c r="K283" s="1" t="s">
        <v>35</v>
      </c>
      <c r="L283">
        <v>0.96</v>
      </c>
    </row>
    <row r="284" spans="1:12" x14ac:dyDescent="0.3">
      <c r="A284" s="1" t="s">
        <v>659</v>
      </c>
      <c r="B284" s="1" t="s">
        <v>660</v>
      </c>
      <c r="C284" s="1" t="s">
        <v>54</v>
      </c>
      <c r="D284">
        <v>42</v>
      </c>
      <c r="E284" s="1" t="s">
        <v>47</v>
      </c>
      <c r="F284" s="1" t="s">
        <v>48</v>
      </c>
      <c r="G284" s="1" t="s">
        <v>33</v>
      </c>
      <c r="H284">
        <v>10</v>
      </c>
      <c r="I284" s="1" t="s">
        <v>325</v>
      </c>
      <c r="J284">
        <v>2.4</v>
      </c>
      <c r="K284" s="1" t="s">
        <v>83</v>
      </c>
      <c r="L284">
        <v>0.92</v>
      </c>
    </row>
    <row r="285" spans="1:12" x14ac:dyDescent="0.3">
      <c r="A285" s="1" t="s">
        <v>661</v>
      </c>
      <c r="B285" s="1" t="s">
        <v>662</v>
      </c>
      <c r="C285" s="1" t="s">
        <v>102</v>
      </c>
      <c r="D285">
        <v>52</v>
      </c>
      <c r="E285" s="1" t="s">
        <v>122</v>
      </c>
      <c r="F285" s="1" t="s">
        <v>123</v>
      </c>
      <c r="G285" s="1" t="s">
        <v>87</v>
      </c>
      <c r="H285">
        <v>20</v>
      </c>
      <c r="I285" s="1" t="s">
        <v>34</v>
      </c>
      <c r="K285" s="1" t="s">
        <v>51</v>
      </c>
      <c r="L285">
        <v>0.79</v>
      </c>
    </row>
    <row r="286" spans="1:12" x14ac:dyDescent="0.3">
      <c r="A286" s="1" t="s">
        <v>663</v>
      </c>
      <c r="B286" s="1" t="s">
        <v>664</v>
      </c>
      <c r="C286" s="1" t="s">
        <v>43</v>
      </c>
      <c r="D286">
        <v>55</v>
      </c>
      <c r="E286" s="1" t="s">
        <v>95</v>
      </c>
      <c r="F286" s="1" t="s">
        <v>96</v>
      </c>
      <c r="G286" s="1" t="s">
        <v>39</v>
      </c>
      <c r="H286">
        <v>20</v>
      </c>
      <c r="I286" s="1" t="s">
        <v>92</v>
      </c>
      <c r="J286">
        <v>2.9</v>
      </c>
      <c r="K286" s="1" t="s">
        <v>51</v>
      </c>
    </row>
    <row r="287" spans="1:12" x14ac:dyDescent="0.3">
      <c r="A287" s="1" t="s">
        <v>665</v>
      </c>
      <c r="B287" s="1" t="s">
        <v>666</v>
      </c>
      <c r="C287" s="1" t="s">
        <v>14</v>
      </c>
      <c r="D287">
        <v>58</v>
      </c>
      <c r="E287" s="1" t="s">
        <v>164</v>
      </c>
      <c r="F287" s="1" t="s">
        <v>165</v>
      </c>
      <c r="G287" s="1" t="s">
        <v>87</v>
      </c>
      <c r="H287">
        <v>11</v>
      </c>
      <c r="I287" s="1" t="s">
        <v>34</v>
      </c>
      <c r="J287">
        <v>0</v>
      </c>
      <c r="K287" s="1" t="s">
        <v>19</v>
      </c>
    </row>
    <row r="288" spans="1:12" x14ac:dyDescent="0.3">
      <c r="A288" s="1" t="s">
        <v>667</v>
      </c>
      <c r="B288" s="1" t="s">
        <v>668</v>
      </c>
      <c r="C288" s="1" t="s">
        <v>22</v>
      </c>
      <c r="D288">
        <v>46</v>
      </c>
      <c r="E288" s="1" t="s">
        <v>122</v>
      </c>
      <c r="F288" s="1" t="s">
        <v>123</v>
      </c>
      <c r="G288" s="1" t="s">
        <v>124</v>
      </c>
      <c r="H288">
        <v>12</v>
      </c>
      <c r="I288" s="1" t="s">
        <v>151</v>
      </c>
      <c r="J288">
        <v>0</v>
      </c>
      <c r="K288" s="1" t="s">
        <v>51</v>
      </c>
      <c r="L288">
        <v>0.89</v>
      </c>
    </row>
    <row r="289" spans="1:12" x14ac:dyDescent="0.3">
      <c r="A289" s="1" t="s">
        <v>669</v>
      </c>
      <c r="B289" s="1" t="s">
        <v>670</v>
      </c>
      <c r="C289" s="1" t="s">
        <v>22</v>
      </c>
      <c r="D289">
        <v>45</v>
      </c>
      <c r="E289" s="1" t="s">
        <v>201</v>
      </c>
      <c r="F289" s="1" t="s">
        <v>81</v>
      </c>
      <c r="G289" s="1" t="s">
        <v>124</v>
      </c>
      <c r="H289">
        <v>1</v>
      </c>
      <c r="I289" s="1" t="s">
        <v>18</v>
      </c>
      <c r="J289">
        <v>1.5</v>
      </c>
      <c r="K289" s="1" t="s">
        <v>27</v>
      </c>
      <c r="L289">
        <v>1</v>
      </c>
    </row>
    <row r="290" spans="1:12" x14ac:dyDescent="0.3">
      <c r="A290" s="1" t="s">
        <v>671</v>
      </c>
      <c r="B290" s="1" t="s">
        <v>672</v>
      </c>
      <c r="C290" s="1" t="s">
        <v>22</v>
      </c>
      <c r="D290">
        <v>56</v>
      </c>
      <c r="E290" s="1" t="s">
        <v>103</v>
      </c>
      <c r="F290" s="1" t="s">
        <v>104</v>
      </c>
      <c r="G290" s="1" t="s">
        <v>124</v>
      </c>
      <c r="H290">
        <v>2</v>
      </c>
      <c r="I290" s="1" t="s">
        <v>44</v>
      </c>
      <c r="J290">
        <v>1.9</v>
      </c>
      <c r="K290" s="1" t="s">
        <v>27</v>
      </c>
      <c r="L290">
        <v>0.81</v>
      </c>
    </row>
    <row r="291" spans="1:12" x14ac:dyDescent="0.3">
      <c r="A291" s="1" t="s">
        <v>673</v>
      </c>
      <c r="B291" s="1" t="s">
        <v>674</v>
      </c>
      <c r="C291" s="1" t="s">
        <v>30</v>
      </c>
      <c r="D291">
        <v>44</v>
      </c>
      <c r="E291" s="1" t="s">
        <v>75</v>
      </c>
      <c r="F291" s="1" t="s">
        <v>24</v>
      </c>
      <c r="G291" s="1" t="s">
        <v>17</v>
      </c>
      <c r="H291">
        <v>13</v>
      </c>
      <c r="I291" s="1" t="s">
        <v>18</v>
      </c>
      <c r="J291">
        <v>3.1</v>
      </c>
      <c r="K291" s="1" t="s">
        <v>83</v>
      </c>
      <c r="L291">
        <v>95</v>
      </c>
    </row>
    <row r="292" spans="1:12" x14ac:dyDescent="0.3">
      <c r="A292" s="1" t="s">
        <v>675</v>
      </c>
      <c r="B292" s="1" t="s">
        <v>676</v>
      </c>
      <c r="C292" s="1" t="s">
        <v>107</v>
      </c>
      <c r="D292">
        <v>46</v>
      </c>
      <c r="E292" s="1" t="s">
        <v>55</v>
      </c>
      <c r="F292" s="1" t="s">
        <v>56</v>
      </c>
      <c r="G292" s="1" t="s">
        <v>82</v>
      </c>
      <c r="H292">
        <v>0</v>
      </c>
      <c r="I292" s="1" t="s">
        <v>65</v>
      </c>
      <c r="J292">
        <v>1.8</v>
      </c>
      <c r="K292" s="1" t="s">
        <v>35</v>
      </c>
      <c r="L292">
        <v>0.88</v>
      </c>
    </row>
    <row r="293" spans="1:12" x14ac:dyDescent="0.3">
      <c r="A293" s="1" t="s">
        <v>677</v>
      </c>
      <c r="B293" s="1" t="s">
        <v>678</v>
      </c>
      <c r="C293" s="1" t="s">
        <v>86</v>
      </c>
      <c r="D293">
        <v>27</v>
      </c>
      <c r="E293" s="1" t="s">
        <v>95</v>
      </c>
      <c r="F293" s="1" t="s">
        <v>96</v>
      </c>
      <c r="G293" s="1" t="s">
        <v>39</v>
      </c>
      <c r="H293">
        <v>7</v>
      </c>
      <c r="I293" s="1" t="s">
        <v>44</v>
      </c>
      <c r="J293">
        <v>2.4</v>
      </c>
      <c r="K293" s="1" t="s">
        <v>77</v>
      </c>
      <c r="L293">
        <v>0.66</v>
      </c>
    </row>
    <row r="294" spans="1:12" x14ac:dyDescent="0.3">
      <c r="A294" s="1" t="s">
        <v>679</v>
      </c>
      <c r="B294" s="1" t="s">
        <v>680</v>
      </c>
      <c r="C294" s="1" t="s">
        <v>22</v>
      </c>
      <c r="D294">
        <v>49</v>
      </c>
      <c r="E294" s="1" t="s">
        <v>103</v>
      </c>
      <c r="F294" s="1" t="s">
        <v>104</v>
      </c>
      <c r="G294" s="1" t="s">
        <v>17</v>
      </c>
      <c r="H294">
        <v>13</v>
      </c>
      <c r="I294" s="1" t="s">
        <v>18</v>
      </c>
      <c r="J294">
        <v>4.2</v>
      </c>
      <c r="K294" s="1" t="s">
        <v>27</v>
      </c>
      <c r="L294">
        <v>0.84</v>
      </c>
    </row>
    <row r="295" spans="1:12" x14ac:dyDescent="0.3">
      <c r="A295" s="1" t="s">
        <v>681</v>
      </c>
      <c r="B295" s="1" t="s">
        <v>682</v>
      </c>
      <c r="C295" s="1" t="s">
        <v>107</v>
      </c>
      <c r="D295">
        <v>53</v>
      </c>
      <c r="E295" s="1" t="s">
        <v>190</v>
      </c>
      <c r="F295" s="1" t="s">
        <v>81</v>
      </c>
      <c r="G295" s="1" t="s">
        <v>39</v>
      </c>
      <c r="H295">
        <v>21</v>
      </c>
      <c r="I295" s="1" t="s">
        <v>72</v>
      </c>
      <c r="J295">
        <v>1.4</v>
      </c>
      <c r="K295" s="1" t="s">
        <v>35</v>
      </c>
    </row>
    <row r="296" spans="1:12" x14ac:dyDescent="0.3">
      <c r="A296" s="1" t="s">
        <v>683</v>
      </c>
      <c r="B296" s="1" t="s">
        <v>684</v>
      </c>
      <c r="C296" s="1" t="s">
        <v>107</v>
      </c>
      <c r="D296">
        <v>56</v>
      </c>
      <c r="E296" s="1" t="s">
        <v>23</v>
      </c>
      <c r="F296" s="1" t="s">
        <v>24</v>
      </c>
      <c r="G296" s="1" t="s">
        <v>39</v>
      </c>
      <c r="H296">
        <v>19</v>
      </c>
      <c r="I296" s="1" t="s">
        <v>76</v>
      </c>
      <c r="J296">
        <v>1.2</v>
      </c>
      <c r="K296" s="1" t="s">
        <v>83</v>
      </c>
      <c r="L296">
        <v>0.82</v>
      </c>
    </row>
    <row r="297" spans="1:12" x14ac:dyDescent="0.3">
      <c r="A297" s="1" t="s">
        <v>685</v>
      </c>
      <c r="B297" s="1" t="s">
        <v>686</v>
      </c>
      <c r="C297" s="1" t="s">
        <v>22</v>
      </c>
      <c r="D297">
        <v>56</v>
      </c>
      <c r="E297" s="1" t="s">
        <v>75</v>
      </c>
      <c r="F297" s="1" t="s">
        <v>24</v>
      </c>
      <c r="G297" s="1" t="s">
        <v>99</v>
      </c>
      <c r="H297">
        <v>34</v>
      </c>
      <c r="I297" s="1" t="s">
        <v>65</v>
      </c>
      <c r="J297">
        <v>2.1</v>
      </c>
      <c r="K297" s="1" t="s">
        <v>77</v>
      </c>
      <c r="L297">
        <v>0.84</v>
      </c>
    </row>
    <row r="298" spans="1:12" x14ac:dyDescent="0.3">
      <c r="A298" s="1" t="s">
        <v>687</v>
      </c>
      <c r="B298" s="1" t="s">
        <v>688</v>
      </c>
      <c r="C298" s="1" t="s">
        <v>69</v>
      </c>
      <c r="D298">
        <v>38</v>
      </c>
      <c r="E298" s="1" t="s">
        <v>164</v>
      </c>
      <c r="F298" s="1" t="s">
        <v>165</v>
      </c>
      <c r="G298" s="1" t="s">
        <v>57</v>
      </c>
      <c r="H298">
        <v>3</v>
      </c>
      <c r="I298" s="1" t="s">
        <v>18</v>
      </c>
      <c r="J298">
        <v>1.4</v>
      </c>
      <c r="K298" s="1" t="s">
        <v>51</v>
      </c>
      <c r="L298">
        <v>0.73</v>
      </c>
    </row>
    <row r="299" spans="1:12" x14ac:dyDescent="0.3">
      <c r="A299" s="1" t="s">
        <v>689</v>
      </c>
      <c r="B299" s="1" t="s">
        <v>690</v>
      </c>
      <c r="C299" s="1" t="s">
        <v>102</v>
      </c>
      <c r="D299">
        <v>20</v>
      </c>
      <c r="E299" s="1" t="s">
        <v>122</v>
      </c>
      <c r="F299" s="1" t="s">
        <v>123</v>
      </c>
      <c r="G299" s="1" t="s">
        <v>25</v>
      </c>
      <c r="H299">
        <v>0</v>
      </c>
      <c r="I299" s="1" t="s">
        <v>44</v>
      </c>
      <c r="J299">
        <v>3.8</v>
      </c>
      <c r="K299" s="1" t="s">
        <v>65</v>
      </c>
      <c r="L299">
        <v>0.93</v>
      </c>
    </row>
    <row r="300" spans="1:12" x14ac:dyDescent="0.3">
      <c r="A300" s="1" t="s">
        <v>691</v>
      </c>
      <c r="B300" s="1" t="s">
        <v>692</v>
      </c>
      <c r="C300" s="1" t="s">
        <v>43</v>
      </c>
      <c r="D300">
        <v>38</v>
      </c>
      <c r="E300" s="1" t="s">
        <v>138</v>
      </c>
      <c r="F300" s="1" t="s">
        <v>24</v>
      </c>
      <c r="G300" s="1" t="s">
        <v>124</v>
      </c>
      <c r="H300">
        <v>20</v>
      </c>
      <c r="I300" s="1" t="s">
        <v>34</v>
      </c>
      <c r="J300">
        <v>0</v>
      </c>
      <c r="K300" s="1" t="s">
        <v>65</v>
      </c>
      <c r="L300">
        <v>0.64</v>
      </c>
    </row>
    <row r="301" spans="1:12" x14ac:dyDescent="0.3">
      <c r="A301" s="1" t="s">
        <v>693</v>
      </c>
      <c r="B301" s="1" t="s">
        <v>694</v>
      </c>
      <c r="C301" s="1" t="s">
        <v>14</v>
      </c>
      <c r="E301" s="1" t="s">
        <v>47</v>
      </c>
      <c r="F301" s="1" t="s">
        <v>48</v>
      </c>
      <c r="G301" s="1" t="s">
        <v>25</v>
      </c>
      <c r="H301">
        <v>6</v>
      </c>
      <c r="I301" s="1" t="s">
        <v>76</v>
      </c>
      <c r="J301">
        <v>3.5</v>
      </c>
      <c r="K301" s="1" t="s">
        <v>19</v>
      </c>
      <c r="L301">
        <v>0.76</v>
      </c>
    </row>
    <row r="302" spans="1:12" x14ac:dyDescent="0.3">
      <c r="A302" s="1" t="s">
        <v>695</v>
      </c>
      <c r="B302" s="1" t="s">
        <v>696</v>
      </c>
      <c r="C302" s="1" t="s">
        <v>69</v>
      </c>
      <c r="D302">
        <v>46</v>
      </c>
      <c r="E302" s="1" t="s">
        <v>103</v>
      </c>
      <c r="F302" s="1" t="s">
        <v>104</v>
      </c>
      <c r="G302" s="1" t="s">
        <v>124</v>
      </c>
      <c r="H302">
        <v>13</v>
      </c>
      <c r="I302" s="1" t="s">
        <v>240</v>
      </c>
      <c r="J302">
        <v>0</v>
      </c>
      <c r="K302" s="1" t="s">
        <v>83</v>
      </c>
      <c r="L302">
        <v>0.97</v>
      </c>
    </row>
    <row r="303" spans="1:12" x14ac:dyDescent="0.3">
      <c r="A303" s="1" t="s">
        <v>697</v>
      </c>
      <c r="B303" s="1" t="s">
        <v>698</v>
      </c>
      <c r="C303" s="1" t="s">
        <v>107</v>
      </c>
      <c r="D303">
        <v>36</v>
      </c>
      <c r="E303" s="1" t="s">
        <v>164</v>
      </c>
      <c r="F303" s="1" t="s">
        <v>165</v>
      </c>
      <c r="G303" s="1" t="s">
        <v>57</v>
      </c>
      <c r="H303">
        <v>9</v>
      </c>
      <c r="I303" s="1" t="s">
        <v>92</v>
      </c>
      <c r="J303">
        <v>2.2000000000000002</v>
      </c>
      <c r="K303" s="1" t="s">
        <v>19</v>
      </c>
      <c r="L303">
        <v>0.95</v>
      </c>
    </row>
    <row r="304" spans="1:12" x14ac:dyDescent="0.3">
      <c r="A304" s="1" t="s">
        <v>699</v>
      </c>
      <c r="B304" s="1" t="s">
        <v>700</v>
      </c>
      <c r="C304" s="1" t="s">
        <v>107</v>
      </c>
      <c r="D304">
        <v>33</v>
      </c>
      <c r="E304" s="1" t="s">
        <v>134</v>
      </c>
      <c r="F304" s="1" t="s">
        <v>135</v>
      </c>
      <c r="G304" s="1" t="s">
        <v>39</v>
      </c>
      <c r="H304">
        <v>2</v>
      </c>
      <c r="I304" s="1" t="s">
        <v>92</v>
      </c>
      <c r="J304">
        <v>2.5</v>
      </c>
      <c r="K304" s="1" t="s">
        <v>51</v>
      </c>
      <c r="L304">
        <v>0.65</v>
      </c>
    </row>
    <row r="305" spans="1:12" x14ac:dyDescent="0.3">
      <c r="A305" s="1" t="s">
        <v>701</v>
      </c>
      <c r="B305" s="1" t="s">
        <v>702</v>
      </c>
      <c r="C305" s="1" t="s">
        <v>38</v>
      </c>
      <c r="D305">
        <v>37</v>
      </c>
      <c r="E305" s="1" t="s">
        <v>138</v>
      </c>
      <c r="F305" s="1" t="s">
        <v>24</v>
      </c>
      <c r="G305" s="1" t="s">
        <v>33</v>
      </c>
      <c r="H305">
        <v>0</v>
      </c>
      <c r="I305" s="1" t="s">
        <v>108</v>
      </c>
      <c r="J305">
        <v>4.7</v>
      </c>
      <c r="K305" s="1" t="s">
        <v>19</v>
      </c>
      <c r="L305">
        <v>0.77</v>
      </c>
    </row>
    <row r="306" spans="1:12" x14ac:dyDescent="0.3">
      <c r="A306" s="1" t="s">
        <v>703</v>
      </c>
      <c r="B306" s="1" t="s">
        <v>704</v>
      </c>
      <c r="C306" s="1" t="s">
        <v>107</v>
      </c>
      <c r="D306">
        <v>20</v>
      </c>
      <c r="E306" s="1" t="s">
        <v>149</v>
      </c>
      <c r="F306" s="1" t="s">
        <v>150</v>
      </c>
      <c r="G306" s="1" t="s">
        <v>57</v>
      </c>
      <c r="H306">
        <v>0</v>
      </c>
      <c r="I306" s="1" t="s">
        <v>151</v>
      </c>
      <c r="J306">
        <v>3.9</v>
      </c>
      <c r="K306" s="1" t="s">
        <v>51</v>
      </c>
    </row>
    <row r="307" spans="1:12" x14ac:dyDescent="0.3">
      <c r="A307" s="1" t="s">
        <v>705</v>
      </c>
      <c r="B307" s="1" t="s">
        <v>706</v>
      </c>
      <c r="C307" s="1" t="s">
        <v>22</v>
      </c>
      <c r="D307">
        <v>48</v>
      </c>
      <c r="E307" s="1" t="s">
        <v>186</v>
      </c>
      <c r="F307" s="1" t="s">
        <v>187</v>
      </c>
      <c r="G307" s="1" t="s">
        <v>57</v>
      </c>
      <c r="H307">
        <v>2</v>
      </c>
      <c r="I307" s="1" t="s">
        <v>92</v>
      </c>
      <c r="J307">
        <v>1.6</v>
      </c>
      <c r="K307" s="1" t="s">
        <v>35</v>
      </c>
      <c r="L307">
        <v>0.67</v>
      </c>
    </row>
    <row r="308" spans="1:12" x14ac:dyDescent="0.3">
      <c r="A308" s="1" t="s">
        <v>707</v>
      </c>
      <c r="B308" s="1" t="s">
        <v>708</v>
      </c>
      <c r="C308" s="1" t="s">
        <v>30</v>
      </c>
      <c r="D308">
        <v>27</v>
      </c>
      <c r="E308" s="1" t="s">
        <v>145</v>
      </c>
      <c r="F308" s="1" t="s">
        <v>146</v>
      </c>
      <c r="G308" s="1" t="s">
        <v>87</v>
      </c>
      <c r="H308">
        <v>2</v>
      </c>
      <c r="I308" s="1" t="s">
        <v>72</v>
      </c>
      <c r="K308" s="1" t="s">
        <v>19</v>
      </c>
      <c r="L308">
        <v>0.84</v>
      </c>
    </row>
    <row r="309" spans="1:12" x14ac:dyDescent="0.3">
      <c r="A309" s="1" t="s">
        <v>709</v>
      </c>
      <c r="B309" s="1" t="s">
        <v>710</v>
      </c>
      <c r="C309" s="1" t="s">
        <v>102</v>
      </c>
      <c r="D309">
        <v>34</v>
      </c>
      <c r="E309" s="1" t="s">
        <v>122</v>
      </c>
      <c r="F309" s="1" t="s">
        <v>123</v>
      </c>
      <c r="G309" s="1" t="s">
        <v>25</v>
      </c>
      <c r="H309">
        <v>1</v>
      </c>
      <c r="I309" s="1" t="s">
        <v>44</v>
      </c>
      <c r="J309">
        <v>3.6</v>
      </c>
      <c r="K309" s="1" t="s">
        <v>27</v>
      </c>
      <c r="L309">
        <v>0.87</v>
      </c>
    </row>
    <row r="310" spans="1:12" x14ac:dyDescent="0.3">
      <c r="A310" s="1" t="s">
        <v>711</v>
      </c>
      <c r="B310" s="1" t="s">
        <v>712</v>
      </c>
      <c r="C310" s="1" t="s">
        <v>107</v>
      </c>
      <c r="D310">
        <v>55</v>
      </c>
      <c r="E310" s="1" t="s">
        <v>117</v>
      </c>
      <c r="F310" s="1" t="s">
        <v>118</v>
      </c>
      <c r="G310" s="1" t="s">
        <v>124</v>
      </c>
      <c r="H310">
        <v>14</v>
      </c>
      <c r="I310" s="1" t="s">
        <v>119</v>
      </c>
      <c r="J310">
        <v>1.2</v>
      </c>
      <c r="K310" s="1" t="s">
        <v>77</v>
      </c>
      <c r="L310">
        <v>0.91</v>
      </c>
    </row>
    <row r="311" spans="1:12" x14ac:dyDescent="0.3">
      <c r="A311" s="1" t="s">
        <v>713</v>
      </c>
      <c r="B311" s="1" t="s">
        <v>714</v>
      </c>
      <c r="C311" s="1" t="s">
        <v>38</v>
      </c>
      <c r="D311">
        <v>44</v>
      </c>
      <c r="E311" s="1" t="s">
        <v>164</v>
      </c>
      <c r="F311" s="1" t="s">
        <v>165</v>
      </c>
      <c r="G311" s="1" t="s">
        <v>124</v>
      </c>
      <c r="H311">
        <v>14</v>
      </c>
      <c r="I311" s="1" t="s">
        <v>58</v>
      </c>
      <c r="J311">
        <v>3</v>
      </c>
      <c r="K311" s="1" t="s">
        <v>19</v>
      </c>
      <c r="L311">
        <v>0.78</v>
      </c>
    </row>
    <row r="312" spans="1:12" x14ac:dyDescent="0.3">
      <c r="A312" s="1" t="s">
        <v>715</v>
      </c>
      <c r="B312" s="1" t="s">
        <v>716</v>
      </c>
      <c r="C312" s="1" t="s">
        <v>30</v>
      </c>
      <c r="D312">
        <v>31</v>
      </c>
      <c r="E312" s="1" t="s">
        <v>47</v>
      </c>
      <c r="F312" s="1" t="s">
        <v>48</v>
      </c>
      <c r="G312" s="1" t="s">
        <v>82</v>
      </c>
      <c r="H312">
        <v>2</v>
      </c>
      <c r="I312" s="1" t="s">
        <v>34</v>
      </c>
      <c r="J312">
        <v>3.9</v>
      </c>
      <c r="K312" s="1" t="s">
        <v>19</v>
      </c>
    </row>
    <row r="313" spans="1:12" x14ac:dyDescent="0.3">
      <c r="A313" s="1" t="s">
        <v>717</v>
      </c>
      <c r="B313" s="1" t="s">
        <v>718</v>
      </c>
      <c r="C313" s="1" t="s">
        <v>54</v>
      </c>
      <c r="D313">
        <v>34</v>
      </c>
      <c r="E313" s="1" t="s">
        <v>23</v>
      </c>
      <c r="F313" s="1" t="s">
        <v>24</v>
      </c>
      <c r="G313" s="1" t="s">
        <v>99</v>
      </c>
      <c r="H313">
        <v>1</v>
      </c>
      <c r="I313" s="1" t="s">
        <v>76</v>
      </c>
      <c r="J313">
        <v>1.7</v>
      </c>
      <c r="K313" s="1" t="s">
        <v>65</v>
      </c>
      <c r="L313">
        <v>74</v>
      </c>
    </row>
    <row r="314" spans="1:12" x14ac:dyDescent="0.3">
      <c r="A314" s="1" t="s">
        <v>719</v>
      </c>
      <c r="B314" s="1" t="s">
        <v>720</v>
      </c>
      <c r="C314" s="1" t="s">
        <v>38</v>
      </c>
      <c r="D314">
        <v>47</v>
      </c>
      <c r="E314" s="1" t="s">
        <v>117</v>
      </c>
      <c r="F314" s="1" t="s">
        <v>118</v>
      </c>
      <c r="G314" s="1" t="s">
        <v>99</v>
      </c>
      <c r="H314">
        <v>13</v>
      </c>
      <c r="I314" s="1" t="s">
        <v>151</v>
      </c>
      <c r="J314">
        <v>4.5</v>
      </c>
      <c r="K314" s="1" t="s">
        <v>65</v>
      </c>
      <c r="L314">
        <v>0.91</v>
      </c>
    </row>
    <row r="315" spans="1:12" x14ac:dyDescent="0.3">
      <c r="A315" s="1" t="s">
        <v>721</v>
      </c>
      <c r="B315" s="1" t="s">
        <v>722</v>
      </c>
      <c r="C315" s="1" t="s">
        <v>54</v>
      </c>
      <c r="D315">
        <v>50</v>
      </c>
      <c r="E315" s="1" t="s">
        <v>64</v>
      </c>
      <c r="F315" s="1" t="s">
        <v>24</v>
      </c>
      <c r="G315" s="1" t="s">
        <v>33</v>
      </c>
      <c r="H315">
        <v>23</v>
      </c>
      <c r="I315" s="1" t="s">
        <v>40</v>
      </c>
      <c r="J315">
        <v>3.6</v>
      </c>
      <c r="K315" s="1" t="s">
        <v>66</v>
      </c>
      <c r="L315">
        <v>0.71</v>
      </c>
    </row>
    <row r="316" spans="1:12" x14ac:dyDescent="0.3">
      <c r="A316" s="1" t="s">
        <v>723</v>
      </c>
      <c r="B316" s="1" t="s">
        <v>724</v>
      </c>
      <c r="C316" s="1" t="s">
        <v>102</v>
      </c>
      <c r="D316">
        <v>39</v>
      </c>
      <c r="E316" s="1" t="s">
        <v>31</v>
      </c>
      <c r="F316" s="1" t="s">
        <v>32</v>
      </c>
      <c r="G316" s="1" t="s">
        <v>87</v>
      </c>
      <c r="I316" s="1" t="s">
        <v>58</v>
      </c>
      <c r="J316">
        <v>3.6</v>
      </c>
      <c r="K316" s="1" t="s">
        <v>83</v>
      </c>
      <c r="L316">
        <v>0.87</v>
      </c>
    </row>
    <row r="317" spans="1:12" x14ac:dyDescent="0.3">
      <c r="A317" s="1" t="s">
        <v>725</v>
      </c>
      <c r="B317" s="1" t="s">
        <v>726</v>
      </c>
      <c r="C317" s="1" t="s">
        <v>22</v>
      </c>
      <c r="D317">
        <v>26</v>
      </c>
      <c r="E317" s="1" t="s">
        <v>80</v>
      </c>
      <c r="F317" s="1" t="s">
        <v>81</v>
      </c>
      <c r="G317" s="1" t="s">
        <v>17</v>
      </c>
      <c r="H317">
        <v>3</v>
      </c>
      <c r="I317" s="1" t="s">
        <v>26</v>
      </c>
      <c r="J317">
        <v>2.8</v>
      </c>
      <c r="K317" s="1" t="s">
        <v>27</v>
      </c>
      <c r="L317">
        <v>0.61</v>
      </c>
    </row>
    <row r="318" spans="1:12" x14ac:dyDescent="0.3">
      <c r="A318" s="1" t="s">
        <v>727</v>
      </c>
      <c r="B318" s="1" t="s">
        <v>728</v>
      </c>
      <c r="C318" s="1" t="s">
        <v>102</v>
      </c>
      <c r="E318" s="1" t="s">
        <v>47</v>
      </c>
      <c r="F318" s="1" t="s">
        <v>48</v>
      </c>
      <c r="G318" s="1" t="s">
        <v>99</v>
      </c>
      <c r="H318">
        <v>0</v>
      </c>
      <c r="I318" s="1" t="s">
        <v>240</v>
      </c>
      <c r="J318">
        <v>5</v>
      </c>
      <c r="K318" s="1" t="s">
        <v>35</v>
      </c>
    </row>
    <row r="319" spans="1:12" x14ac:dyDescent="0.3">
      <c r="A319" s="1" t="s">
        <v>729</v>
      </c>
      <c r="B319" s="1" t="s">
        <v>730</v>
      </c>
      <c r="C319" s="1" t="s">
        <v>30</v>
      </c>
      <c r="D319">
        <v>32</v>
      </c>
      <c r="E319" s="1" t="s">
        <v>31</v>
      </c>
      <c r="F319" s="1" t="s">
        <v>32</v>
      </c>
      <c r="G319" s="1" t="s">
        <v>33</v>
      </c>
      <c r="H319">
        <v>0</v>
      </c>
      <c r="I319" s="1" t="s">
        <v>18</v>
      </c>
      <c r="J319">
        <v>1.4</v>
      </c>
      <c r="K319" s="1" t="s">
        <v>27</v>
      </c>
      <c r="L319">
        <v>0.81</v>
      </c>
    </row>
    <row r="320" spans="1:12" x14ac:dyDescent="0.3">
      <c r="A320" s="1" t="s">
        <v>731</v>
      </c>
      <c r="B320" s="1" t="s">
        <v>732</v>
      </c>
      <c r="C320" s="1" t="s">
        <v>86</v>
      </c>
      <c r="D320">
        <v>55</v>
      </c>
      <c r="E320" s="1" t="s">
        <v>134</v>
      </c>
      <c r="F320" s="1" t="s">
        <v>135</v>
      </c>
      <c r="G320" s="1" t="s">
        <v>57</v>
      </c>
      <c r="H320">
        <v>17</v>
      </c>
      <c r="I320" s="1" t="s">
        <v>44</v>
      </c>
      <c r="K320" s="1" t="s">
        <v>65</v>
      </c>
    </row>
    <row r="321" spans="1:12" x14ac:dyDescent="0.3">
      <c r="A321" s="1" t="s">
        <v>733</v>
      </c>
      <c r="B321" s="1" t="s">
        <v>734</v>
      </c>
      <c r="C321" s="1" t="s">
        <v>102</v>
      </c>
      <c r="D321">
        <v>32</v>
      </c>
      <c r="E321" s="1" t="s">
        <v>80</v>
      </c>
      <c r="F321" s="1" t="s">
        <v>81</v>
      </c>
      <c r="G321" s="1" t="s">
        <v>124</v>
      </c>
      <c r="H321">
        <v>9</v>
      </c>
      <c r="I321" s="1" t="s">
        <v>61</v>
      </c>
      <c r="J321">
        <v>4.5999999999999996</v>
      </c>
      <c r="K321" s="1" t="s">
        <v>27</v>
      </c>
      <c r="L321">
        <v>0.84</v>
      </c>
    </row>
    <row r="322" spans="1:12" x14ac:dyDescent="0.3">
      <c r="A322" s="1" t="s">
        <v>735</v>
      </c>
      <c r="B322" s="1" t="s">
        <v>736</v>
      </c>
      <c r="C322" s="1" t="s">
        <v>54</v>
      </c>
      <c r="D322">
        <v>30</v>
      </c>
      <c r="E322" s="1" t="s">
        <v>122</v>
      </c>
      <c r="F322" s="1" t="s">
        <v>123</v>
      </c>
      <c r="G322" s="1" t="s">
        <v>17</v>
      </c>
      <c r="H322">
        <v>4</v>
      </c>
      <c r="I322" s="1" t="s">
        <v>131</v>
      </c>
      <c r="J322">
        <v>3.3</v>
      </c>
      <c r="K322" s="1" t="s">
        <v>170</v>
      </c>
    </row>
    <row r="323" spans="1:12" x14ac:dyDescent="0.3">
      <c r="A323" s="1" t="s">
        <v>737</v>
      </c>
      <c r="B323" s="1" t="s">
        <v>738</v>
      </c>
      <c r="C323" s="1" t="s">
        <v>43</v>
      </c>
      <c r="D323">
        <v>37</v>
      </c>
      <c r="E323" s="1" t="s">
        <v>138</v>
      </c>
      <c r="F323" s="1" t="s">
        <v>24</v>
      </c>
      <c r="G323" s="1" t="s">
        <v>87</v>
      </c>
      <c r="H323">
        <v>0</v>
      </c>
      <c r="I323" s="1" t="s">
        <v>40</v>
      </c>
      <c r="J323">
        <v>3.7</v>
      </c>
      <c r="K323" s="1" t="s">
        <v>27</v>
      </c>
    </row>
    <row r="324" spans="1:12" x14ac:dyDescent="0.3">
      <c r="A324" s="1" t="s">
        <v>739</v>
      </c>
      <c r="B324" s="1" t="s">
        <v>740</v>
      </c>
      <c r="C324" s="1" t="s">
        <v>102</v>
      </c>
      <c r="D324">
        <v>52</v>
      </c>
      <c r="E324" s="1" t="s">
        <v>117</v>
      </c>
      <c r="F324" s="1" t="s">
        <v>118</v>
      </c>
      <c r="G324" s="1" t="s">
        <v>33</v>
      </c>
      <c r="H324">
        <v>33</v>
      </c>
      <c r="I324" s="1" t="s">
        <v>65</v>
      </c>
      <c r="J324">
        <v>0</v>
      </c>
      <c r="K324" s="1" t="s">
        <v>27</v>
      </c>
      <c r="L324">
        <v>0.6</v>
      </c>
    </row>
    <row r="325" spans="1:12" x14ac:dyDescent="0.3">
      <c r="A325" s="1" t="s">
        <v>741</v>
      </c>
      <c r="B325" s="1" t="s">
        <v>742</v>
      </c>
      <c r="C325" s="1" t="s">
        <v>107</v>
      </c>
      <c r="D325">
        <v>48</v>
      </c>
      <c r="E325" s="1" t="s">
        <v>103</v>
      </c>
      <c r="F325" s="1" t="s">
        <v>104</v>
      </c>
      <c r="G325" s="1" t="s">
        <v>87</v>
      </c>
      <c r="H325">
        <v>18</v>
      </c>
      <c r="I325" s="1" t="s">
        <v>34</v>
      </c>
      <c r="J325">
        <v>0</v>
      </c>
      <c r="K325" s="1" t="s">
        <v>83</v>
      </c>
      <c r="L325">
        <v>0.64</v>
      </c>
    </row>
    <row r="326" spans="1:12" x14ac:dyDescent="0.3">
      <c r="A326" s="1" t="s">
        <v>743</v>
      </c>
      <c r="B326" s="1" t="s">
        <v>744</v>
      </c>
      <c r="C326" s="1" t="s">
        <v>22</v>
      </c>
      <c r="D326">
        <v>28</v>
      </c>
      <c r="E326" s="1" t="s">
        <v>95</v>
      </c>
      <c r="F326" s="1" t="s">
        <v>96</v>
      </c>
      <c r="G326" s="1" t="s">
        <v>25</v>
      </c>
      <c r="H326">
        <v>9</v>
      </c>
      <c r="I326" s="1" t="s">
        <v>76</v>
      </c>
      <c r="K326" s="1" t="s">
        <v>27</v>
      </c>
      <c r="L326">
        <v>0.64</v>
      </c>
    </row>
    <row r="327" spans="1:12" x14ac:dyDescent="0.3">
      <c r="A327" s="1" t="s">
        <v>745</v>
      </c>
      <c r="B327" s="1" t="s">
        <v>746</v>
      </c>
      <c r="C327" s="1" t="s">
        <v>22</v>
      </c>
      <c r="D327">
        <v>58</v>
      </c>
      <c r="E327" s="1" t="s">
        <v>201</v>
      </c>
      <c r="F327" s="1" t="s">
        <v>81</v>
      </c>
      <c r="G327" s="1" t="s">
        <v>57</v>
      </c>
      <c r="H327">
        <v>40</v>
      </c>
      <c r="I327" s="1" t="s">
        <v>92</v>
      </c>
      <c r="J327">
        <v>3.4</v>
      </c>
      <c r="K327" s="1" t="s">
        <v>27</v>
      </c>
      <c r="L327">
        <v>1</v>
      </c>
    </row>
    <row r="328" spans="1:12" x14ac:dyDescent="0.3">
      <c r="A328" s="1" t="s">
        <v>747</v>
      </c>
      <c r="B328" s="1" t="s">
        <v>748</v>
      </c>
      <c r="C328" s="1" t="s">
        <v>30</v>
      </c>
      <c r="D328">
        <v>30</v>
      </c>
      <c r="E328" s="1" t="s">
        <v>80</v>
      </c>
      <c r="F328" s="1" t="s">
        <v>81</v>
      </c>
      <c r="G328" s="1" t="s">
        <v>39</v>
      </c>
      <c r="H328">
        <v>1</v>
      </c>
      <c r="I328" s="1" t="s">
        <v>76</v>
      </c>
      <c r="J328">
        <v>1.6</v>
      </c>
      <c r="K328" s="1" t="s">
        <v>66</v>
      </c>
      <c r="L328">
        <v>100</v>
      </c>
    </row>
    <row r="329" spans="1:12" x14ac:dyDescent="0.3">
      <c r="A329" s="1" t="s">
        <v>749</v>
      </c>
      <c r="B329" s="1" t="s">
        <v>750</v>
      </c>
      <c r="C329" s="1" t="s">
        <v>86</v>
      </c>
      <c r="D329">
        <v>47</v>
      </c>
      <c r="E329" s="1" t="s">
        <v>186</v>
      </c>
      <c r="F329" s="1" t="s">
        <v>187</v>
      </c>
      <c r="G329" s="1" t="s">
        <v>25</v>
      </c>
      <c r="H329">
        <v>5</v>
      </c>
      <c r="I329" s="1" t="s">
        <v>151</v>
      </c>
      <c r="J329">
        <v>1.9</v>
      </c>
      <c r="K329" s="1" t="s">
        <v>19</v>
      </c>
    </row>
    <row r="330" spans="1:12" x14ac:dyDescent="0.3">
      <c r="A330" s="1" t="s">
        <v>751</v>
      </c>
      <c r="B330" s="1" t="s">
        <v>752</v>
      </c>
      <c r="C330" s="1" t="s">
        <v>30</v>
      </c>
      <c r="D330">
        <v>44</v>
      </c>
      <c r="E330" s="1" t="s">
        <v>80</v>
      </c>
      <c r="F330" s="1" t="s">
        <v>81</v>
      </c>
      <c r="G330" s="1" t="s">
        <v>49</v>
      </c>
      <c r="H330">
        <v>4</v>
      </c>
      <c r="I330" s="1" t="s">
        <v>72</v>
      </c>
      <c r="J330">
        <v>0</v>
      </c>
      <c r="K330" s="1" t="s">
        <v>66</v>
      </c>
      <c r="L330">
        <v>0.83</v>
      </c>
    </row>
    <row r="331" spans="1:12" x14ac:dyDescent="0.3">
      <c r="A331" s="1" t="s">
        <v>753</v>
      </c>
      <c r="B331" s="1" t="s">
        <v>754</v>
      </c>
      <c r="C331" s="1" t="s">
        <v>102</v>
      </c>
      <c r="D331">
        <v>56</v>
      </c>
      <c r="E331" s="1" t="s">
        <v>15</v>
      </c>
      <c r="F331" s="1" t="s">
        <v>16</v>
      </c>
      <c r="G331" s="1" t="s">
        <v>124</v>
      </c>
      <c r="H331">
        <v>13</v>
      </c>
      <c r="I331" s="1" t="s">
        <v>61</v>
      </c>
      <c r="K331" s="1" t="s">
        <v>27</v>
      </c>
      <c r="L331">
        <v>0.87</v>
      </c>
    </row>
    <row r="332" spans="1:12" x14ac:dyDescent="0.3">
      <c r="A332" s="1" t="s">
        <v>755</v>
      </c>
      <c r="B332" s="1" t="s">
        <v>756</v>
      </c>
      <c r="C332" s="1" t="s">
        <v>86</v>
      </c>
      <c r="D332">
        <v>53</v>
      </c>
      <c r="E332" s="1" t="s">
        <v>64</v>
      </c>
      <c r="F332" s="1" t="s">
        <v>24</v>
      </c>
      <c r="G332" s="1" t="s">
        <v>25</v>
      </c>
      <c r="H332">
        <v>33</v>
      </c>
      <c r="I332" s="1" t="s">
        <v>240</v>
      </c>
      <c r="K332" s="1" t="s">
        <v>170</v>
      </c>
      <c r="L332">
        <v>0.75</v>
      </c>
    </row>
    <row r="333" spans="1:12" x14ac:dyDescent="0.3">
      <c r="A333" s="1" t="s">
        <v>757</v>
      </c>
      <c r="B333" s="1" t="s">
        <v>758</v>
      </c>
      <c r="C333" s="1" t="s">
        <v>69</v>
      </c>
      <c r="D333">
        <v>59</v>
      </c>
      <c r="E333" s="1" t="s">
        <v>75</v>
      </c>
      <c r="F333" s="1" t="s">
        <v>24</v>
      </c>
      <c r="G333" s="1" t="s">
        <v>25</v>
      </c>
      <c r="H333">
        <v>22</v>
      </c>
      <c r="I333" s="1" t="s">
        <v>76</v>
      </c>
      <c r="J333">
        <v>1.1000000000000001</v>
      </c>
      <c r="K333" s="1" t="s">
        <v>77</v>
      </c>
      <c r="L333">
        <v>0.61</v>
      </c>
    </row>
    <row r="334" spans="1:12" x14ac:dyDescent="0.3">
      <c r="A334" s="1" t="s">
        <v>759</v>
      </c>
      <c r="B334" s="1" t="s">
        <v>760</v>
      </c>
      <c r="C334" s="1" t="s">
        <v>102</v>
      </c>
      <c r="D334">
        <v>60</v>
      </c>
      <c r="E334" s="1" t="s">
        <v>64</v>
      </c>
      <c r="F334" s="1" t="s">
        <v>24</v>
      </c>
      <c r="G334" s="1" t="s">
        <v>99</v>
      </c>
      <c r="H334">
        <v>34</v>
      </c>
      <c r="I334" s="1" t="s">
        <v>65</v>
      </c>
      <c r="J334">
        <v>2.5</v>
      </c>
      <c r="K334" s="1" t="s">
        <v>51</v>
      </c>
      <c r="L334">
        <v>0.93</v>
      </c>
    </row>
    <row r="335" spans="1:12" x14ac:dyDescent="0.3">
      <c r="A335" s="1" t="s">
        <v>761</v>
      </c>
      <c r="B335" s="1" t="s">
        <v>762</v>
      </c>
      <c r="C335" s="1" t="s">
        <v>22</v>
      </c>
      <c r="D335">
        <v>33</v>
      </c>
      <c r="E335" s="1" t="s">
        <v>31</v>
      </c>
      <c r="F335" s="1" t="s">
        <v>32</v>
      </c>
      <c r="G335" s="1" t="s">
        <v>25</v>
      </c>
      <c r="H335">
        <v>8</v>
      </c>
      <c r="I335" s="1" t="s">
        <v>119</v>
      </c>
      <c r="J335">
        <v>3.6</v>
      </c>
      <c r="K335" s="1" t="s">
        <v>27</v>
      </c>
    </row>
    <row r="336" spans="1:12" x14ac:dyDescent="0.3">
      <c r="A336" s="1" t="s">
        <v>763</v>
      </c>
      <c r="B336" s="1" t="s">
        <v>764</v>
      </c>
      <c r="C336" s="1" t="s">
        <v>86</v>
      </c>
      <c r="D336">
        <v>21</v>
      </c>
      <c r="E336" s="1" t="s">
        <v>80</v>
      </c>
      <c r="F336" s="1" t="s">
        <v>81</v>
      </c>
      <c r="G336" s="1" t="s">
        <v>39</v>
      </c>
      <c r="H336">
        <v>1</v>
      </c>
      <c r="I336" s="1" t="s">
        <v>325</v>
      </c>
      <c r="K336" s="1" t="s">
        <v>51</v>
      </c>
      <c r="L336">
        <v>0.99</v>
      </c>
    </row>
    <row r="337" spans="1:12" x14ac:dyDescent="0.3">
      <c r="A337" s="1" t="s">
        <v>765</v>
      </c>
      <c r="B337" s="1" t="s">
        <v>766</v>
      </c>
      <c r="C337" s="1" t="s">
        <v>30</v>
      </c>
      <c r="D337">
        <v>54</v>
      </c>
      <c r="E337" s="1" t="s">
        <v>75</v>
      </c>
      <c r="F337" s="1" t="s">
        <v>24</v>
      </c>
      <c r="G337" s="1" t="s">
        <v>82</v>
      </c>
      <c r="H337">
        <v>20</v>
      </c>
      <c r="I337" s="1" t="s">
        <v>34</v>
      </c>
      <c r="J337">
        <v>4.4000000000000004</v>
      </c>
      <c r="K337" s="1" t="s">
        <v>19</v>
      </c>
      <c r="L337">
        <v>73</v>
      </c>
    </row>
    <row r="338" spans="1:12" x14ac:dyDescent="0.3">
      <c r="A338" s="1" t="s">
        <v>767</v>
      </c>
      <c r="B338" s="1" t="s">
        <v>768</v>
      </c>
      <c r="C338" s="1" t="s">
        <v>86</v>
      </c>
      <c r="D338">
        <v>33</v>
      </c>
      <c r="E338" s="1" t="s">
        <v>64</v>
      </c>
      <c r="F338" s="1" t="s">
        <v>24</v>
      </c>
      <c r="G338" s="1" t="s">
        <v>33</v>
      </c>
      <c r="H338">
        <v>11</v>
      </c>
      <c r="I338" s="1" t="s">
        <v>92</v>
      </c>
      <c r="J338">
        <v>2.1</v>
      </c>
      <c r="K338" s="1" t="s">
        <v>19</v>
      </c>
      <c r="L338">
        <v>0.96</v>
      </c>
    </row>
    <row r="339" spans="1:12" x14ac:dyDescent="0.3">
      <c r="A339" s="1" t="s">
        <v>769</v>
      </c>
      <c r="B339" s="1" t="s">
        <v>770</v>
      </c>
      <c r="C339" s="1" t="s">
        <v>86</v>
      </c>
      <c r="D339">
        <v>57</v>
      </c>
      <c r="E339" s="1" t="s">
        <v>70</v>
      </c>
      <c r="F339" s="1" t="s">
        <v>71</v>
      </c>
      <c r="G339" s="1" t="s">
        <v>57</v>
      </c>
      <c r="H339">
        <v>2</v>
      </c>
      <c r="I339" s="1" t="s">
        <v>76</v>
      </c>
      <c r="J339">
        <v>0</v>
      </c>
      <c r="K339" s="1" t="s">
        <v>51</v>
      </c>
      <c r="L339">
        <v>0.6</v>
      </c>
    </row>
    <row r="340" spans="1:12" x14ac:dyDescent="0.3">
      <c r="A340" s="1" t="s">
        <v>771</v>
      </c>
      <c r="B340" s="1" t="s">
        <v>772</v>
      </c>
      <c r="C340" s="1" t="s">
        <v>102</v>
      </c>
      <c r="D340">
        <v>36</v>
      </c>
      <c r="E340" s="1" t="s">
        <v>122</v>
      </c>
      <c r="F340" s="1" t="s">
        <v>123</v>
      </c>
      <c r="G340" s="1" t="s">
        <v>33</v>
      </c>
      <c r="H340">
        <v>6</v>
      </c>
      <c r="I340" s="1" t="s">
        <v>151</v>
      </c>
      <c r="J340">
        <v>1</v>
      </c>
      <c r="K340" s="1" t="s">
        <v>83</v>
      </c>
      <c r="L340">
        <v>0.64</v>
      </c>
    </row>
    <row r="341" spans="1:12" x14ac:dyDescent="0.3">
      <c r="A341" s="1" t="s">
        <v>773</v>
      </c>
      <c r="B341" s="1" t="s">
        <v>774</v>
      </c>
      <c r="C341" s="1" t="s">
        <v>107</v>
      </c>
      <c r="D341">
        <v>50</v>
      </c>
      <c r="E341" s="1" t="s">
        <v>31</v>
      </c>
      <c r="F341" s="1" t="s">
        <v>32</v>
      </c>
      <c r="G341" s="1" t="s">
        <v>17</v>
      </c>
      <c r="H341">
        <v>20</v>
      </c>
      <c r="I341" s="1" t="s">
        <v>119</v>
      </c>
      <c r="J341">
        <v>0</v>
      </c>
      <c r="K341" s="1" t="s">
        <v>19</v>
      </c>
    </row>
    <row r="342" spans="1:12" x14ac:dyDescent="0.3">
      <c r="A342" s="1" t="s">
        <v>775</v>
      </c>
      <c r="B342" s="1" t="s">
        <v>776</v>
      </c>
      <c r="C342" s="1" t="s">
        <v>14</v>
      </c>
      <c r="D342">
        <v>37</v>
      </c>
      <c r="E342" s="1" t="s">
        <v>138</v>
      </c>
      <c r="F342" s="1" t="s">
        <v>24</v>
      </c>
      <c r="G342" s="1" t="s">
        <v>99</v>
      </c>
      <c r="I342" s="1" t="s">
        <v>325</v>
      </c>
      <c r="J342">
        <v>4.9000000000000004</v>
      </c>
      <c r="K342" s="1" t="s">
        <v>35</v>
      </c>
    </row>
    <row r="343" spans="1:12" x14ac:dyDescent="0.3">
      <c r="A343" s="1" t="s">
        <v>777</v>
      </c>
      <c r="B343" s="1" t="s">
        <v>778</v>
      </c>
      <c r="C343" s="1" t="s">
        <v>102</v>
      </c>
      <c r="D343">
        <v>53</v>
      </c>
      <c r="E343" s="1" t="s">
        <v>15</v>
      </c>
      <c r="F343" s="1" t="s">
        <v>16</v>
      </c>
      <c r="G343" s="1" t="s">
        <v>49</v>
      </c>
      <c r="H343">
        <v>4</v>
      </c>
      <c r="I343" s="1" t="s">
        <v>44</v>
      </c>
      <c r="J343">
        <v>4.7</v>
      </c>
      <c r="K343" s="1" t="s">
        <v>170</v>
      </c>
      <c r="L343">
        <v>0.99</v>
      </c>
    </row>
    <row r="344" spans="1:12" x14ac:dyDescent="0.3">
      <c r="A344" s="1" t="s">
        <v>779</v>
      </c>
      <c r="B344" s="1" t="s">
        <v>780</v>
      </c>
      <c r="C344" s="1" t="s">
        <v>86</v>
      </c>
      <c r="D344">
        <v>22</v>
      </c>
      <c r="E344" s="1" t="s">
        <v>15</v>
      </c>
      <c r="F344" s="1" t="s">
        <v>16</v>
      </c>
      <c r="G344" s="1" t="s">
        <v>17</v>
      </c>
      <c r="H344">
        <v>3</v>
      </c>
      <c r="I344" s="1" t="s">
        <v>61</v>
      </c>
      <c r="J344">
        <v>2.1</v>
      </c>
      <c r="K344" s="1" t="s">
        <v>19</v>
      </c>
    </row>
    <row r="345" spans="1:12" x14ac:dyDescent="0.3">
      <c r="A345" s="1" t="s">
        <v>781</v>
      </c>
      <c r="B345" s="1" t="s">
        <v>782</v>
      </c>
      <c r="C345" s="1" t="s">
        <v>86</v>
      </c>
      <c r="D345">
        <v>55</v>
      </c>
      <c r="E345" s="1" t="s">
        <v>47</v>
      </c>
      <c r="F345" s="1" t="s">
        <v>48</v>
      </c>
      <c r="G345" s="1" t="s">
        <v>25</v>
      </c>
      <c r="H345">
        <v>33</v>
      </c>
      <c r="I345" s="1" t="s">
        <v>76</v>
      </c>
      <c r="J345">
        <v>1.5</v>
      </c>
      <c r="K345" s="1" t="s">
        <v>83</v>
      </c>
      <c r="L345">
        <v>0.71</v>
      </c>
    </row>
    <row r="346" spans="1:12" x14ac:dyDescent="0.3">
      <c r="A346" s="1" t="s">
        <v>783</v>
      </c>
      <c r="B346" s="1" t="s">
        <v>784</v>
      </c>
      <c r="C346" s="1" t="s">
        <v>69</v>
      </c>
      <c r="D346">
        <v>22</v>
      </c>
      <c r="E346" s="1" t="s">
        <v>23</v>
      </c>
      <c r="F346" s="1" t="s">
        <v>24</v>
      </c>
      <c r="G346" s="1" t="s">
        <v>87</v>
      </c>
      <c r="H346">
        <v>1</v>
      </c>
      <c r="I346" s="1" t="s">
        <v>65</v>
      </c>
      <c r="J346">
        <v>2.6</v>
      </c>
      <c r="K346" s="1" t="s">
        <v>19</v>
      </c>
      <c r="L346">
        <v>0.72</v>
      </c>
    </row>
    <row r="347" spans="1:12" x14ac:dyDescent="0.3">
      <c r="A347" s="1" t="s">
        <v>785</v>
      </c>
      <c r="B347" s="1" t="s">
        <v>786</v>
      </c>
      <c r="C347" s="1" t="s">
        <v>14</v>
      </c>
      <c r="D347">
        <v>45</v>
      </c>
      <c r="E347" s="1" t="s">
        <v>70</v>
      </c>
      <c r="F347" s="1" t="s">
        <v>71</v>
      </c>
      <c r="G347" s="1" t="s">
        <v>39</v>
      </c>
      <c r="H347">
        <v>23</v>
      </c>
      <c r="I347" s="1" t="s">
        <v>108</v>
      </c>
      <c r="J347">
        <v>0</v>
      </c>
      <c r="K347" s="1" t="s">
        <v>19</v>
      </c>
      <c r="L347">
        <v>0.66</v>
      </c>
    </row>
    <row r="348" spans="1:12" x14ac:dyDescent="0.3">
      <c r="A348" s="1" t="s">
        <v>787</v>
      </c>
      <c r="B348" s="1" t="s">
        <v>788</v>
      </c>
      <c r="C348" s="1" t="s">
        <v>102</v>
      </c>
      <c r="D348">
        <v>36</v>
      </c>
      <c r="E348" s="1" t="s">
        <v>145</v>
      </c>
      <c r="F348" s="1" t="s">
        <v>146</v>
      </c>
      <c r="G348" s="1" t="s">
        <v>57</v>
      </c>
      <c r="H348">
        <v>13</v>
      </c>
      <c r="I348" s="1" t="s">
        <v>76</v>
      </c>
      <c r="K348" s="1" t="s">
        <v>35</v>
      </c>
      <c r="L348">
        <v>0.78</v>
      </c>
    </row>
    <row r="349" spans="1:12" x14ac:dyDescent="0.3">
      <c r="A349" s="1" t="s">
        <v>789</v>
      </c>
      <c r="B349" s="1" t="s">
        <v>790</v>
      </c>
      <c r="C349" s="1" t="s">
        <v>54</v>
      </c>
      <c r="D349">
        <v>23</v>
      </c>
      <c r="E349" s="1" t="s">
        <v>23</v>
      </c>
      <c r="F349" s="1" t="s">
        <v>24</v>
      </c>
      <c r="G349" s="1" t="s">
        <v>99</v>
      </c>
      <c r="H349">
        <v>1</v>
      </c>
      <c r="I349" s="1" t="s">
        <v>325</v>
      </c>
      <c r="J349">
        <v>4</v>
      </c>
      <c r="K349" s="1" t="s">
        <v>83</v>
      </c>
      <c r="L349">
        <v>100</v>
      </c>
    </row>
    <row r="350" spans="1:12" x14ac:dyDescent="0.3">
      <c r="A350" s="1" t="s">
        <v>791</v>
      </c>
      <c r="B350" s="1" t="s">
        <v>792</v>
      </c>
      <c r="C350" s="1" t="s">
        <v>102</v>
      </c>
      <c r="D350">
        <v>55</v>
      </c>
      <c r="E350" s="1" t="s">
        <v>15</v>
      </c>
      <c r="F350" s="1" t="s">
        <v>16</v>
      </c>
      <c r="G350" s="1" t="s">
        <v>99</v>
      </c>
      <c r="H350">
        <v>15</v>
      </c>
      <c r="I350" s="1" t="s">
        <v>76</v>
      </c>
      <c r="J350">
        <v>4.5</v>
      </c>
      <c r="K350" s="1" t="s">
        <v>65</v>
      </c>
    </row>
    <row r="351" spans="1:12" x14ac:dyDescent="0.3">
      <c r="A351" s="1" t="s">
        <v>793</v>
      </c>
      <c r="B351" s="1" t="s">
        <v>794</v>
      </c>
      <c r="C351" s="1" t="s">
        <v>38</v>
      </c>
      <c r="D351">
        <v>50</v>
      </c>
      <c r="E351" s="1" t="s">
        <v>117</v>
      </c>
      <c r="F351" s="1" t="s">
        <v>118</v>
      </c>
      <c r="G351" s="1" t="s">
        <v>25</v>
      </c>
      <c r="H351">
        <v>18</v>
      </c>
      <c r="I351" s="1" t="s">
        <v>92</v>
      </c>
      <c r="J351">
        <v>3.8</v>
      </c>
      <c r="K351" s="1" t="s">
        <v>19</v>
      </c>
      <c r="L351">
        <v>67</v>
      </c>
    </row>
    <row r="352" spans="1:12" x14ac:dyDescent="0.3">
      <c r="A352" s="1" t="s">
        <v>795</v>
      </c>
      <c r="B352" s="1" t="s">
        <v>796</v>
      </c>
      <c r="C352" s="1" t="s">
        <v>30</v>
      </c>
      <c r="D352">
        <v>48</v>
      </c>
      <c r="E352" s="1" t="s">
        <v>64</v>
      </c>
      <c r="F352" s="1" t="s">
        <v>24</v>
      </c>
      <c r="G352" s="1" t="s">
        <v>124</v>
      </c>
      <c r="H352">
        <v>21</v>
      </c>
      <c r="I352" s="1" t="s">
        <v>34</v>
      </c>
      <c r="J352">
        <v>4</v>
      </c>
      <c r="K352" s="1" t="s">
        <v>19</v>
      </c>
      <c r="L352">
        <v>0.78</v>
      </c>
    </row>
    <row r="353" spans="1:12" x14ac:dyDescent="0.3">
      <c r="A353" s="1" t="s">
        <v>797</v>
      </c>
      <c r="B353" s="1" t="s">
        <v>798</v>
      </c>
      <c r="C353" s="1" t="s">
        <v>69</v>
      </c>
      <c r="D353">
        <v>23</v>
      </c>
      <c r="E353" s="1" t="s">
        <v>47</v>
      </c>
      <c r="F353" s="1" t="s">
        <v>48</v>
      </c>
      <c r="G353" s="1" t="s">
        <v>99</v>
      </c>
      <c r="H353">
        <v>1</v>
      </c>
      <c r="I353" s="1" t="s">
        <v>40</v>
      </c>
      <c r="J353">
        <v>4.9000000000000004</v>
      </c>
      <c r="K353" s="1" t="s">
        <v>77</v>
      </c>
      <c r="L353">
        <v>0.78</v>
      </c>
    </row>
    <row r="354" spans="1:12" x14ac:dyDescent="0.3">
      <c r="A354" s="1" t="s">
        <v>799</v>
      </c>
      <c r="B354" s="1" t="s">
        <v>800</v>
      </c>
      <c r="C354" s="1" t="s">
        <v>14</v>
      </c>
      <c r="D354">
        <v>49</v>
      </c>
      <c r="E354" s="1" t="s">
        <v>138</v>
      </c>
      <c r="F354" s="1" t="s">
        <v>24</v>
      </c>
      <c r="G354" s="1" t="s">
        <v>39</v>
      </c>
      <c r="H354">
        <v>25</v>
      </c>
      <c r="I354" s="1" t="s">
        <v>50</v>
      </c>
      <c r="J354">
        <v>3.4</v>
      </c>
      <c r="K354" s="1" t="s">
        <v>19</v>
      </c>
      <c r="L354">
        <v>0.75</v>
      </c>
    </row>
    <row r="355" spans="1:12" x14ac:dyDescent="0.3">
      <c r="A355" s="1" t="s">
        <v>801</v>
      </c>
      <c r="B355" s="1" t="s">
        <v>802</v>
      </c>
      <c r="C355" s="1" t="s">
        <v>38</v>
      </c>
      <c r="D355">
        <v>47</v>
      </c>
      <c r="E355" s="1" t="s">
        <v>15</v>
      </c>
      <c r="F355" s="1" t="s">
        <v>16</v>
      </c>
      <c r="G355" s="1" t="s">
        <v>87</v>
      </c>
      <c r="H355">
        <v>12</v>
      </c>
      <c r="I355" s="1" t="s">
        <v>34</v>
      </c>
      <c r="J355">
        <v>2.1</v>
      </c>
      <c r="K355" s="1" t="s">
        <v>66</v>
      </c>
      <c r="L355">
        <v>0.67</v>
      </c>
    </row>
    <row r="356" spans="1:12" x14ac:dyDescent="0.3">
      <c r="A356" s="1" t="s">
        <v>803</v>
      </c>
      <c r="B356" s="1" t="s">
        <v>804</v>
      </c>
      <c r="C356" s="1" t="s">
        <v>86</v>
      </c>
      <c r="D356">
        <v>56</v>
      </c>
      <c r="E356" s="1" t="s">
        <v>95</v>
      </c>
      <c r="F356" s="1" t="s">
        <v>96</v>
      </c>
      <c r="G356" s="1" t="s">
        <v>33</v>
      </c>
      <c r="H356">
        <v>32</v>
      </c>
      <c r="I356" s="1" t="s">
        <v>61</v>
      </c>
      <c r="J356">
        <v>0</v>
      </c>
      <c r="K356" s="1" t="s">
        <v>27</v>
      </c>
      <c r="L356">
        <v>0.86</v>
      </c>
    </row>
    <row r="357" spans="1:12" x14ac:dyDescent="0.3">
      <c r="A357" s="1" t="s">
        <v>805</v>
      </c>
      <c r="B357" s="1" t="s">
        <v>806</v>
      </c>
      <c r="C357" s="1" t="s">
        <v>69</v>
      </c>
      <c r="D357">
        <v>58</v>
      </c>
      <c r="E357" s="1" t="s">
        <v>80</v>
      </c>
      <c r="F357" s="1" t="s">
        <v>81</v>
      </c>
      <c r="G357" s="1" t="s">
        <v>82</v>
      </c>
      <c r="I357" s="1" t="s">
        <v>18</v>
      </c>
      <c r="J357">
        <v>4.5</v>
      </c>
      <c r="K357" s="1" t="s">
        <v>170</v>
      </c>
      <c r="L357">
        <v>77</v>
      </c>
    </row>
    <row r="358" spans="1:12" x14ac:dyDescent="0.3">
      <c r="A358" s="1" t="s">
        <v>807</v>
      </c>
      <c r="B358" s="1" t="s">
        <v>808</v>
      </c>
      <c r="C358" s="1" t="s">
        <v>54</v>
      </c>
      <c r="D358">
        <v>32</v>
      </c>
      <c r="E358" s="1" t="s">
        <v>122</v>
      </c>
      <c r="F358" s="1" t="s">
        <v>123</v>
      </c>
      <c r="G358" s="1" t="s">
        <v>82</v>
      </c>
      <c r="H358">
        <v>10</v>
      </c>
      <c r="I358" s="1" t="s">
        <v>50</v>
      </c>
      <c r="J358">
        <v>3.8</v>
      </c>
      <c r="K358" s="1" t="s">
        <v>19</v>
      </c>
      <c r="L358">
        <v>0.61</v>
      </c>
    </row>
    <row r="359" spans="1:12" x14ac:dyDescent="0.3">
      <c r="A359" s="1" t="s">
        <v>809</v>
      </c>
      <c r="B359" s="1" t="s">
        <v>810</v>
      </c>
      <c r="C359" s="1" t="s">
        <v>86</v>
      </c>
      <c r="D359">
        <v>52</v>
      </c>
      <c r="E359" s="1" t="s">
        <v>103</v>
      </c>
      <c r="F359" s="1" t="s">
        <v>104</v>
      </c>
      <c r="G359" s="1" t="s">
        <v>82</v>
      </c>
      <c r="H359">
        <v>0</v>
      </c>
      <c r="I359" s="1" t="s">
        <v>65</v>
      </c>
      <c r="J359">
        <v>4.3</v>
      </c>
      <c r="K359" s="1" t="s">
        <v>19</v>
      </c>
      <c r="L359">
        <v>0.9</v>
      </c>
    </row>
    <row r="360" spans="1:12" x14ac:dyDescent="0.3">
      <c r="A360" s="1" t="s">
        <v>811</v>
      </c>
      <c r="B360" s="1" t="s">
        <v>812</v>
      </c>
      <c r="C360" s="1" t="s">
        <v>22</v>
      </c>
      <c r="D360">
        <v>22</v>
      </c>
      <c r="E360" s="1" t="s">
        <v>186</v>
      </c>
      <c r="F360" s="1" t="s">
        <v>187</v>
      </c>
      <c r="G360" s="1" t="s">
        <v>57</v>
      </c>
      <c r="H360">
        <v>1</v>
      </c>
      <c r="I360" s="1" t="s">
        <v>34</v>
      </c>
      <c r="J360">
        <v>0</v>
      </c>
      <c r="K360" s="1" t="s">
        <v>65</v>
      </c>
      <c r="L360">
        <v>0.98</v>
      </c>
    </row>
    <row r="361" spans="1:12" x14ac:dyDescent="0.3">
      <c r="A361" s="1" t="s">
        <v>813</v>
      </c>
      <c r="B361" s="1" t="s">
        <v>814</v>
      </c>
      <c r="C361" s="1" t="s">
        <v>107</v>
      </c>
      <c r="D361">
        <v>20</v>
      </c>
      <c r="E361" s="1" t="s">
        <v>103</v>
      </c>
      <c r="F361" s="1" t="s">
        <v>104</v>
      </c>
      <c r="G361" s="1" t="s">
        <v>87</v>
      </c>
      <c r="H361">
        <v>2</v>
      </c>
      <c r="I361" s="1" t="s">
        <v>44</v>
      </c>
      <c r="K361" s="1" t="s">
        <v>27</v>
      </c>
      <c r="L361">
        <v>0.99</v>
      </c>
    </row>
    <row r="362" spans="1:12" x14ac:dyDescent="0.3">
      <c r="A362" s="1" t="s">
        <v>815</v>
      </c>
      <c r="B362" s="1" t="s">
        <v>816</v>
      </c>
      <c r="C362" s="1" t="s">
        <v>102</v>
      </c>
      <c r="D362">
        <v>56</v>
      </c>
      <c r="E362" s="1" t="s">
        <v>47</v>
      </c>
      <c r="F362" s="1" t="s">
        <v>48</v>
      </c>
      <c r="G362" s="1" t="s">
        <v>57</v>
      </c>
      <c r="H362">
        <v>9</v>
      </c>
      <c r="I362" s="1" t="s">
        <v>61</v>
      </c>
      <c r="J362">
        <v>2.6</v>
      </c>
      <c r="K362" s="1" t="s">
        <v>19</v>
      </c>
      <c r="L362">
        <v>0.61</v>
      </c>
    </row>
    <row r="363" spans="1:12" x14ac:dyDescent="0.3">
      <c r="A363" s="1" t="s">
        <v>817</v>
      </c>
      <c r="B363" s="1" t="s">
        <v>818</v>
      </c>
      <c r="C363" s="1" t="s">
        <v>107</v>
      </c>
      <c r="D363">
        <v>41</v>
      </c>
      <c r="E363" s="1" t="s">
        <v>95</v>
      </c>
      <c r="F363" s="1" t="s">
        <v>96</v>
      </c>
      <c r="G363" s="1" t="s">
        <v>57</v>
      </c>
      <c r="H363">
        <v>22</v>
      </c>
      <c r="I363" s="1" t="s">
        <v>108</v>
      </c>
      <c r="J363">
        <v>1.6</v>
      </c>
      <c r="K363" s="1" t="s">
        <v>27</v>
      </c>
      <c r="L363">
        <v>0.61</v>
      </c>
    </row>
    <row r="364" spans="1:12" x14ac:dyDescent="0.3">
      <c r="A364" s="1" t="s">
        <v>819</v>
      </c>
      <c r="B364" s="1" t="s">
        <v>820</v>
      </c>
      <c r="C364" s="1" t="s">
        <v>107</v>
      </c>
      <c r="D364">
        <v>25</v>
      </c>
      <c r="E364" s="1" t="s">
        <v>80</v>
      </c>
      <c r="F364" s="1" t="s">
        <v>81</v>
      </c>
      <c r="G364" s="1" t="s">
        <v>17</v>
      </c>
      <c r="H364">
        <v>5</v>
      </c>
      <c r="I364" s="1" t="s">
        <v>50</v>
      </c>
      <c r="J364">
        <v>2.2999999999999998</v>
      </c>
      <c r="K364" s="1" t="s">
        <v>19</v>
      </c>
      <c r="L364">
        <v>0.91</v>
      </c>
    </row>
    <row r="365" spans="1:12" x14ac:dyDescent="0.3">
      <c r="A365" s="1" t="s">
        <v>821</v>
      </c>
      <c r="B365" s="1" t="s">
        <v>822</v>
      </c>
      <c r="C365" s="1" t="s">
        <v>22</v>
      </c>
      <c r="D365">
        <v>44</v>
      </c>
      <c r="E365" s="1" t="s">
        <v>138</v>
      </c>
      <c r="F365" s="1" t="s">
        <v>24</v>
      </c>
      <c r="G365" s="1" t="s">
        <v>87</v>
      </c>
      <c r="H365">
        <v>6</v>
      </c>
      <c r="I365" s="1" t="s">
        <v>92</v>
      </c>
      <c r="J365">
        <v>4.5999999999999996</v>
      </c>
      <c r="K365" s="1" t="s">
        <v>83</v>
      </c>
      <c r="L365">
        <v>72</v>
      </c>
    </row>
    <row r="366" spans="1:12" x14ac:dyDescent="0.3">
      <c r="A366" s="1" t="s">
        <v>823</v>
      </c>
      <c r="B366" s="1" t="s">
        <v>824</v>
      </c>
      <c r="C366" s="1" t="s">
        <v>43</v>
      </c>
      <c r="D366">
        <v>46</v>
      </c>
      <c r="E366" s="1" t="s">
        <v>23</v>
      </c>
      <c r="F366" s="1" t="s">
        <v>24</v>
      </c>
      <c r="G366" s="1" t="s">
        <v>39</v>
      </c>
      <c r="H366">
        <v>26</v>
      </c>
      <c r="I366" s="1" t="s">
        <v>240</v>
      </c>
      <c r="J366">
        <v>2.1</v>
      </c>
      <c r="K366" s="1" t="s">
        <v>65</v>
      </c>
    </row>
    <row r="367" spans="1:12" x14ac:dyDescent="0.3">
      <c r="A367" s="1" t="s">
        <v>825</v>
      </c>
      <c r="B367" s="1" t="s">
        <v>826</v>
      </c>
      <c r="C367" s="1" t="s">
        <v>43</v>
      </c>
      <c r="D367">
        <v>40</v>
      </c>
      <c r="E367" s="1" t="s">
        <v>122</v>
      </c>
      <c r="F367" s="1" t="s">
        <v>123</v>
      </c>
      <c r="G367" s="1" t="s">
        <v>17</v>
      </c>
      <c r="I367" s="1" t="s">
        <v>76</v>
      </c>
      <c r="J367">
        <v>1.5</v>
      </c>
      <c r="K367" s="1" t="s">
        <v>51</v>
      </c>
      <c r="L367">
        <v>0.96</v>
      </c>
    </row>
    <row r="368" spans="1:12" x14ac:dyDescent="0.3">
      <c r="A368" s="1" t="s">
        <v>827</v>
      </c>
      <c r="B368" s="1" t="s">
        <v>828</v>
      </c>
      <c r="C368" s="1" t="s">
        <v>30</v>
      </c>
      <c r="E368" s="1" t="s">
        <v>186</v>
      </c>
      <c r="F368" s="1" t="s">
        <v>187</v>
      </c>
      <c r="G368" s="1" t="s">
        <v>49</v>
      </c>
      <c r="H368">
        <v>9</v>
      </c>
      <c r="I368" s="1" t="s">
        <v>61</v>
      </c>
      <c r="J368">
        <v>1.7</v>
      </c>
      <c r="K368" s="1" t="s">
        <v>27</v>
      </c>
      <c r="L368">
        <v>72</v>
      </c>
    </row>
    <row r="369" spans="1:12" x14ac:dyDescent="0.3">
      <c r="A369" s="1" t="s">
        <v>829</v>
      </c>
      <c r="B369" s="1" t="s">
        <v>830</v>
      </c>
      <c r="C369" s="1" t="s">
        <v>102</v>
      </c>
      <c r="D369">
        <v>31</v>
      </c>
      <c r="E369" s="1" t="s">
        <v>95</v>
      </c>
      <c r="F369" s="1" t="s">
        <v>96</v>
      </c>
      <c r="G369" s="1" t="s">
        <v>57</v>
      </c>
      <c r="H369">
        <v>11</v>
      </c>
      <c r="I369" s="1" t="s">
        <v>65</v>
      </c>
      <c r="J369">
        <v>3.3</v>
      </c>
      <c r="K369" s="1" t="s">
        <v>19</v>
      </c>
    </row>
    <row r="370" spans="1:12" x14ac:dyDescent="0.3">
      <c r="A370" s="1" t="s">
        <v>831</v>
      </c>
      <c r="B370" s="1" t="s">
        <v>832</v>
      </c>
      <c r="C370" s="1" t="s">
        <v>54</v>
      </c>
      <c r="D370">
        <v>33</v>
      </c>
      <c r="E370" s="1" t="s">
        <v>122</v>
      </c>
      <c r="F370" s="1" t="s">
        <v>123</v>
      </c>
      <c r="G370" s="1" t="s">
        <v>124</v>
      </c>
      <c r="I370" s="1" t="s">
        <v>40</v>
      </c>
      <c r="J370">
        <v>4.3</v>
      </c>
      <c r="K370" s="1" t="s">
        <v>27</v>
      </c>
      <c r="L370">
        <v>0.63</v>
      </c>
    </row>
    <row r="371" spans="1:12" x14ac:dyDescent="0.3">
      <c r="A371" s="1" t="s">
        <v>833</v>
      </c>
      <c r="B371" s="1" t="s">
        <v>834</v>
      </c>
      <c r="C371" s="1" t="s">
        <v>22</v>
      </c>
      <c r="D371">
        <v>31</v>
      </c>
      <c r="E371" s="1" t="s">
        <v>117</v>
      </c>
      <c r="F371" s="1" t="s">
        <v>118</v>
      </c>
      <c r="G371" s="1" t="s">
        <v>124</v>
      </c>
      <c r="H371">
        <v>3</v>
      </c>
      <c r="I371" s="1" t="s">
        <v>131</v>
      </c>
      <c r="K371" s="1" t="s">
        <v>35</v>
      </c>
    </row>
    <row r="372" spans="1:12" x14ac:dyDescent="0.3">
      <c r="A372" s="1" t="s">
        <v>835</v>
      </c>
      <c r="B372" s="1" t="s">
        <v>836</v>
      </c>
      <c r="C372" s="1" t="s">
        <v>38</v>
      </c>
      <c r="D372">
        <v>49</v>
      </c>
      <c r="E372" s="1" t="s">
        <v>15</v>
      </c>
      <c r="F372" s="1" t="s">
        <v>16</v>
      </c>
      <c r="G372" s="1" t="s">
        <v>57</v>
      </c>
      <c r="H372">
        <v>15</v>
      </c>
      <c r="I372" s="1" t="s">
        <v>58</v>
      </c>
      <c r="J372">
        <v>2.6</v>
      </c>
      <c r="K372" s="1" t="s">
        <v>35</v>
      </c>
      <c r="L372">
        <v>0.83</v>
      </c>
    </row>
    <row r="373" spans="1:12" x14ac:dyDescent="0.3">
      <c r="A373" s="1" t="s">
        <v>837</v>
      </c>
      <c r="B373" s="1" t="s">
        <v>838</v>
      </c>
      <c r="C373" s="1" t="s">
        <v>30</v>
      </c>
      <c r="D373">
        <v>35</v>
      </c>
      <c r="E373" s="1" t="s">
        <v>190</v>
      </c>
      <c r="F373" s="1" t="s">
        <v>81</v>
      </c>
      <c r="G373" s="1" t="s">
        <v>33</v>
      </c>
      <c r="H373">
        <v>12</v>
      </c>
      <c r="I373" s="1" t="s">
        <v>325</v>
      </c>
      <c r="J373">
        <v>4.0999999999999996</v>
      </c>
      <c r="K373" s="1" t="s">
        <v>65</v>
      </c>
      <c r="L373">
        <v>0.94</v>
      </c>
    </row>
    <row r="374" spans="1:12" x14ac:dyDescent="0.3">
      <c r="A374" s="1" t="s">
        <v>839</v>
      </c>
      <c r="B374" s="1" t="s">
        <v>840</v>
      </c>
      <c r="C374" s="1" t="s">
        <v>102</v>
      </c>
      <c r="D374">
        <v>45</v>
      </c>
      <c r="E374" s="1" t="s">
        <v>103</v>
      </c>
      <c r="F374" s="1" t="s">
        <v>104</v>
      </c>
      <c r="G374" s="1" t="s">
        <v>57</v>
      </c>
      <c r="H374">
        <v>19</v>
      </c>
      <c r="I374" s="1" t="s">
        <v>40</v>
      </c>
      <c r="J374">
        <v>2.2000000000000002</v>
      </c>
      <c r="K374" s="1" t="s">
        <v>27</v>
      </c>
      <c r="L374">
        <v>0.78</v>
      </c>
    </row>
    <row r="375" spans="1:12" x14ac:dyDescent="0.3">
      <c r="A375" s="1" t="s">
        <v>841</v>
      </c>
      <c r="B375" s="1" t="s">
        <v>842</v>
      </c>
      <c r="C375" s="1" t="s">
        <v>43</v>
      </c>
      <c r="D375">
        <v>39</v>
      </c>
      <c r="E375" s="1" t="s">
        <v>47</v>
      </c>
      <c r="F375" s="1" t="s">
        <v>48</v>
      </c>
      <c r="G375" s="1" t="s">
        <v>57</v>
      </c>
      <c r="H375">
        <v>13</v>
      </c>
      <c r="I375" s="1" t="s">
        <v>44</v>
      </c>
      <c r="J375">
        <v>1.1000000000000001</v>
      </c>
      <c r="K375" s="1" t="s">
        <v>27</v>
      </c>
    </row>
    <row r="376" spans="1:12" x14ac:dyDescent="0.3">
      <c r="A376" s="1" t="s">
        <v>843</v>
      </c>
      <c r="B376" s="1" t="s">
        <v>844</v>
      </c>
      <c r="C376" s="1" t="s">
        <v>69</v>
      </c>
      <c r="E376" s="1" t="s">
        <v>80</v>
      </c>
      <c r="F376" s="1" t="s">
        <v>81</v>
      </c>
      <c r="G376" s="1" t="s">
        <v>17</v>
      </c>
      <c r="I376" s="1" t="s">
        <v>72</v>
      </c>
      <c r="J376">
        <v>2.1</v>
      </c>
      <c r="K376" s="1" t="s">
        <v>27</v>
      </c>
      <c r="L376">
        <v>0.82</v>
      </c>
    </row>
    <row r="377" spans="1:12" x14ac:dyDescent="0.3">
      <c r="A377" s="1" t="s">
        <v>845</v>
      </c>
      <c r="B377" s="1" t="s">
        <v>846</v>
      </c>
      <c r="C377" s="1" t="s">
        <v>30</v>
      </c>
      <c r="D377">
        <v>24</v>
      </c>
      <c r="E377" s="1" t="s">
        <v>31</v>
      </c>
      <c r="F377" s="1" t="s">
        <v>32</v>
      </c>
      <c r="G377" s="1" t="s">
        <v>87</v>
      </c>
      <c r="H377">
        <v>3</v>
      </c>
      <c r="I377" s="1" t="s">
        <v>50</v>
      </c>
      <c r="J377">
        <v>2.2999999999999998</v>
      </c>
      <c r="K377" s="1" t="s">
        <v>51</v>
      </c>
      <c r="L377">
        <v>0.66</v>
      </c>
    </row>
    <row r="378" spans="1:12" x14ac:dyDescent="0.3">
      <c r="A378" s="1" t="s">
        <v>847</v>
      </c>
      <c r="B378" s="1" t="s">
        <v>848</v>
      </c>
      <c r="C378" s="1" t="s">
        <v>107</v>
      </c>
      <c r="D378">
        <v>50</v>
      </c>
      <c r="E378" s="1" t="s">
        <v>23</v>
      </c>
      <c r="F378" s="1" t="s">
        <v>24</v>
      </c>
      <c r="G378" s="1" t="s">
        <v>33</v>
      </c>
      <c r="H378">
        <v>26</v>
      </c>
      <c r="I378" s="1" t="s">
        <v>65</v>
      </c>
      <c r="J378">
        <v>3.6</v>
      </c>
      <c r="K378" s="1" t="s">
        <v>27</v>
      </c>
      <c r="L378">
        <v>82</v>
      </c>
    </row>
    <row r="379" spans="1:12" x14ac:dyDescent="0.3">
      <c r="A379" s="1" t="s">
        <v>849</v>
      </c>
      <c r="B379" s="1" t="s">
        <v>850</v>
      </c>
      <c r="C379" s="1" t="s">
        <v>43</v>
      </c>
      <c r="D379">
        <v>23</v>
      </c>
      <c r="E379" s="1" t="s">
        <v>31</v>
      </c>
      <c r="F379" s="1" t="s">
        <v>32</v>
      </c>
      <c r="G379" s="1" t="s">
        <v>124</v>
      </c>
      <c r="H379">
        <v>4</v>
      </c>
      <c r="I379" s="1" t="s">
        <v>325</v>
      </c>
      <c r="J379">
        <v>4.7</v>
      </c>
      <c r="K379" s="1" t="s">
        <v>66</v>
      </c>
      <c r="L379">
        <v>0.84</v>
      </c>
    </row>
    <row r="380" spans="1:12" x14ac:dyDescent="0.3">
      <c r="A380" s="1" t="s">
        <v>851</v>
      </c>
      <c r="B380" s="1" t="s">
        <v>852</v>
      </c>
      <c r="C380" s="1" t="s">
        <v>69</v>
      </c>
      <c r="D380">
        <v>27</v>
      </c>
      <c r="E380" s="1" t="s">
        <v>138</v>
      </c>
      <c r="F380" s="1" t="s">
        <v>24</v>
      </c>
      <c r="G380" s="1" t="s">
        <v>87</v>
      </c>
      <c r="H380">
        <v>8</v>
      </c>
      <c r="I380" s="1" t="s">
        <v>151</v>
      </c>
      <c r="J380">
        <v>4.8</v>
      </c>
      <c r="K380" s="1" t="s">
        <v>35</v>
      </c>
      <c r="L380">
        <v>0.81</v>
      </c>
    </row>
    <row r="381" spans="1:12" x14ac:dyDescent="0.3">
      <c r="A381" s="1" t="s">
        <v>853</v>
      </c>
      <c r="B381" s="1" t="s">
        <v>854</v>
      </c>
      <c r="C381" s="1" t="s">
        <v>107</v>
      </c>
      <c r="D381">
        <v>58</v>
      </c>
      <c r="E381" s="1" t="s">
        <v>164</v>
      </c>
      <c r="F381" s="1" t="s">
        <v>165</v>
      </c>
      <c r="G381" s="1" t="s">
        <v>49</v>
      </c>
      <c r="H381">
        <v>10</v>
      </c>
      <c r="I381" s="1" t="s">
        <v>92</v>
      </c>
      <c r="J381">
        <v>4.2</v>
      </c>
      <c r="K381" s="1" t="s">
        <v>35</v>
      </c>
      <c r="L381">
        <v>71</v>
      </c>
    </row>
    <row r="382" spans="1:12" x14ac:dyDescent="0.3">
      <c r="A382" s="1" t="s">
        <v>855</v>
      </c>
      <c r="B382" s="1" t="s">
        <v>856</v>
      </c>
      <c r="C382" s="1" t="s">
        <v>54</v>
      </c>
      <c r="D382">
        <v>37</v>
      </c>
      <c r="E382" s="1" t="s">
        <v>15</v>
      </c>
      <c r="F382" s="1" t="s">
        <v>16</v>
      </c>
      <c r="G382" s="1" t="s">
        <v>124</v>
      </c>
      <c r="H382">
        <v>5</v>
      </c>
      <c r="I382" s="1" t="s">
        <v>65</v>
      </c>
      <c r="J382">
        <v>4.8</v>
      </c>
      <c r="K382" s="1" t="s">
        <v>27</v>
      </c>
      <c r="L382">
        <v>0.61</v>
      </c>
    </row>
    <row r="383" spans="1:12" x14ac:dyDescent="0.3">
      <c r="A383" s="1" t="s">
        <v>857</v>
      </c>
      <c r="B383" s="1" t="s">
        <v>858</v>
      </c>
      <c r="C383" s="1" t="s">
        <v>69</v>
      </c>
      <c r="D383">
        <v>39</v>
      </c>
      <c r="E383" s="1" t="s">
        <v>201</v>
      </c>
      <c r="F383" s="1" t="s">
        <v>81</v>
      </c>
      <c r="G383" s="1" t="s">
        <v>17</v>
      </c>
      <c r="H383">
        <v>18</v>
      </c>
      <c r="I383" s="1" t="s">
        <v>92</v>
      </c>
      <c r="J383">
        <v>4</v>
      </c>
      <c r="K383" s="1" t="s">
        <v>27</v>
      </c>
      <c r="L383">
        <v>0.66</v>
      </c>
    </row>
    <row r="384" spans="1:12" x14ac:dyDescent="0.3">
      <c r="A384" s="1" t="s">
        <v>859</v>
      </c>
      <c r="B384" s="1" t="s">
        <v>860</v>
      </c>
      <c r="C384" s="1" t="s">
        <v>22</v>
      </c>
      <c r="D384">
        <v>46</v>
      </c>
      <c r="E384" s="1" t="s">
        <v>149</v>
      </c>
      <c r="F384" s="1" t="s">
        <v>150</v>
      </c>
      <c r="G384" s="1" t="s">
        <v>57</v>
      </c>
      <c r="H384">
        <v>10</v>
      </c>
      <c r="I384" s="1" t="s">
        <v>131</v>
      </c>
      <c r="J384">
        <v>2.5</v>
      </c>
      <c r="K384" s="1" t="s">
        <v>66</v>
      </c>
      <c r="L384">
        <v>0.97</v>
      </c>
    </row>
    <row r="385" spans="1:12" x14ac:dyDescent="0.3">
      <c r="A385" s="1" t="s">
        <v>861</v>
      </c>
      <c r="B385" s="1" t="s">
        <v>862</v>
      </c>
      <c r="C385" s="1" t="s">
        <v>86</v>
      </c>
      <c r="E385" s="1" t="s">
        <v>75</v>
      </c>
      <c r="F385" s="1" t="s">
        <v>24</v>
      </c>
      <c r="G385" s="1" t="s">
        <v>82</v>
      </c>
      <c r="H385">
        <v>0</v>
      </c>
      <c r="I385" s="1" t="s">
        <v>325</v>
      </c>
      <c r="J385">
        <v>4.8</v>
      </c>
      <c r="K385" s="1" t="s">
        <v>19</v>
      </c>
      <c r="L385">
        <v>0.74</v>
      </c>
    </row>
    <row r="386" spans="1:12" x14ac:dyDescent="0.3">
      <c r="A386" s="1" t="s">
        <v>863</v>
      </c>
      <c r="B386" s="1" t="s">
        <v>864</v>
      </c>
      <c r="C386" s="1" t="s">
        <v>14</v>
      </c>
      <c r="D386">
        <v>39</v>
      </c>
      <c r="E386" s="1" t="s">
        <v>190</v>
      </c>
      <c r="F386" s="1" t="s">
        <v>81</v>
      </c>
      <c r="G386" s="1" t="s">
        <v>17</v>
      </c>
      <c r="H386">
        <v>21</v>
      </c>
      <c r="I386" s="1" t="s">
        <v>44</v>
      </c>
      <c r="J386">
        <v>4.7</v>
      </c>
      <c r="K386" s="1" t="s">
        <v>51</v>
      </c>
      <c r="L386">
        <v>0.61</v>
      </c>
    </row>
    <row r="387" spans="1:12" x14ac:dyDescent="0.3">
      <c r="A387" s="1" t="s">
        <v>865</v>
      </c>
      <c r="B387" s="1" t="s">
        <v>866</v>
      </c>
      <c r="C387" s="1" t="s">
        <v>102</v>
      </c>
      <c r="D387">
        <v>59</v>
      </c>
      <c r="E387" s="1" t="s">
        <v>149</v>
      </c>
      <c r="F387" s="1" t="s">
        <v>150</v>
      </c>
      <c r="G387" s="1" t="s">
        <v>17</v>
      </c>
      <c r="H387">
        <v>25</v>
      </c>
      <c r="I387" s="1" t="s">
        <v>151</v>
      </c>
      <c r="J387">
        <v>4</v>
      </c>
      <c r="K387" s="1" t="s">
        <v>19</v>
      </c>
      <c r="L387">
        <v>0.9</v>
      </c>
    </row>
    <row r="388" spans="1:12" x14ac:dyDescent="0.3">
      <c r="A388" s="1" t="s">
        <v>867</v>
      </c>
      <c r="B388" s="1" t="s">
        <v>868</v>
      </c>
      <c r="C388" s="1" t="s">
        <v>54</v>
      </c>
      <c r="D388">
        <v>21</v>
      </c>
      <c r="E388" s="1" t="s">
        <v>47</v>
      </c>
      <c r="F388" s="1" t="s">
        <v>48</v>
      </c>
      <c r="G388" s="1" t="s">
        <v>99</v>
      </c>
      <c r="H388">
        <v>0</v>
      </c>
      <c r="I388" s="1" t="s">
        <v>40</v>
      </c>
      <c r="J388">
        <v>4.0999999999999996</v>
      </c>
      <c r="K388" s="1" t="s">
        <v>83</v>
      </c>
      <c r="L388">
        <v>0.97</v>
      </c>
    </row>
    <row r="389" spans="1:12" x14ac:dyDescent="0.3">
      <c r="A389" s="1" t="s">
        <v>869</v>
      </c>
      <c r="B389" s="1" t="s">
        <v>870</v>
      </c>
      <c r="C389" s="1" t="s">
        <v>22</v>
      </c>
      <c r="D389">
        <v>23</v>
      </c>
      <c r="E389" s="1" t="s">
        <v>138</v>
      </c>
      <c r="F389" s="1" t="s">
        <v>24</v>
      </c>
      <c r="G389" s="1" t="s">
        <v>99</v>
      </c>
      <c r="H389">
        <v>5</v>
      </c>
      <c r="I389" s="1" t="s">
        <v>18</v>
      </c>
      <c r="J389">
        <v>3.2</v>
      </c>
      <c r="K389" s="1" t="s">
        <v>27</v>
      </c>
    </row>
    <row r="390" spans="1:12" x14ac:dyDescent="0.3">
      <c r="A390" s="1" t="s">
        <v>871</v>
      </c>
      <c r="B390" s="1" t="s">
        <v>872</v>
      </c>
      <c r="C390" s="1" t="s">
        <v>54</v>
      </c>
      <c r="D390">
        <v>27</v>
      </c>
      <c r="E390" s="1" t="s">
        <v>149</v>
      </c>
      <c r="F390" s="1" t="s">
        <v>150</v>
      </c>
      <c r="G390" s="1" t="s">
        <v>39</v>
      </c>
      <c r="H390">
        <v>1</v>
      </c>
      <c r="I390" s="1" t="s">
        <v>151</v>
      </c>
      <c r="J390">
        <v>4.3</v>
      </c>
      <c r="K390" s="1" t="s">
        <v>35</v>
      </c>
      <c r="L390">
        <v>0.76</v>
      </c>
    </row>
    <row r="391" spans="1:12" x14ac:dyDescent="0.3">
      <c r="A391" s="1" t="s">
        <v>873</v>
      </c>
      <c r="B391" s="1" t="s">
        <v>874</v>
      </c>
      <c r="C391" s="1" t="s">
        <v>54</v>
      </c>
      <c r="D391">
        <v>27</v>
      </c>
      <c r="E391" s="1" t="s">
        <v>186</v>
      </c>
      <c r="F391" s="1" t="s">
        <v>187</v>
      </c>
      <c r="G391" s="1" t="s">
        <v>87</v>
      </c>
      <c r="H391">
        <v>4</v>
      </c>
      <c r="I391" s="1" t="s">
        <v>76</v>
      </c>
      <c r="J391">
        <v>4.4000000000000004</v>
      </c>
      <c r="K391" s="1" t="s">
        <v>19</v>
      </c>
      <c r="L391">
        <v>0.92</v>
      </c>
    </row>
    <row r="392" spans="1:12" x14ac:dyDescent="0.3">
      <c r="A392" s="1" t="s">
        <v>875</v>
      </c>
      <c r="B392" s="1" t="s">
        <v>876</v>
      </c>
      <c r="C392" s="1" t="s">
        <v>38</v>
      </c>
      <c r="D392">
        <v>48</v>
      </c>
      <c r="E392" s="1" t="s">
        <v>164</v>
      </c>
      <c r="F392" s="1" t="s">
        <v>165</v>
      </c>
      <c r="G392" s="1" t="s">
        <v>57</v>
      </c>
      <c r="H392">
        <v>21</v>
      </c>
      <c r="I392" s="1" t="s">
        <v>76</v>
      </c>
      <c r="J392">
        <v>2.2999999999999998</v>
      </c>
      <c r="K392" s="1" t="s">
        <v>19</v>
      </c>
    </row>
    <row r="393" spans="1:12" x14ac:dyDescent="0.3">
      <c r="A393" s="1" t="s">
        <v>877</v>
      </c>
      <c r="B393" s="1" t="s">
        <v>878</v>
      </c>
      <c r="C393" s="1" t="s">
        <v>69</v>
      </c>
      <c r="D393">
        <v>21</v>
      </c>
      <c r="E393" s="1" t="s">
        <v>164</v>
      </c>
      <c r="F393" s="1" t="s">
        <v>165</v>
      </c>
      <c r="G393" s="1" t="s">
        <v>49</v>
      </c>
      <c r="H393">
        <v>1</v>
      </c>
      <c r="I393" s="1" t="s">
        <v>131</v>
      </c>
      <c r="J393">
        <v>2.4</v>
      </c>
      <c r="K393" s="1" t="s">
        <v>27</v>
      </c>
      <c r="L393">
        <v>0.66</v>
      </c>
    </row>
    <row r="394" spans="1:12" x14ac:dyDescent="0.3">
      <c r="A394" s="1" t="s">
        <v>879</v>
      </c>
      <c r="B394" s="1" t="s">
        <v>880</v>
      </c>
      <c r="C394" s="1" t="s">
        <v>54</v>
      </c>
      <c r="D394">
        <v>37</v>
      </c>
      <c r="E394" s="1" t="s">
        <v>15</v>
      </c>
      <c r="F394" s="1" t="s">
        <v>16</v>
      </c>
      <c r="G394" s="1" t="s">
        <v>99</v>
      </c>
      <c r="I394" s="1" t="s">
        <v>34</v>
      </c>
      <c r="J394">
        <v>4.5999999999999996</v>
      </c>
      <c r="K394" s="1" t="s">
        <v>19</v>
      </c>
      <c r="L394">
        <v>0.83</v>
      </c>
    </row>
    <row r="395" spans="1:12" x14ac:dyDescent="0.3">
      <c r="A395" s="1" t="s">
        <v>881</v>
      </c>
      <c r="B395" s="1" t="s">
        <v>882</v>
      </c>
      <c r="C395" s="1" t="s">
        <v>38</v>
      </c>
      <c r="D395">
        <v>31</v>
      </c>
      <c r="E395" s="1" t="s">
        <v>31</v>
      </c>
      <c r="F395" s="1" t="s">
        <v>32</v>
      </c>
      <c r="G395" s="1" t="s">
        <v>82</v>
      </c>
      <c r="H395">
        <v>10</v>
      </c>
      <c r="I395" s="1" t="s">
        <v>34</v>
      </c>
      <c r="J395">
        <v>0</v>
      </c>
      <c r="K395" s="1" t="s">
        <v>170</v>
      </c>
    </row>
    <row r="396" spans="1:12" x14ac:dyDescent="0.3">
      <c r="A396" s="1" t="s">
        <v>883</v>
      </c>
      <c r="B396" s="1" t="s">
        <v>884</v>
      </c>
      <c r="C396" s="1" t="s">
        <v>14</v>
      </c>
      <c r="D396">
        <v>41</v>
      </c>
      <c r="E396" s="1" t="s">
        <v>149</v>
      </c>
      <c r="F396" s="1" t="s">
        <v>150</v>
      </c>
      <c r="G396" s="1" t="s">
        <v>17</v>
      </c>
      <c r="H396">
        <v>21</v>
      </c>
      <c r="I396" s="1" t="s">
        <v>65</v>
      </c>
      <c r="J396">
        <v>0</v>
      </c>
      <c r="K396" s="1" t="s">
        <v>83</v>
      </c>
    </row>
    <row r="397" spans="1:12" x14ac:dyDescent="0.3">
      <c r="A397" s="1" t="s">
        <v>885</v>
      </c>
      <c r="B397" s="1" t="s">
        <v>886</v>
      </c>
      <c r="C397" s="1" t="s">
        <v>30</v>
      </c>
      <c r="D397">
        <v>31</v>
      </c>
      <c r="E397" s="1" t="s">
        <v>134</v>
      </c>
      <c r="F397" s="1" t="s">
        <v>135</v>
      </c>
      <c r="G397" s="1" t="s">
        <v>87</v>
      </c>
      <c r="H397">
        <v>0</v>
      </c>
      <c r="I397" s="1" t="s">
        <v>131</v>
      </c>
      <c r="J397">
        <v>4.2</v>
      </c>
      <c r="K397" s="1" t="s">
        <v>83</v>
      </c>
      <c r="L397">
        <v>82</v>
      </c>
    </row>
    <row r="398" spans="1:12" x14ac:dyDescent="0.3">
      <c r="A398" s="1" t="s">
        <v>887</v>
      </c>
      <c r="B398" s="1" t="s">
        <v>888</v>
      </c>
      <c r="C398" s="1" t="s">
        <v>22</v>
      </c>
      <c r="D398">
        <v>58</v>
      </c>
      <c r="E398" s="1" t="s">
        <v>80</v>
      </c>
      <c r="F398" s="1" t="s">
        <v>81</v>
      </c>
      <c r="G398" s="1" t="s">
        <v>57</v>
      </c>
      <c r="H398">
        <v>0</v>
      </c>
      <c r="I398" s="1" t="s">
        <v>34</v>
      </c>
      <c r="J398">
        <v>2.2999999999999998</v>
      </c>
      <c r="K398" s="1" t="s">
        <v>19</v>
      </c>
      <c r="L398">
        <v>0.77</v>
      </c>
    </row>
    <row r="399" spans="1:12" x14ac:dyDescent="0.3">
      <c r="A399" s="1" t="s">
        <v>889</v>
      </c>
      <c r="B399" s="1" t="s">
        <v>890</v>
      </c>
      <c r="C399" s="1" t="s">
        <v>14</v>
      </c>
      <c r="D399">
        <v>45</v>
      </c>
      <c r="E399" s="1" t="s">
        <v>47</v>
      </c>
      <c r="F399" s="1" t="s">
        <v>48</v>
      </c>
      <c r="G399" s="1" t="s">
        <v>57</v>
      </c>
      <c r="H399">
        <v>17</v>
      </c>
      <c r="I399" s="1" t="s">
        <v>72</v>
      </c>
      <c r="J399">
        <v>4.7</v>
      </c>
      <c r="K399" s="1" t="s">
        <v>27</v>
      </c>
      <c r="L399">
        <v>0.73</v>
      </c>
    </row>
    <row r="400" spans="1:12" x14ac:dyDescent="0.3">
      <c r="A400" s="1" t="s">
        <v>891</v>
      </c>
      <c r="B400" s="1" t="s">
        <v>892</v>
      </c>
      <c r="C400" s="1" t="s">
        <v>54</v>
      </c>
      <c r="D400">
        <v>51</v>
      </c>
      <c r="E400" s="1" t="s">
        <v>122</v>
      </c>
      <c r="F400" s="1" t="s">
        <v>123</v>
      </c>
      <c r="G400" s="1" t="s">
        <v>87</v>
      </c>
      <c r="H400">
        <v>5</v>
      </c>
      <c r="I400" s="1" t="s">
        <v>65</v>
      </c>
      <c r="J400">
        <v>3</v>
      </c>
      <c r="K400" s="1" t="s">
        <v>27</v>
      </c>
      <c r="L400">
        <v>0.88</v>
      </c>
    </row>
    <row r="401" spans="1:12" x14ac:dyDescent="0.3">
      <c r="A401" s="1" t="s">
        <v>893</v>
      </c>
      <c r="B401" s="1" t="s">
        <v>894</v>
      </c>
      <c r="C401" s="1" t="s">
        <v>69</v>
      </c>
      <c r="D401">
        <v>54</v>
      </c>
      <c r="E401" s="1" t="s">
        <v>64</v>
      </c>
      <c r="F401" s="1" t="s">
        <v>24</v>
      </c>
      <c r="G401" s="1" t="s">
        <v>82</v>
      </c>
      <c r="H401">
        <v>3</v>
      </c>
      <c r="I401" s="1" t="s">
        <v>119</v>
      </c>
      <c r="J401">
        <v>2.4</v>
      </c>
      <c r="K401" s="1" t="s">
        <v>19</v>
      </c>
      <c r="L401">
        <v>0.81</v>
      </c>
    </row>
    <row r="402" spans="1:12" x14ac:dyDescent="0.3">
      <c r="A402" s="1" t="s">
        <v>895</v>
      </c>
      <c r="B402" s="1" t="s">
        <v>896</v>
      </c>
      <c r="C402" s="1" t="s">
        <v>102</v>
      </c>
      <c r="D402">
        <v>22</v>
      </c>
      <c r="E402" s="1" t="s">
        <v>134</v>
      </c>
      <c r="F402" s="1" t="s">
        <v>135</v>
      </c>
      <c r="G402" s="1" t="s">
        <v>57</v>
      </c>
      <c r="H402">
        <v>1</v>
      </c>
      <c r="I402" s="1" t="s">
        <v>151</v>
      </c>
      <c r="J402">
        <v>1.7</v>
      </c>
      <c r="K402" s="1" t="s">
        <v>35</v>
      </c>
      <c r="L402">
        <v>0.78</v>
      </c>
    </row>
    <row r="403" spans="1:12" x14ac:dyDescent="0.3">
      <c r="A403" s="1" t="s">
        <v>897</v>
      </c>
      <c r="B403" s="1" t="s">
        <v>898</v>
      </c>
      <c r="C403" s="1" t="s">
        <v>102</v>
      </c>
      <c r="D403">
        <v>36</v>
      </c>
      <c r="E403" s="1" t="s">
        <v>70</v>
      </c>
      <c r="F403" s="1" t="s">
        <v>71</v>
      </c>
      <c r="G403" s="1" t="s">
        <v>87</v>
      </c>
      <c r="H403">
        <v>2</v>
      </c>
      <c r="I403" s="1" t="s">
        <v>92</v>
      </c>
      <c r="J403">
        <v>0</v>
      </c>
      <c r="K403" s="1" t="s">
        <v>51</v>
      </c>
      <c r="L403">
        <v>0.92</v>
      </c>
    </row>
    <row r="404" spans="1:12" x14ac:dyDescent="0.3">
      <c r="A404" s="1" t="s">
        <v>899</v>
      </c>
      <c r="B404" s="1" t="s">
        <v>900</v>
      </c>
      <c r="C404" s="1" t="s">
        <v>69</v>
      </c>
      <c r="D404">
        <v>50</v>
      </c>
      <c r="E404" s="1" t="s">
        <v>31</v>
      </c>
      <c r="F404" s="1" t="s">
        <v>32</v>
      </c>
      <c r="G404" s="1" t="s">
        <v>99</v>
      </c>
      <c r="H404">
        <v>32</v>
      </c>
      <c r="I404" s="1" t="s">
        <v>50</v>
      </c>
      <c r="K404" s="1" t="s">
        <v>19</v>
      </c>
      <c r="L404">
        <v>0.64</v>
      </c>
    </row>
    <row r="405" spans="1:12" x14ac:dyDescent="0.3">
      <c r="A405" s="1" t="s">
        <v>901</v>
      </c>
      <c r="B405" s="1" t="s">
        <v>902</v>
      </c>
      <c r="C405" s="1" t="s">
        <v>86</v>
      </c>
      <c r="D405">
        <v>41</v>
      </c>
      <c r="E405" s="1" t="s">
        <v>23</v>
      </c>
      <c r="F405" s="1" t="s">
        <v>24</v>
      </c>
      <c r="G405" s="1" t="s">
        <v>17</v>
      </c>
      <c r="H405">
        <v>14</v>
      </c>
      <c r="I405" s="1" t="s">
        <v>44</v>
      </c>
      <c r="J405">
        <v>0</v>
      </c>
      <c r="K405" s="1" t="s">
        <v>83</v>
      </c>
      <c r="L405">
        <v>0.78</v>
      </c>
    </row>
    <row r="406" spans="1:12" x14ac:dyDescent="0.3">
      <c r="A406" s="1" t="s">
        <v>903</v>
      </c>
      <c r="B406" s="1" t="s">
        <v>904</v>
      </c>
      <c r="C406" s="1" t="s">
        <v>102</v>
      </c>
      <c r="E406" s="1" t="s">
        <v>164</v>
      </c>
      <c r="F406" s="1" t="s">
        <v>165</v>
      </c>
      <c r="G406" s="1" t="s">
        <v>39</v>
      </c>
      <c r="H406">
        <v>10</v>
      </c>
      <c r="I406" s="1" t="s">
        <v>151</v>
      </c>
      <c r="J406">
        <v>1.8</v>
      </c>
      <c r="K406" s="1" t="s">
        <v>77</v>
      </c>
      <c r="L406">
        <v>85</v>
      </c>
    </row>
    <row r="407" spans="1:12" x14ac:dyDescent="0.3">
      <c r="A407" s="1" t="s">
        <v>905</v>
      </c>
      <c r="B407" s="1" t="s">
        <v>906</v>
      </c>
      <c r="C407" s="1" t="s">
        <v>22</v>
      </c>
      <c r="D407">
        <v>51</v>
      </c>
      <c r="E407" s="1" t="s">
        <v>47</v>
      </c>
      <c r="F407" s="1" t="s">
        <v>48</v>
      </c>
      <c r="G407" s="1" t="s">
        <v>87</v>
      </c>
      <c r="H407">
        <v>27</v>
      </c>
      <c r="I407" s="1" t="s">
        <v>72</v>
      </c>
      <c r="J407">
        <v>0</v>
      </c>
      <c r="K407" s="1" t="s">
        <v>170</v>
      </c>
      <c r="L407">
        <v>0.78</v>
      </c>
    </row>
    <row r="408" spans="1:12" x14ac:dyDescent="0.3">
      <c r="A408" s="1" t="s">
        <v>907</v>
      </c>
      <c r="B408" s="1" t="s">
        <v>908</v>
      </c>
      <c r="C408" s="1" t="s">
        <v>30</v>
      </c>
      <c r="D408">
        <v>21</v>
      </c>
      <c r="E408" s="1" t="s">
        <v>145</v>
      </c>
      <c r="F408" s="1" t="s">
        <v>146</v>
      </c>
      <c r="G408" s="1" t="s">
        <v>49</v>
      </c>
      <c r="H408">
        <v>2</v>
      </c>
      <c r="I408" s="1" t="s">
        <v>50</v>
      </c>
      <c r="J408">
        <v>3.8</v>
      </c>
      <c r="K408" s="1" t="s">
        <v>27</v>
      </c>
      <c r="L408">
        <v>0.98</v>
      </c>
    </row>
    <row r="409" spans="1:12" x14ac:dyDescent="0.3">
      <c r="A409" s="1" t="s">
        <v>909</v>
      </c>
      <c r="B409" s="1" t="s">
        <v>910</v>
      </c>
      <c r="C409" s="1" t="s">
        <v>69</v>
      </c>
      <c r="D409">
        <v>51</v>
      </c>
      <c r="E409" s="1" t="s">
        <v>95</v>
      </c>
      <c r="F409" s="1" t="s">
        <v>96</v>
      </c>
      <c r="G409" s="1" t="s">
        <v>49</v>
      </c>
      <c r="H409">
        <v>33</v>
      </c>
      <c r="I409" s="1" t="s">
        <v>61</v>
      </c>
      <c r="J409">
        <v>0</v>
      </c>
      <c r="K409" s="1" t="s">
        <v>83</v>
      </c>
      <c r="L409">
        <v>0.63</v>
      </c>
    </row>
    <row r="410" spans="1:12" x14ac:dyDescent="0.3">
      <c r="A410" s="1" t="s">
        <v>911</v>
      </c>
      <c r="B410" s="1" t="s">
        <v>912</v>
      </c>
      <c r="C410" s="1" t="s">
        <v>43</v>
      </c>
      <c r="D410">
        <v>37</v>
      </c>
      <c r="E410" s="1" t="s">
        <v>55</v>
      </c>
      <c r="F410" s="1" t="s">
        <v>56</v>
      </c>
      <c r="G410" s="1" t="s">
        <v>33</v>
      </c>
      <c r="H410">
        <v>11</v>
      </c>
      <c r="I410" s="1" t="s">
        <v>61</v>
      </c>
      <c r="J410">
        <v>3.6</v>
      </c>
      <c r="K410" s="1" t="s">
        <v>35</v>
      </c>
      <c r="L410">
        <v>0.73</v>
      </c>
    </row>
    <row r="411" spans="1:12" x14ac:dyDescent="0.3">
      <c r="A411" s="1" t="s">
        <v>913</v>
      </c>
      <c r="B411" s="1" t="s">
        <v>914</v>
      </c>
      <c r="C411" s="1" t="s">
        <v>14</v>
      </c>
      <c r="D411">
        <v>20</v>
      </c>
      <c r="E411" s="1" t="s">
        <v>201</v>
      </c>
      <c r="F411" s="1" t="s">
        <v>81</v>
      </c>
      <c r="G411" s="1" t="s">
        <v>33</v>
      </c>
      <c r="H411">
        <v>2</v>
      </c>
      <c r="I411" s="1" t="s">
        <v>44</v>
      </c>
      <c r="J411">
        <v>0</v>
      </c>
      <c r="K411" s="1" t="s">
        <v>19</v>
      </c>
      <c r="L411">
        <v>0.94</v>
      </c>
    </row>
    <row r="412" spans="1:12" x14ac:dyDescent="0.3">
      <c r="A412" s="1" t="s">
        <v>915</v>
      </c>
      <c r="B412" s="1" t="s">
        <v>916</v>
      </c>
      <c r="C412" s="1" t="s">
        <v>86</v>
      </c>
      <c r="D412">
        <v>50</v>
      </c>
      <c r="E412" s="1" t="s">
        <v>23</v>
      </c>
      <c r="F412" s="1" t="s">
        <v>24</v>
      </c>
      <c r="G412" s="1" t="s">
        <v>39</v>
      </c>
      <c r="H412">
        <v>31</v>
      </c>
      <c r="I412" s="1" t="s">
        <v>72</v>
      </c>
      <c r="J412">
        <v>4.0999999999999996</v>
      </c>
      <c r="K412" s="1" t="s">
        <v>65</v>
      </c>
      <c r="L412">
        <v>0.81</v>
      </c>
    </row>
    <row r="413" spans="1:12" x14ac:dyDescent="0.3">
      <c r="A413" s="1" t="s">
        <v>917</v>
      </c>
      <c r="B413" s="1" t="s">
        <v>918</v>
      </c>
      <c r="C413" s="1" t="s">
        <v>22</v>
      </c>
      <c r="D413">
        <v>58</v>
      </c>
      <c r="E413" s="1" t="s">
        <v>70</v>
      </c>
      <c r="F413" s="1" t="s">
        <v>71</v>
      </c>
      <c r="G413" s="1" t="s">
        <v>33</v>
      </c>
      <c r="H413">
        <v>17</v>
      </c>
      <c r="I413" s="1" t="s">
        <v>72</v>
      </c>
      <c r="J413">
        <v>2.6</v>
      </c>
      <c r="K413" s="1" t="s">
        <v>27</v>
      </c>
      <c r="L413">
        <v>0.61</v>
      </c>
    </row>
    <row r="414" spans="1:12" x14ac:dyDescent="0.3">
      <c r="A414" s="1" t="s">
        <v>919</v>
      </c>
      <c r="B414" s="1" t="s">
        <v>920</v>
      </c>
      <c r="C414" s="1" t="s">
        <v>22</v>
      </c>
      <c r="D414">
        <v>40</v>
      </c>
      <c r="E414" s="1" t="s">
        <v>117</v>
      </c>
      <c r="F414" s="1" t="s">
        <v>118</v>
      </c>
      <c r="G414" s="1" t="s">
        <v>82</v>
      </c>
      <c r="H414">
        <v>2</v>
      </c>
      <c r="I414" s="1" t="s">
        <v>240</v>
      </c>
      <c r="J414">
        <v>0</v>
      </c>
      <c r="K414" s="1" t="s">
        <v>19</v>
      </c>
    </row>
    <row r="415" spans="1:12" x14ac:dyDescent="0.3">
      <c r="A415" s="1" t="s">
        <v>921</v>
      </c>
      <c r="B415" s="1" t="s">
        <v>922</v>
      </c>
      <c r="C415" s="1" t="s">
        <v>38</v>
      </c>
      <c r="D415">
        <v>26</v>
      </c>
      <c r="E415" s="1" t="s">
        <v>149</v>
      </c>
      <c r="F415" s="1" t="s">
        <v>150</v>
      </c>
      <c r="G415" s="1" t="s">
        <v>39</v>
      </c>
      <c r="H415">
        <v>2</v>
      </c>
      <c r="I415" s="1" t="s">
        <v>151</v>
      </c>
      <c r="J415">
        <v>1.3</v>
      </c>
      <c r="K415" s="1" t="s">
        <v>170</v>
      </c>
      <c r="L415">
        <v>0.83</v>
      </c>
    </row>
    <row r="416" spans="1:12" x14ac:dyDescent="0.3">
      <c r="A416" s="1" t="s">
        <v>923</v>
      </c>
      <c r="B416" s="1" t="s">
        <v>924</v>
      </c>
      <c r="C416" s="1" t="s">
        <v>22</v>
      </c>
      <c r="D416">
        <v>44</v>
      </c>
      <c r="E416" s="1" t="s">
        <v>122</v>
      </c>
      <c r="F416" s="1" t="s">
        <v>123</v>
      </c>
      <c r="G416" s="1" t="s">
        <v>87</v>
      </c>
      <c r="H416">
        <v>22</v>
      </c>
      <c r="I416" s="1" t="s">
        <v>44</v>
      </c>
      <c r="J416">
        <v>4.0999999999999996</v>
      </c>
      <c r="K416" s="1" t="s">
        <v>83</v>
      </c>
    </row>
    <row r="417" spans="1:12" x14ac:dyDescent="0.3">
      <c r="A417" s="1" t="s">
        <v>925</v>
      </c>
      <c r="B417" s="1" t="s">
        <v>926</v>
      </c>
      <c r="C417" s="1" t="s">
        <v>30</v>
      </c>
      <c r="D417">
        <v>42</v>
      </c>
      <c r="E417" s="1" t="s">
        <v>190</v>
      </c>
      <c r="F417" s="1" t="s">
        <v>81</v>
      </c>
      <c r="G417" s="1" t="s">
        <v>124</v>
      </c>
      <c r="H417">
        <v>8</v>
      </c>
      <c r="I417" s="1" t="s">
        <v>72</v>
      </c>
      <c r="J417">
        <v>2.4</v>
      </c>
      <c r="K417" s="1" t="s">
        <v>170</v>
      </c>
      <c r="L417">
        <v>0.68</v>
      </c>
    </row>
    <row r="418" spans="1:12" x14ac:dyDescent="0.3">
      <c r="A418" s="1" t="s">
        <v>927</v>
      </c>
      <c r="B418" s="1" t="s">
        <v>347</v>
      </c>
      <c r="C418" s="1" t="s">
        <v>102</v>
      </c>
      <c r="D418">
        <v>38</v>
      </c>
      <c r="E418" s="1" t="s">
        <v>190</v>
      </c>
      <c r="F418" s="1" t="s">
        <v>81</v>
      </c>
      <c r="G418" s="1" t="s">
        <v>57</v>
      </c>
      <c r="H418">
        <v>9</v>
      </c>
      <c r="I418" s="1" t="s">
        <v>72</v>
      </c>
      <c r="J418">
        <v>0</v>
      </c>
      <c r="K418" s="1" t="s">
        <v>19</v>
      </c>
      <c r="L418">
        <v>0.74</v>
      </c>
    </row>
    <row r="419" spans="1:12" x14ac:dyDescent="0.3">
      <c r="A419" s="1" t="s">
        <v>928</v>
      </c>
      <c r="B419" s="1" t="s">
        <v>929</v>
      </c>
      <c r="C419" s="1" t="s">
        <v>30</v>
      </c>
      <c r="D419">
        <v>51</v>
      </c>
      <c r="E419" s="1" t="s">
        <v>149</v>
      </c>
      <c r="F419" s="1" t="s">
        <v>150</v>
      </c>
      <c r="G419" s="1" t="s">
        <v>39</v>
      </c>
      <c r="H419">
        <v>32</v>
      </c>
      <c r="I419" s="1" t="s">
        <v>18</v>
      </c>
      <c r="J419">
        <v>4.4000000000000004</v>
      </c>
      <c r="K419" s="1" t="s">
        <v>51</v>
      </c>
      <c r="L419">
        <v>91</v>
      </c>
    </row>
    <row r="420" spans="1:12" x14ac:dyDescent="0.3">
      <c r="A420" s="1" t="s">
        <v>930</v>
      </c>
      <c r="B420" s="1" t="s">
        <v>931</v>
      </c>
      <c r="C420" s="1" t="s">
        <v>43</v>
      </c>
      <c r="D420">
        <v>36</v>
      </c>
      <c r="E420" s="1" t="s">
        <v>145</v>
      </c>
      <c r="F420" s="1" t="s">
        <v>146</v>
      </c>
      <c r="G420" s="1" t="s">
        <v>49</v>
      </c>
      <c r="H420">
        <v>8</v>
      </c>
      <c r="I420" s="1" t="s">
        <v>26</v>
      </c>
      <c r="J420">
        <v>2.2000000000000002</v>
      </c>
      <c r="K420" s="1" t="s">
        <v>27</v>
      </c>
      <c r="L420">
        <v>0.97</v>
      </c>
    </row>
    <row r="421" spans="1:12" x14ac:dyDescent="0.3">
      <c r="A421" s="1" t="s">
        <v>932</v>
      </c>
      <c r="B421" s="1" t="s">
        <v>933</v>
      </c>
      <c r="C421" s="1" t="s">
        <v>22</v>
      </c>
      <c r="D421">
        <v>37</v>
      </c>
      <c r="E421" s="1" t="s">
        <v>23</v>
      </c>
      <c r="F421" s="1" t="s">
        <v>24</v>
      </c>
      <c r="G421" s="1" t="s">
        <v>25</v>
      </c>
      <c r="H421">
        <v>10</v>
      </c>
      <c r="I421" s="1" t="s">
        <v>44</v>
      </c>
      <c r="J421">
        <v>0</v>
      </c>
      <c r="K421" s="1" t="s">
        <v>19</v>
      </c>
      <c r="L421">
        <v>0.96</v>
      </c>
    </row>
    <row r="422" spans="1:12" x14ac:dyDescent="0.3">
      <c r="A422" s="1" t="s">
        <v>934</v>
      </c>
      <c r="B422" s="1" t="s">
        <v>935</v>
      </c>
      <c r="C422" s="1" t="s">
        <v>30</v>
      </c>
      <c r="D422">
        <v>31</v>
      </c>
      <c r="E422" s="1" t="s">
        <v>164</v>
      </c>
      <c r="F422" s="1" t="s">
        <v>165</v>
      </c>
      <c r="G422" s="1" t="s">
        <v>99</v>
      </c>
      <c r="H422">
        <v>0</v>
      </c>
      <c r="I422" s="1" t="s">
        <v>34</v>
      </c>
      <c r="J422">
        <v>1.1000000000000001</v>
      </c>
      <c r="K422" s="1" t="s">
        <v>83</v>
      </c>
      <c r="L422">
        <v>0.73</v>
      </c>
    </row>
    <row r="423" spans="1:12" x14ac:dyDescent="0.3">
      <c r="A423" s="1" t="s">
        <v>936</v>
      </c>
      <c r="B423" s="1" t="s">
        <v>937</v>
      </c>
      <c r="C423" s="1" t="s">
        <v>14</v>
      </c>
      <c r="D423">
        <v>47</v>
      </c>
      <c r="E423" s="1" t="s">
        <v>103</v>
      </c>
      <c r="F423" s="1" t="s">
        <v>104</v>
      </c>
      <c r="G423" s="1" t="s">
        <v>87</v>
      </c>
      <c r="H423">
        <v>22</v>
      </c>
      <c r="I423" s="1" t="s">
        <v>65</v>
      </c>
      <c r="J423">
        <v>1.4</v>
      </c>
      <c r="K423" s="1" t="s">
        <v>77</v>
      </c>
      <c r="L423">
        <v>0.72</v>
      </c>
    </row>
    <row r="424" spans="1:12" x14ac:dyDescent="0.3">
      <c r="A424" s="1" t="s">
        <v>938</v>
      </c>
      <c r="B424" s="1" t="s">
        <v>939</v>
      </c>
      <c r="C424" s="1" t="s">
        <v>43</v>
      </c>
      <c r="D424">
        <v>60</v>
      </c>
      <c r="E424" s="1" t="s">
        <v>190</v>
      </c>
      <c r="F424" s="1" t="s">
        <v>81</v>
      </c>
      <c r="G424" s="1" t="s">
        <v>82</v>
      </c>
      <c r="H424">
        <v>34</v>
      </c>
      <c r="I424" s="1" t="s">
        <v>240</v>
      </c>
      <c r="J424">
        <v>0</v>
      </c>
      <c r="K424" s="1" t="s">
        <v>66</v>
      </c>
      <c r="L424">
        <v>0.74</v>
      </c>
    </row>
    <row r="425" spans="1:12" x14ac:dyDescent="0.3">
      <c r="A425" s="1" t="s">
        <v>940</v>
      </c>
      <c r="B425" s="1" t="s">
        <v>941</v>
      </c>
      <c r="C425" s="1" t="s">
        <v>22</v>
      </c>
      <c r="D425">
        <v>48</v>
      </c>
      <c r="E425" s="1" t="s">
        <v>80</v>
      </c>
      <c r="F425" s="1" t="s">
        <v>81</v>
      </c>
      <c r="G425" s="1" t="s">
        <v>25</v>
      </c>
      <c r="H425">
        <v>5</v>
      </c>
      <c r="I425" s="1" t="s">
        <v>44</v>
      </c>
      <c r="J425">
        <v>1.5</v>
      </c>
      <c r="K425" s="1" t="s">
        <v>35</v>
      </c>
    </row>
    <row r="426" spans="1:12" x14ac:dyDescent="0.3">
      <c r="A426" s="1" t="s">
        <v>942</v>
      </c>
      <c r="B426" s="1" t="s">
        <v>943</v>
      </c>
      <c r="C426" s="1" t="s">
        <v>38</v>
      </c>
      <c r="D426">
        <v>24</v>
      </c>
      <c r="E426" s="1" t="s">
        <v>103</v>
      </c>
      <c r="F426" s="1" t="s">
        <v>104</v>
      </c>
      <c r="G426" s="1" t="s">
        <v>49</v>
      </c>
      <c r="H426">
        <v>3</v>
      </c>
      <c r="I426" s="1" t="s">
        <v>151</v>
      </c>
      <c r="J426">
        <v>0</v>
      </c>
      <c r="K426" s="1" t="s">
        <v>27</v>
      </c>
    </row>
    <row r="427" spans="1:12" x14ac:dyDescent="0.3">
      <c r="A427" s="1" t="s">
        <v>944</v>
      </c>
      <c r="B427" s="1" t="s">
        <v>945</v>
      </c>
      <c r="C427" s="1" t="s">
        <v>22</v>
      </c>
      <c r="D427">
        <v>35</v>
      </c>
      <c r="E427" s="1" t="s">
        <v>47</v>
      </c>
      <c r="F427" s="1" t="s">
        <v>48</v>
      </c>
      <c r="G427" s="1" t="s">
        <v>124</v>
      </c>
      <c r="H427">
        <v>10</v>
      </c>
      <c r="I427" s="1" t="s">
        <v>92</v>
      </c>
      <c r="J427">
        <v>0</v>
      </c>
      <c r="K427" s="1" t="s">
        <v>65</v>
      </c>
      <c r="L427">
        <v>0.74</v>
      </c>
    </row>
    <row r="428" spans="1:12" x14ac:dyDescent="0.3">
      <c r="A428" s="1" t="s">
        <v>946</v>
      </c>
      <c r="B428" s="1" t="s">
        <v>947</v>
      </c>
      <c r="C428" s="1" t="s">
        <v>69</v>
      </c>
      <c r="D428">
        <v>35</v>
      </c>
      <c r="E428" s="1" t="s">
        <v>64</v>
      </c>
      <c r="F428" s="1" t="s">
        <v>24</v>
      </c>
      <c r="G428" s="1" t="s">
        <v>99</v>
      </c>
      <c r="I428" s="1" t="s">
        <v>18</v>
      </c>
      <c r="J428">
        <v>3.5</v>
      </c>
      <c r="K428" s="1" t="s">
        <v>83</v>
      </c>
      <c r="L428">
        <v>0.71</v>
      </c>
    </row>
    <row r="429" spans="1:12" x14ac:dyDescent="0.3">
      <c r="A429" s="1" t="s">
        <v>948</v>
      </c>
      <c r="B429" s="1" t="s">
        <v>949</v>
      </c>
      <c r="C429" s="1" t="s">
        <v>86</v>
      </c>
      <c r="D429">
        <v>29</v>
      </c>
      <c r="E429" s="1" t="s">
        <v>47</v>
      </c>
      <c r="F429" s="1" t="s">
        <v>48</v>
      </c>
      <c r="G429" s="1" t="s">
        <v>82</v>
      </c>
      <c r="H429">
        <v>6</v>
      </c>
      <c r="I429" s="1" t="s">
        <v>65</v>
      </c>
      <c r="J429">
        <v>4.8</v>
      </c>
      <c r="K429" s="1" t="s">
        <v>35</v>
      </c>
      <c r="L429">
        <v>0.83</v>
      </c>
    </row>
    <row r="430" spans="1:12" x14ac:dyDescent="0.3">
      <c r="A430" s="1" t="s">
        <v>950</v>
      </c>
      <c r="B430" s="1" t="s">
        <v>951</v>
      </c>
      <c r="C430" s="1" t="s">
        <v>86</v>
      </c>
      <c r="D430">
        <v>36</v>
      </c>
      <c r="E430" s="1" t="s">
        <v>15</v>
      </c>
      <c r="F430" s="1" t="s">
        <v>16</v>
      </c>
      <c r="G430" s="1" t="s">
        <v>124</v>
      </c>
      <c r="H430">
        <v>1</v>
      </c>
      <c r="I430" s="1" t="s">
        <v>181</v>
      </c>
      <c r="K430" s="1" t="s">
        <v>65</v>
      </c>
      <c r="L430">
        <v>0.63</v>
      </c>
    </row>
    <row r="431" spans="1:12" x14ac:dyDescent="0.3">
      <c r="A431" s="1" t="s">
        <v>952</v>
      </c>
      <c r="B431" s="1" t="s">
        <v>953</v>
      </c>
      <c r="C431" s="1" t="s">
        <v>22</v>
      </c>
      <c r="D431">
        <v>44</v>
      </c>
      <c r="E431" s="1" t="s">
        <v>138</v>
      </c>
      <c r="F431" s="1" t="s">
        <v>24</v>
      </c>
      <c r="G431" s="1" t="s">
        <v>49</v>
      </c>
      <c r="H431">
        <v>0</v>
      </c>
      <c r="I431" s="1" t="s">
        <v>65</v>
      </c>
      <c r="J431">
        <v>4.8</v>
      </c>
      <c r="K431" s="1" t="s">
        <v>65</v>
      </c>
      <c r="L431">
        <v>0.84</v>
      </c>
    </row>
    <row r="432" spans="1:12" x14ac:dyDescent="0.3">
      <c r="A432" s="1" t="s">
        <v>954</v>
      </c>
      <c r="B432" s="1" t="s">
        <v>955</v>
      </c>
      <c r="C432" s="1" t="s">
        <v>69</v>
      </c>
      <c r="D432">
        <v>44</v>
      </c>
      <c r="E432" s="1" t="s">
        <v>164</v>
      </c>
      <c r="F432" s="1" t="s">
        <v>165</v>
      </c>
      <c r="G432" s="1" t="s">
        <v>39</v>
      </c>
      <c r="I432" s="1" t="s">
        <v>65</v>
      </c>
      <c r="J432">
        <v>1.4</v>
      </c>
      <c r="K432" s="1" t="s">
        <v>19</v>
      </c>
      <c r="L432">
        <v>0.93</v>
      </c>
    </row>
    <row r="433" spans="1:12" x14ac:dyDescent="0.3">
      <c r="A433" s="1" t="s">
        <v>956</v>
      </c>
      <c r="B433" s="1" t="s">
        <v>957</v>
      </c>
      <c r="C433" s="1" t="s">
        <v>54</v>
      </c>
      <c r="D433">
        <v>40</v>
      </c>
      <c r="E433" s="1" t="s">
        <v>103</v>
      </c>
      <c r="F433" s="1" t="s">
        <v>104</v>
      </c>
      <c r="G433" s="1" t="s">
        <v>49</v>
      </c>
      <c r="H433">
        <v>13</v>
      </c>
      <c r="I433" s="1" t="s">
        <v>26</v>
      </c>
      <c r="J433">
        <v>1.1000000000000001</v>
      </c>
      <c r="K433" s="1" t="s">
        <v>27</v>
      </c>
    </row>
    <row r="434" spans="1:12" x14ac:dyDescent="0.3">
      <c r="A434" s="1" t="s">
        <v>958</v>
      </c>
      <c r="B434" s="1" t="s">
        <v>959</v>
      </c>
      <c r="C434" s="1" t="s">
        <v>38</v>
      </c>
      <c r="D434">
        <v>53</v>
      </c>
      <c r="E434" s="1" t="s">
        <v>47</v>
      </c>
      <c r="F434" s="1" t="s">
        <v>48</v>
      </c>
      <c r="G434" s="1" t="s">
        <v>124</v>
      </c>
      <c r="H434">
        <v>13</v>
      </c>
      <c r="I434" s="1" t="s">
        <v>72</v>
      </c>
      <c r="J434">
        <v>3.3</v>
      </c>
      <c r="K434" s="1" t="s">
        <v>83</v>
      </c>
      <c r="L434">
        <v>0.93</v>
      </c>
    </row>
    <row r="435" spans="1:12" x14ac:dyDescent="0.3">
      <c r="A435" s="1" t="s">
        <v>960</v>
      </c>
      <c r="B435" s="1" t="s">
        <v>961</v>
      </c>
      <c r="C435" s="1" t="s">
        <v>14</v>
      </c>
      <c r="D435">
        <v>35</v>
      </c>
      <c r="E435" s="1" t="s">
        <v>31</v>
      </c>
      <c r="F435" s="1" t="s">
        <v>32</v>
      </c>
      <c r="G435" s="1" t="s">
        <v>17</v>
      </c>
      <c r="H435">
        <v>0</v>
      </c>
      <c r="I435" s="1" t="s">
        <v>119</v>
      </c>
      <c r="J435">
        <v>4.5999999999999996</v>
      </c>
      <c r="K435" s="1" t="s">
        <v>65</v>
      </c>
      <c r="L435">
        <v>0.97</v>
      </c>
    </row>
    <row r="436" spans="1:12" x14ac:dyDescent="0.3">
      <c r="A436" s="1" t="s">
        <v>962</v>
      </c>
      <c r="B436" s="1" t="s">
        <v>963</v>
      </c>
      <c r="C436" s="1" t="s">
        <v>22</v>
      </c>
      <c r="D436">
        <v>27</v>
      </c>
      <c r="E436" s="1" t="s">
        <v>80</v>
      </c>
      <c r="F436" s="1" t="s">
        <v>81</v>
      </c>
      <c r="G436" s="1" t="s">
        <v>124</v>
      </c>
      <c r="H436">
        <v>7</v>
      </c>
      <c r="I436" s="1" t="s">
        <v>58</v>
      </c>
      <c r="J436">
        <v>2.8</v>
      </c>
      <c r="K436" s="1" t="s">
        <v>27</v>
      </c>
      <c r="L436">
        <v>0.92</v>
      </c>
    </row>
    <row r="437" spans="1:12" x14ac:dyDescent="0.3">
      <c r="A437" s="1" t="s">
        <v>964</v>
      </c>
      <c r="B437" s="1" t="s">
        <v>965</v>
      </c>
      <c r="C437" s="1" t="s">
        <v>69</v>
      </c>
      <c r="D437">
        <v>34</v>
      </c>
      <c r="E437" s="1" t="s">
        <v>23</v>
      </c>
      <c r="F437" s="1" t="s">
        <v>24</v>
      </c>
      <c r="G437" s="1" t="s">
        <v>99</v>
      </c>
      <c r="H437">
        <v>6</v>
      </c>
      <c r="I437" s="1" t="s">
        <v>34</v>
      </c>
      <c r="J437">
        <v>5</v>
      </c>
      <c r="K437" s="1" t="s">
        <v>83</v>
      </c>
      <c r="L437">
        <v>0.92</v>
      </c>
    </row>
    <row r="438" spans="1:12" x14ac:dyDescent="0.3">
      <c r="A438" s="1" t="s">
        <v>966</v>
      </c>
      <c r="B438" s="1" t="s">
        <v>967</v>
      </c>
      <c r="C438" s="1" t="s">
        <v>30</v>
      </c>
      <c r="D438">
        <v>24</v>
      </c>
      <c r="E438" s="1" t="s">
        <v>103</v>
      </c>
      <c r="F438" s="1" t="s">
        <v>104</v>
      </c>
      <c r="G438" s="1" t="s">
        <v>87</v>
      </c>
      <c r="H438">
        <v>2</v>
      </c>
      <c r="I438" s="1" t="s">
        <v>92</v>
      </c>
      <c r="J438">
        <v>4.7</v>
      </c>
      <c r="K438" s="1" t="s">
        <v>170</v>
      </c>
      <c r="L438">
        <v>0.68</v>
      </c>
    </row>
    <row r="439" spans="1:12" x14ac:dyDescent="0.3">
      <c r="A439" s="1" t="s">
        <v>968</v>
      </c>
      <c r="B439" s="1" t="s">
        <v>969</v>
      </c>
      <c r="C439" s="1" t="s">
        <v>30</v>
      </c>
      <c r="D439">
        <v>57</v>
      </c>
      <c r="E439" s="1" t="s">
        <v>64</v>
      </c>
      <c r="F439" s="1" t="s">
        <v>24</v>
      </c>
      <c r="G439" s="1" t="s">
        <v>82</v>
      </c>
      <c r="H439">
        <v>13</v>
      </c>
      <c r="I439" s="1" t="s">
        <v>18</v>
      </c>
      <c r="J439">
        <v>3.5</v>
      </c>
      <c r="K439" s="1" t="s">
        <v>170</v>
      </c>
      <c r="L439">
        <v>0.95</v>
      </c>
    </row>
    <row r="440" spans="1:12" x14ac:dyDescent="0.3">
      <c r="A440" s="1" t="s">
        <v>970</v>
      </c>
      <c r="B440" s="1" t="s">
        <v>971</v>
      </c>
      <c r="C440" s="1" t="s">
        <v>54</v>
      </c>
      <c r="D440">
        <v>28</v>
      </c>
      <c r="E440" s="1" t="s">
        <v>122</v>
      </c>
      <c r="F440" s="1" t="s">
        <v>123</v>
      </c>
      <c r="G440" s="1" t="s">
        <v>82</v>
      </c>
      <c r="H440">
        <v>7</v>
      </c>
      <c r="I440" s="1" t="s">
        <v>240</v>
      </c>
      <c r="J440">
        <v>4.3</v>
      </c>
      <c r="K440" s="1" t="s">
        <v>51</v>
      </c>
      <c r="L440">
        <v>0.76</v>
      </c>
    </row>
    <row r="441" spans="1:12" x14ac:dyDescent="0.3">
      <c r="A441" s="1" t="s">
        <v>972</v>
      </c>
      <c r="B441" s="1" t="s">
        <v>973</v>
      </c>
      <c r="C441" s="1" t="s">
        <v>38</v>
      </c>
      <c r="D441">
        <v>26</v>
      </c>
      <c r="E441" s="1" t="s">
        <v>15</v>
      </c>
      <c r="F441" s="1" t="s">
        <v>16</v>
      </c>
      <c r="G441" s="1" t="s">
        <v>99</v>
      </c>
      <c r="H441">
        <v>7</v>
      </c>
      <c r="I441" s="1" t="s">
        <v>26</v>
      </c>
      <c r="J441">
        <v>3.3</v>
      </c>
      <c r="K441" s="1" t="s">
        <v>77</v>
      </c>
      <c r="L441">
        <v>0.66</v>
      </c>
    </row>
    <row r="442" spans="1:12" x14ac:dyDescent="0.3">
      <c r="A442" s="1" t="s">
        <v>974</v>
      </c>
      <c r="B442" s="1" t="s">
        <v>975</v>
      </c>
      <c r="C442" s="1" t="s">
        <v>107</v>
      </c>
      <c r="D442">
        <v>34</v>
      </c>
      <c r="E442" s="1" t="s">
        <v>80</v>
      </c>
      <c r="F442" s="1" t="s">
        <v>81</v>
      </c>
      <c r="G442" s="1" t="s">
        <v>25</v>
      </c>
      <c r="H442">
        <v>15</v>
      </c>
      <c r="I442" s="1" t="s">
        <v>92</v>
      </c>
      <c r="K442" s="1" t="s">
        <v>19</v>
      </c>
      <c r="L442">
        <v>0.73</v>
      </c>
    </row>
    <row r="443" spans="1:12" x14ac:dyDescent="0.3">
      <c r="A443" s="1" t="s">
        <v>976</v>
      </c>
      <c r="B443" s="1" t="s">
        <v>977</v>
      </c>
      <c r="C443" s="1" t="s">
        <v>107</v>
      </c>
      <c r="D443">
        <v>43</v>
      </c>
      <c r="E443" s="1" t="s">
        <v>95</v>
      </c>
      <c r="F443" s="1" t="s">
        <v>96</v>
      </c>
      <c r="G443" s="1" t="s">
        <v>49</v>
      </c>
      <c r="I443" s="1" t="s">
        <v>325</v>
      </c>
      <c r="J443">
        <v>2.8</v>
      </c>
      <c r="K443" s="1" t="s">
        <v>65</v>
      </c>
      <c r="L443">
        <v>0.99</v>
      </c>
    </row>
    <row r="444" spans="1:12" x14ac:dyDescent="0.3">
      <c r="A444" s="1" t="s">
        <v>978</v>
      </c>
      <c r="B444" s="1" t="s">
        <v>979</v>
      </c>
      <c r="C444" s="1" t="s">
        <v>102</v>
      </c>
      <c r="D444">
        <v>31</v>
      </c>
      <c r="E444" s="1" t="s">
        <v>186</v>
      </c>
      <c r="F444" s="1" t="s">
        <v>187</v>
      </c>
      <c r="G444" s="1" t="s">
        <v>33</v>
      </c>
      <c r="H444">
        <v>5</v>
      </c>
      <c r="I444" s="1" t="s">
        <v>65</v>
      </c>
      <c r="J444">
        <v>2.7</v>
      </c>
      <c r="K444" s="1" t="s">
        <v>27</v>
      </c>
      <c r="L444">
        <v>94</v>
      </c>
    </row>
    <row r="445" spans="1:12" x14ac:dyDescent="0.3">
      <c r="A445" s="1" t="s">
        <v>980</v>
      </c>
      <c r="B445" s="1" t="s">
        <v>981</v>
      </c>
      <c r="C445" s="1" t="s">
        <v>22</v>
      </c>
      <c r="D445">
        <v>34</v>
      </c>
      <c r="E445" s="1" t="s">
        <v>186</v>
      </c>
      <c r="F445" s="1" t="s">
        <v>187</v>
      </c>
      <c r="G445" s="1" t="s">
        <v>17</v>
      </c>
      <c r="I445" s="1" t="s">
        <v>72</v>
      </c>
      <c r="J445">
        <v>0</v>
      </c>
      <c r="K445" s="1" t="s">
        <v>51</v>
      </c>
      <c r="L445">
        <v>84</v>
      </c>
    </row>
    <row r="446" spans="1:12" x14ac:dyDescent="0.3">
      <c r="A446" s="1" t="s">
        <v>982</v>
      </c>
      <c r="B446" s="1" t="s">
        <v>983</v>
      </c>
      <c r="C446" s="1" t="s">
        <v>38</v>
      </c>
      <c r="D446">
        <v>32</v>
      </c>
      <c r="E446" s="1" t="s">
        <v>134</v>
      </c>
      <c r="F446" s="1" t="s">
        <v>135</v>
      </c>
      <c r="G446" s="1" t="s">
        <v>87</v>
      </c>
      <c r="H446">
        <v>10</v>
      </c>
      <c r="I446" s="1" t="s">
        <v>131</v>
      </c>
      <c r="K446" s="1" t="s">
        <v>83</v>
      </c>
      <c r="L446">
        <v>0.92</v>
      </c>
    </row>
    <row r="447" spans="1:12" x14ac:dyDescent="0.3">
      <c r="A447" s="1" t="s">
        <v>984</v>
      </c>
      <c r="B447" s="1" t="s">
        <v>985</v>
      </c>
      <c r="C447" s="1" t="s">
        <v>54</v>
      </c>
      <c r="D447">
        <v>24</v>
      </c>
      <c r="E447" s="1" t="s">
        <v>149</v>
      </c>
      <c r="F447" s="1" t="s">
        <v>150</v>
      </c>
      <c r="G447" s="1" t="s">
        <v>99</v>
      </c>
      <c r="H447">
        <v>6</v>
      </c>
      <c r="I447" s="1" t="s">
        <v>181</v>
      </c>
      <c r="J447">
        <v>4.3</v>
      </c>
      <c r="K447" s="1" t="s">
        <v>77</v>
      </c>
    </row>
    <row r="448" spans="1:12" x14ac:dyDescent="0.3">
      <c r="A448" s="1" t="s">
        <v>986</v>
      </c>
      <c r="B448" s="1" t="s">
        <v>987</v>
      </c>
      <c r="C448" s="1" t="s">
        <v>30</v>
      </c>
      <c r="D448">
        <v>35</v>
      </c>
      <c r="E448" s="1" t="s">
        <v>75</v>
      </c>
      <c r="F448" s="1" t="s">
        <v>24</v>
      </c>
      <c r="G448" s="1" t="s">
        <v>49</v>
      </c>
      <c r="H448">
        <v>8</v>
      </c>
      <c r="I448" s="1" t="s">
        <v>108</v>
      </c>
      <c r="K448" s="1" t="s">
        <v>170</v>
      </c>
      <c r="L448">
        <v>90</v>
      </c>
    </row>
    <row r="449" spans="1:12" x14ac:dyDescent="0.3">
      <c r="A449" s="1" t="s">
        <v>988</v>
      </c>
      <c r="B449" s="1" t="s">
        <v>989</v>
      </c>
      <c r="C449" s="1" t="s">
        <v>22</v>
      </c>
      <c r="D449">
        <v>22</v>
      </c>
      <c r="E449" s="1" t="s">
        <v>23</v>
      </c>
      <c r="F449" s="1" t="s">
        <v>24</v>
      </c>
      <c r="G449" s="1" t="s">
        <v>25</v>
      </c>
      <c r="H449">
        <v>4</v>
      </c>
      <c r="I449" s="1" t="s">
        <v>151</v>
      </c>
      <c r="K449" s="1" t="s">
        <v>19</v>
      </c>
      <c r="L449">
        <v>0.73</v>
      </c>
    </row>
    <row r="450" spans="1:12" x14ac:dyDescent="0.3">
      <c r="A450" s="1" t="s">
        <v>990</v>
      </c>
      <c r="B450" s="1" t="s">
        <v>991</v>
      </c>
      <c r="C450" s="1" t="s">
        <v>38</v>
      </c>
      <c r="D450">
        <v>55</v>
      </c>
      <c r="E450" s="1" t="s">
        <v>149</v>
      </c>
      <c r="F450" s="1" t="s">
        <v>150</v>
      </c>
      <c r="G450" s="1" t="s">
        <v>49</v>
      </c>
      <c r="H450">
        <v>3</v>
      </c>
      <c r="I450" s="1" t="s">
        <v>18</v>
      </c>
      <c r="K450" s="1" t="s">
        <v>27</v>
      </c>
      <c r="L450">
        <v>0.73</v>
      </c>
    </row>
    <row r="451" spans="1:12" x14ac:dyDescent="0.3">
      <c r="A451" s="1" t="s">
        <v>992</v>
      </c>
      <c r="B451" s="1" t="s">
        <v>993</v>
      </c>
      <c r="C451" s="1" t="s">
        <v>43</v>
      </c>
      <c r="D451">
        <v>54</v>
      </c>
      <c r="E451" s="1" t="s">
        <v>80</v>
      </c>
      <c r="F451" s="1" t="s">
        <v>81</v>
      </c>
      <c r="G451" s="1" t="s">
        <v>124</v>
      </c>
      <c r="I451" s="1" t="s">
        <v>44</v>
      </c>
      <c r="J451">
        <v>2.9</v>
      </c>
      <c r="K451" s="1" t="s">
        <v>66</v>
      </c>
      <c r="L451">
        <v>0.78</v>
      </c>
    </row>
    <row r="452" spans="1:12" x14ac:dyDescent="0.3">
      <c r="A452" s="1" t="s">
        <v>994</v>
      </c>
      <c r="B452" s="1" t="s">
        <v>995</v>
      </c>
      <c r="C452" s="1" t="s">
        <v>14</v>
      </c>
      <c r="D452">
        <v>36</v>
      </c>
      <c r="E452" s="1" t="s">
        <v>47</v>
      </c>
      <c r="F452" s="1" t="s">
        <v>48</v>
      </c>
      <c r="G452" s="1" t="s">
        <v>87</v>
      </c>
      <c r="H452">
        <v>11</v>
      </c>
      <c r="I452" s="1" t="s">
        <v>50</v>
      </c>
      <c r="J452">
        <v>0</v>
      </c>
      <c r="K452" s="1" t="s">
        <v>66</v>
      </c>
      <c r="L452">
        <v>0.63</v>
      </c>
    </row>
    <row r="453" spans="1:12" x14ac:dyDescent="0.3">
      <c r="A453" s="1" t="s">
        <v>996</v>
      </c>
      <c r="B453" s="1" t="s">
        <v>997</v>
      </c>
      <c r="C453" s="1" t="s">
        <v>43</v>
      </c>
      <c r="D453">
        <v>36</v>
      </c>
      <c r="E453" s="1" t="s">
        <v>47</v>
      </c>
      <c r="F453" s="1" t="s">
        <v>48</v>
      </c>
      <c r="G453" s="1" t="s">
        <v>49</v>
      </c>
      <c r="H453">
        <v>17</v>
      </c>
      <c r="I453" s="1" t="s">
        <v>34</v>
      </c>
      <c r="J453">
        <v>1.3</v>
      </c>
      <c r="K453" s="1" t="s">
        <v>65</v>
      </c>
      <c r="L453">
        <v>0.64</v>
      </c>
    </row>
    <row r="454" spans="1:12" x14ac:dyDescent="0.3">
      <c r="A454" s="1" t="s">
        <v>998</v>
      </c>
      <c r="B454" s="1" t="s">
        <v>999</v>
      </c>
      <c r="C454" s="1" t="s">
        <v>14</v>
      </c>
      <c r="D454">
        <v>25</v>
      </c>
      <c r="E454" s="1" t="s">
        <v>80</v>
      </c>
      <c r="F454" s="1" t="s">
        <v>81</v>
      </c>
      <c r="G454" s="1" t="s">
        <v>39</v>
      </c>
      <c r="H454">
        <v>1</v>
      </c>
      <c r="I454" s="1" t="s">
        <v>92</v>
      </c>
      <c r="J454">
        <v>0</v>
      </c>
      <c r="K454" s="1" t="s">
        <v>27</v>
      </c>
    </row>
    <row r="455" spans="1:12" x14ac:dyDescent="0.3">
      <c r="A455" s="1" t="s">
        <v>1000</v>
      </c>
      <c r="B455" s="1" t="s">
        <v>1001</v>
      </c>
      <c r="C455" s="1" t="s">
        <v>107</v>
      </c>
      <c r="D455">
        <v>46</v>
      </c>
      <c r="E455" s="1" t="s">
        <v>55</v>
      </c>
      <c r="F455" s="1" t="s">
        <v>56</v>
      </c>
      <c r="G455" s="1" t="s">
        <v>49</v>
      </c>
      <c r="H455">
        <v>16</v>
      </c>
      <c r="I455" s="1" t="s">
        <v>151</v>
      </c>
      <c r="J455">
        <v>4.8</v>
      </c>
      <c r="K455" s="1" t="s">
        <v>27</v>
      </c>
      <c r="L455">
        <v>0.86</v>
      </c>
    </row>
    <row r="456" spans="1:12" x14ac:dyDescent="0.3">
      <c r="A456" s="1" t="s">
        <v>1002</v>
      </c>
      <c r="B456" s="1" t="s">
        <v>1003</v>
      </c>
      <c r="C456" s="1" t="s">
        <v>102</v>
      </c>
      <c r="D456">
        <v>41</v>
      </c>
      <c r="E456" s="1" t="s">
        <v>80</v>
      </c>
      <c r="F456" s="1" t="s">
        <v>81</v>
      </c>
      <c r="G456" s="1" t="s">
        <v>124</v>
      </c>
      <c r="H456">
        <v>11</v>
      </c>
      <c r="I456" s="1" t="s">
        <v>40</v>
      </c>
      <c r="J456">
        <v>2.4</v>
      </c>
      <c r="K456" s="1" t="s">
        <v>51</v>
      </c>
    </row>
    <row r="457" spans="1:12" x14ac:dyDescent="0.3">
      <c r="A457" s="1" t="s">
        <v>1004</v>
      </c>
      <c r="B457" s="1" t="s">
        <v>1005</v>
      </c>
      <c r="C457" s="1" t="s">
        <v>22</v>
      </c>
      <c r="D457">
        <v>21</v>
      </c>
      <c r="E457" s="1" t="s">
        <v>134</v>
      </c>
      <c r="F457" s="1" t="s">
        <v>135</v>
      </c>
      <c r="G457" s="1" t="s">
        <v>25</v>
      </c>
      <c r="H457">
        <v>3</v>
      </c>
      <c r="I457" s="1" t="s">
        <v>240</v>
      </c>
      <c r="J457">
        <v>4.7</v>
      </c>
      <c r="K457" s="1" t="s">
        <v>35</v>
      </c>
      <c r="L457">
        <v>0.96</v>
      </c>
    </row>
    <row r="458" spans="1:12" x14ac:dyDescent="0.3">
      <c r="A458" s="1" t="s">
        <v>1006</v>
      </c>
      <c r="B458" s="1" t="s">
        <v>1007</v>
      </c>
      <c r="C458" s="1" t="s">
        <v>107</v>
      </c>
      <c r="D458">
        <v>29</v>
      </c>
      <c r="E458" s="1" t="s">
        <v>64</v>
      </c>
      <c r="F458" s="1" t="s">
        <v>24</v>
      </c>
      <c r="G458" s="1" t="s">
        <v>33</v>
      </c>
      <c r="I458" s="1" t="s">
        <v>181</v>
      </c>
      <c r="J458">
        <v>2</v>
      </c>
      <c r="K458" s="1" t="s">
        <v>19</v>
      </c>
    </row>
    <row r="459" spans="1:12" x14ac:dyDescent="0.3">
      <c r="A459" s="1" t="s">
        <v>1008</v>
      </c>
      <c r="B459" s="1" t="s">
        <v>1009</v>
      </c>
      <c r="C459" s="1" t="s">
        <v>38</v>
      </c>
      <c r="D459">
        <v>44</v>
      </c>
      <c r="E459" s="1" t="s">
        <v>64</v>
      </c>
      <c r="F459" s="1" t="s">
        <v>24</v>
      </c>
      <c r="G459" s="1" t="s">
        <v>25</v>
      </c>
      <c r="H459">
        <v>3</v>
      </c>
      <c r="I459" s="1" t="s">
        <v>72</v>
      </c>
      <c r="J459">
        <v>2.2000000000000002</v>
      </c>
      <c r="K459" s="1" t="s">
        <v>19</v>
      </c>
      <c r="L459">
        <v>0.77</v>
      </c>
    </row>
    <row r="460" spans="1:12" x14ac:dyDescent="0.3">
      <c r="A460" s="1" t="s">
        <v>1010</v>
      </c>
      <c r="B460" s="1" t="s">
        <v>1011</v>
      </c>
      <c r="C460" s="1" t="s">
        <v>107</v>
      </c>
      <c r="D460">
        <v>40</v>
      </c>
      <c r="E460" s="1" t="s">
        <v>138</v>
      </c>
      <c r="F460" s="1" t="s">
        <v>24</v>
      </c>
      <c r="G460" s="1" t="s">
        <v>124</v>
      </c>
      <c r="H460">
        <v>1</v>
      </c>
      <c r="I460" s="1" t="s">
        <v>18</v>
      </c>
      <c r="J460">
        <v>2.1</v>
      </c>
      <c r="K460" s="1" t="s">
        <v>27</v>
      </c>
    </row>
    <row r="461" spans="1:12" x14ac:dyDescent="0.3">
      <c r="A461" s="1" t="s">
        <v>1012</v>
      </c>
      <c r="B461" s="1" t="s">
        <v>1013</v>
      </c>
      <c r="C461" s="1" t="s">
        <v>43</v>
      </c>
      <c r="D461">
        <v>27</v>
      </c>
      <c r="E461" s="1" t="s">
        <v>149</v>
      </c>
      <c r="F461" s="1" t="s">
        <v>150</v>
      </c>
      <c r="G461" s="1" t="s">
        <v>57</v>
      </c>
      <c r="H461">
        <v>1</v>
      </c>
      <c r="I461" s="1" t="s">
        <v>44</v>
      </c>
      <c r="J461">
        <v>1.7</v>
      </c>
      <c r="K461" s="1" t="s">
        <v>51</v>
      </c>
      <c r="L461">
        <v>0.65</v>
      </c>
    </row>
    <row r="462" spans="1:12" x14ac:dyDescent="0.3">
      <c r="A462" s="1" t="s">
        <v>1014</v>
      </c>
      <c r="B462" s="1" t="s">
        <v>1015</v>
      </c>
      <c r="C462" s="1" t="s">
        <v>69</v>
      </c>
      <c r="D462">
        <v>53</v>
      </c>
      <c r="E462" s="1" t="s">
        <v>145</v>
      </c>
      <c r="F462" s="1" t="s">
        <v>146</v>
      </c>
      <c r="G462" s="1" t="s">
        <v>25</v>
      </c>
      <c r="H462">
        <v>35</v>
      </c>
      <c r="I462" s="1" t="s">
        <v>65</v>
      </c>
      <c r="J462">
        <v>5</v>
      </c>
      <c r="K462" s="1" t="s">
        <v>27</v>
      </c>
      <c r="L462">
        <v>0.62</v>
      </c>
    </row>
    <row r="463" spans="1:12" x14ac:dyDescent="0.3">
      <c r="A463" s="1" t="s">
        <v>1016</v>
      </c>
      <c r="B463" s="1" t="s">
        <v>1017</v>
      </c>
      <c r="C463" s="1" t="s">
        <v>30</v>
      </c>
      <c r="D463">
        <v>20</v>
      </c>
      <c r="E463" s="1" t="s">
        <v>70</v>
      </c>
      <c r="F463" s="1" t="s">
        <v>71</v>
      </c>
      <c r="G463" s="1" t="s">
        <v>57</v>
      </c>
      <c r="H463">
        <v>1</v>
      </c>
      <c r="I463" s="1" t="s">
        <v>34</v>
      </c>
      <c r="J463">
        <v>2.9</v>
      </c>
      <c r="K463" s="1" t="s">
        <v>170</v>
      </c>
      <c r="L463">
        <v>0.81</v>
      </c>
    </row>
    <row r="464" spans="1:12" x14ac:dyDescent="0.3">
      <c r="A464" s="1" t="s">
        <v>1018</v>
      </c>
      <c r="B464" s="1" t="s">
        <v>1019</v>
      </c>
      <c r="C464" s="1" t="s">
        <v>43</v>
      </c>
      <c r="E464" s="1" t="s">
        <v>95</v>
      </c>
      <c r="F464" s="1" t="s">
        <v>96</v>
      </c>
      <c r="G464" s="1" t="s">
        <v>99</v>
      </c>
      <c r="H464">
        <v>12</v>
      </c>
      <c r="I464" s="1" t="s">
        <v>72</v>
      </c>
      <c r="J464">
        <v>4.0999999999999996</v>
      </c>
      <c r="K464" s="1" t="s">
        <v>83</v>
      </c>
      <c r="L464">
        <v>0.62</v>
      </c>
    </row>
    <row r="465" spans="1:12" x14ac:dyDescent="0.3">
      <c r="A465" s="1" t="s">
        <v>1020</v>
      </c>
      <c r="B465" s="1" t="s">
        <v>1021</v>
      </c>
      <c r="C465" s="1" t="s">
        <v>30</v>
      </c>
      <c r="D465">
        <v>26</v>
      </c>
      <c r="E465" s="1" t="s">
        <v>190</v>
      </c>
      <c r="F465" s="1" t="s">
        <v>81</v>
      </c>
      <c r="G465" s="1" t="s">
        <v>39</v>
      </c>
      <c r="H465">
        <v>8</v>
      </c>
      <c r="I465" s="1" t="s">
        <v>76</v>
      </c>
      <c r="J465">
        <v>4.9000000000000004</v>
      </c>
      <c r="K465" s="1" t="s">
        <v>35</v>
      </c>
      <c r="L465">
        <v>0.87</v>
      </c>
    </row>
    <row r="466" spans="1:12" x14ac:dyDescent="0.3">
      <c r="A466" s="1" t="s">
        <v>1022</v>
      </c>
      <c r="B466" s="1" t="s">
        <v>1023</v>
      </c>
      <c r="C466" s="1" t="s">
        <v>43</v>
      </c>
      <c r="D466">
        <v>49</v>
      </c>
      <c r="E466" s="1" t="s">
        <v>117</v>
      </c>
      <c r="F466" s="1" t="s">
        <v>118</v>
      </c>
      <c r="G466" s="1" t="s">
        <v>124</v>
      </c>
      <c r="H466">
        <v>13</v>
      </c>
      <c r="I466" s="1" t="s">
        <v>240</v>
      </c>
      <c r="J466">
        <v>2.5</v>
      </c>
      <c r="K466" s="1" t="s">
        <v>51</v>
      </c>
    </row>
    <row r="467" spans="1:12" x14ac:dyDescent="0.3">
      <c r="A467" s="1" t="s">
        <v>1024</v>
      </c>
      <c r="B467" s="1" t="s">
        <v>1025</v>
      </c>
      <c r="C467" s="1" t="s">
        <v>38</v>
      </c>
      <c r="D467">
        <v>20</v>
      </c>
      <c r="E467" s="1" t="s">
        <v>149</v>
      </c>
      <c r="F467" s="1" t="s">
        <v>150</v>
      </c>
      <c r="G467" s="1" t="s">
        <v>57</v>
      </c>
      <c r="H467">
        <v>0</v>
      </c>
      <c r="I467" s="1" t="s">
        <v>119</v>
      </c>
      <c r="J467">
        <v>0</v>
      </c>
      <c r="K467" s="1" t="s">
        <v>27</v>
      </c>
      <c r="L467">
        <v>76</v>
      </c>
    </row>
    <row r="468" spans="1:12" x14ac:dyDescent="0.3">
      <c r="A468" s="1" t="s">
        <v>1026</v>
      </c>
      <c r="B468" s="1" t="s">
        <v>1027</v>
      </c>
      <c r="C468" s="1" t="s">
        <v>43</v>
      </c>
      <c r="D468">
        <v>39</v>
      </c>
      <c r="E468" s="1" t="s">
        <v>186</v>
      </c>
      <c r="F468" s="1" t="s">
        <v>187</v>
      </c>
      <c r="G468" s="1" t="s">
        <v>17</v>
      </c>
      <c r="H468">
        <v>11</v>
      </c>
      <c r="I468" s="1" t="s">
        <v>18</v>
      </c>
      <c r="J468">
        <v>2.8</v>
      </c>
      <c r="K468" s="1" t="s">
        <v>65</v>
      </c>
      <c r="L468">
        <v>70</v>
      </c>
    </row>
    <row r="469" spans="1:12" x14ac:dyDescent="0.3">
      <c r="A469" s="1" t="s">
        <v>1028</v>
      </c>
      <c r="B469" s="1" t="s">
        <v>1029</v>
      </c>
      <c r="C469" s="1" t="s">
        <v>38</v>
      </c>
      <c r="D469">
        <v>41</v>
      </c>
      <c r="E469" s="1" t="s">
        <v>186</v>
      </c>
      <c r="F469" s="1" t="s">
        <v>187</v>
      </c>
      <c r="G469" s="1" t="s">
        <v>124</v>
      </c>
      <c r="H469">
        <v>19</v>
      </c>
      <c r="I469" s="1" t="s">
        <v>18</v>
      </c>
      <c r="J469">
        <v>3.8</v>
      </c>
      <c r="K469" s="1" t="s">
        <v>77</v>
      </c>
      <c r="L469">
        <v>0.71</v>
      </c>
    </row>
    <row r="470" spans="1:12" x14ac:dyDescent="0.3">
      <c r="A470" s="1" t="s">
        <v>1030</v>
      </c>
      <c r="B470" s="1" t="s">
        <v>1031</v>
      </c>
      <c r="C470" s="1" t="s">
        <v>107</v>
      </c>
      <c r="D470">
        <v>59</v>
      </c>
      <c r="E470" s="1" t="s">
        <v>138</v>
      </c>
      <c r="F470" s="1" t="s">
        <v>24</v>
      </c>
      <c r="G470" s="1" t="s">
        <v>25</v>
      </c>
      <c r="H470">
        <v>30</v>
      </c>
      <c r="I470" s="1" t="s">
        <v>119</v>
      </c>
      <c r="J470">
        <v>4.3</v>
      </c>
      <c r="K470" s="1" t="s">
        <v>27</v>
      </c>
      <c r="L470">
        <v>0.83</v>
      </c>
    </row>
    <row r="471" spans="1:12" x14ac:dyDescent="0.3">
      <c r="A471" s="1" t="s">
        <v>1032</v>
      </c>
      <c r="B471" s="1" t="s">
        <v>1033</v>
      </c>
      <c r="C471" s="1" t="s">
        <v>86</v>
      </c>
      <c r="D471">
        <v>45</v>
      </c>
      <c r="E471" s="1" t="s">
        <v>23</v>
      </c>
      <c r="F471" s="1" t="s">
        <v>24</v>
      </c>
      <c r="G471" s="1" t="s">
        <v>17</v>
      </c>
      <c r="H471">
        <v>8</v>
      </c>
      <c r="I471" s="1" t="s">
        <v>76</v>
      </c>
      <c r="J471">
        <v>0</v>
      </c>
      <c r="K471" s="1" t="s">
        <v>19</v>
      </c>
      <c r="L471">
        <v>78</v>
      </c>
    </row>
    <row r="472" spans="1:12" x14ac:dyDescent="0.3">
      <c r="A472" s="1" t="s">
        <v>1034</v>
      </c>
      <c r="B472" s="1" t="s">
        <v>1035</v>
      </c>
      <c r="C472" s="1" t="s">
        <v>69</v>
      </c>
      <c r="D472">
        <v>22</v>
      </c>
      <c r="E472" s="1" t="s">
        <v>55</v>
      </c>
      <c r="F472" s="1" t="s">
        <v>56</v>
      </c>
      <c r="G472" s="1" t="s">
        <v>87</v>
      </c>
      <c r="H472">
        <v>0</v>
      </c>
      <c r="I472" s="1" t="s">
        <v>76</v>
      </c>
      <c r="J472">
        <v>1.3</v>
      </c>
      <c r="K472" s="1" t="s">
        <v>27</v>
      </c>
      <c r="L472">
        <v>0.78</v>
      </c>
    </row>
    <row r="473" spans="1:12" x14ac:dyDescent="0.3">
      <c r="A473" s="1" t="s">
        <v>1036</v>
      </c>
      <c r="B473" s="1" t="s">
        <v>1037</v>
      </c>
      <c r="C473" s="1" t="s">
        <v>14</v>
      </c>
      <c r="D473">
        <v>48</v>
      </c>
      <c r="E473" s="1" t="s">
        <v>103</v>
      </c>
      <c r="F473" s="1" t="s">
        <v>104</v>
      </c>
      <c r="G473" s="1" t="s">
        <v>25</v>
      </c>
      <c r="H473">
        <v>7</v>
      </c>
      <c r="I473" s="1" t="s">
        <v>34</v>
      </c>
      <c r="J473">
        <v>4.7</v>
      </c>
      <c r="K473" s="1" t="s">
        <v>83</v>
      </c>
      <c r="L473">
        <v>0.6</v>
      </c>
    </row>
    <row r="474" spans="1:12" x14ac:dyDescent="0.3">
      <c r="A474" s="1" t="s">
        <v>1038</v>
      </c>
      <c r="B474" s="1" t="s">
        <v>1039</v>
      </c>
      <c r="C474" s="1" t="s">
        <v>69</v>
      </c>
      <c r="D474">
        <v>36</v>
      </c>
      <c r="E474" s="1" t="s">
        <v>145</v>
      </c>
      <c r="F474" s="1" t="s">
        <v>146</v>
      </c>
      <c r="G474" s="1" t="s">
        <v>17</v>
      </c>
      <c r="H474">
        <v>11</v>
      </c>
      <c r="I474" s="1" t="s">
        <v>40</v>
      </c>
      <c r="J474">
        <v>1.3</v>
      </c>
      <c r="K474" s="1" t="s">
        <v>66</v>
      </c>
    </row>
    <row r="475" spans="1:12" x14ac:dyDescent="0.3">
      <c r="A475" s="1" t="s">
        <v>1040</v>
      </c>
      <c r="B475" s="1" t="s">
        <v>1041</v>
      </c>
      <c r="C475" s="1" t="s">
        <v>22</v>
      </c>
      <c r="D475">
        <v>57</v>
      </c>
      <c r="E475" s="1" t="s">
        <v>186</v>
      </c>
      <c r="F475" s="1" t="s">
        <v>187</v>
      </c>
      <c r="G475" s="1" t="s">
        <v>17</v>
      </c>
      <c r="I475" s="1" t="s">
        <v>92</v>
      </c>
      <c r="J475">
        <v>4.8</v>
      </c>
      <c r="K475" s="1" t="s">
        <v>27</v>
      </c>
    </row>
    <row r="476" spans="1:12" x14ac:dyDescent="0.3">
      <c r="A476" s="1" t="s">
        <v>1042</v>
      </c>
      <c r="B476" s="1" t="s">
        <v>1043</v>
      </c>
      <c r="C476" s="1" t="s">
        <v>69</v>
      </c>
      <c r="D476">
        <v>42</v>
      </c>
      <c r="E476" s="1" t="s">
        <v>64</v>
      </c>
      <c r="F476" s="1" t="s">
        <v>24</v>
      </c>
      <c r="G476" s="1" t="s">
        <v>82</v>
      </c>
      <c r="H476">
        <v>14</v>
      </c>
      <c r="I476" s="1" t="s">
        <v>50</v>
      </c>
      <c r="J476">
        <v>1.3</v>
      </c>
      <c r="K476" s="1" t="s">
        <v>19</v>
      </c>
      <c r="L476">
        <v>0.94</v>
      </c>
    </row>
    <row r="477" spans="1:12" x14ac:dyDescent="0.3">
      <c r="A477" s="1" t="s">
        <v>1044</v>
      </c>
      <c r="B477" s="1" t="s">
        <v>1045</v>
      </c>
      <c r="C477" s="1" t="s">
        <v>54</v>
      </c>
      <c r="D477">
        <v>31</v>
      </c>
      <c r="E477" s="1" t="s">
        <v>55</v>
      </c>
      <c r="F477" s="1" t="s">
        <v>56</v>
      </c>
      <c r="G477" s="1" t="s">
        <v>87</v>
      </c>
      <c r="H477">
        <v>11</v>
      </c>
      <c r="I477" s="1" t="s">
        <v>72</v>
      </c>
      <c r="J477">
        <v>4.3</v>
      </c>
      <c r="K477" s="1" t="s">
        <v>19</v>
      </c>
      <c r="L477">
        <v>62</v>
      </c>
    </row>
    <row r="478" spans="1:12" x14ac:dyDescent="0.3">
      <c r="A478" s="1" t="s">
        <v>1046</v>
      </c>
      <c r="B478" s="1" t="s">
        <v>1047</v>
      </c>
      <c r="C478" s="1" t="s">
        <v>102</v>
      </c>
      <c r="D478">
        <v>52</v>
      </c>
      <c r="E478" s="1" t="s">
        <v>201</v>
      </c>
      <c r="F478" s="1" t="s">
        <v>81</v>
      </c>
      <c r="G478" s="1" t="s">
        <v>87</v>
      </c>
      <c r="H478">
        <v>31</v>
      </c>
      <c r="I478" s="1" t="s">
        <v>44</v>
      </c>
      <c r="K478" s="1" t="s">
        <v>27</v>
      </c>
    </row>
    <row r="479" spans="1:12" x14ac:dyDescent="0.3">
      <c r="A479" s="1" t="s">
        <v>1048</v>
      </c>
      <c r="B479" s="1" t="s">
        <v>1049</v>
      </c>
      <c r="C479" s="1" t="s">
        <v>102</v>
      </c>
      <c r="D479">
        <v>56</v>
      </c>
      <c r="E479" s="1" t="s">
        <v>47</v>
      </c>
      <c r="F479" s="1" t="s">
        <v>48</v>
      </c>
      <c r="G479" s="1" t="s">
        <v>99</v>
      </c>
      <c r="H479">
        <v>16</v>
      </c>
      <c r="I479" s="1" t="s">
        <v>119</v>
      </c>
      <c r="J479">
        <v>0</v>
      </c>
      <c r="K479" s="1" t="s">
        <v>77</v>
      </c>
    </row>
    <row r="480" spans="1:12" x14ac:dyDescent="0.3">
      <c r="A480" s="1" t="s">
        <v>1050</v>
      </c>
      <c r="B480" s="1" t="s">
        <v>1051</v>
      </c>
      <c r="C480" s="1" t="s">
        <v>86</v>
      </c>
      <c r="D480">
        <v>24</v>
      </c>
      <c r="E480" s="1" t="s">
        <v>47</v>
      </c>
      <c r="F480" s="1" t="s">
        <v>48</v>
      </c>
      <c r="G480" s="1" t="s">
        <v>99</v>
      </c>
      <c r="H480">
        <v>6</v>
      </c>
      <c r="I480" s="1" t="s">
        <v>44</v>
      </c>
      <c r="J480">
        <v>0</v>
      </c>
      <c r="K480" s="1" t="s">
        <v>77</v>
      </c>
      <c r="L480">
        <v>0.84</v>
      </c>
    </row>
    <row r="481" spans="1:12" x14ac:dyDescent="0.3">
      <c r="A481" s="1" t="s">
        <v>1052</v>
      </c>
      <c r="B481" s="1" t="s">
        <v>1053</v>
      </c>
      <c r="C481" s="1" t="s">
        <v>30</v>
      </c>
      <c r="D481">
        <v>48</v>
      </c>
      <c r="E481" s="1" t="s">
        <v>138</v>
      </c>
      <c r="F481" s="1" t="s">
        <v>24</v>
      </c>
      <c r="G481" s="1" t="s">
        <v>99</v>
      </c>
      <c r="H481">
        <v>21</v>
      </c>
      <c r="I481" s="1" t="s">
        <v>92</v>
      </c>
      <c r="J481">
        <v>2.7</v>
      </c>
      <c r="K481" s="1" t="s">
        <v>27</v>
      </c>
    </row>
    <row r="482" spans="1:12" x14ac:dyDescent="0.3">
      <c r="A482" s="1" t="s">
        <v>1054</v>
      </c>
      <c r="B482" s="1" t="s">
        <v>1055</v>
      </c>
      <c r="C482" s="1" t="s">
        <v>107</v>
      </c>
      <c r="D482">
        <v>59</v>
      </c>
      <c r="E482" s="1" t="s">
        <v>145</v>
      </c>
      <c r="F482" s="1" t="s">
        <v>146</v>
      </c>
      <c r="G482" s="1" t="s">
        <v>87</v>
      </c>
      <c r="H482">
        <v>13</v>
      </c>
      <c r="I482" s="1" t="s">
        <v>76</v>
      </c>
      <c r="J482">
        <v>2.4</v>
      </c>
      <c r="K482" s="1" t="s">
        <v>170</v>
      </c>
      <c r="L482">
        <v>65</v>
      </c>
    </row>
    <row r="483" spans="1:12" x14ac:dyDescent="0.3">
      <c r="A483" s="1" t="s">
        <v>1056</v>
      </c>
      <c r="B483" s="1" t="s">
        <v>1057</v>
      </c>
      <c r="C483" s="1" t="s">
        <v>69</v>
      </c>
      <c r="E483" s="1" t="s">
        <v>75</v>
      </c>
      <c r="F483" s="1" t="s">
        <v>24</v>
      </c>
      <c r="G483" s="1" t="s">
        <v>39</v>
      </c>
      <c r="I483" s="1" t="s">
        <v>76</v>
      </c>
      <c r="J483">
        <v>1.9</v>
      </c>
      <c r="K483" s="1" t="s">
        <v>27</v>
      </c>
      <c r="L483">
        <v>0.94</v>
      </c>
    </row>
    <row r="484" spans="1:12" x14ac:dyDescent="0.3">
      <c r="A484" s="1" t="s">
        <v>1058</v>
      </c>
      <c r="B484" s="1" t="s">
        <v>1059</v>
      </c>
      <c r="C484" s="1" t="s">
        <v>43</v>
      </c>
      <c r="E484" s="1" t="s">
        <v>47</v>
      </c>
      <c r="F484" s="1" t="s">
        <v>48</v>
      </c>
      <c r="G484" s="1" t="s">
        <v>25</v>
      </c>
      <c r="H484">
        <v>11</v>
      </c>
      <c r="I484" s="1" t="s">
        <v>131</v>
      </c>
      <c r="J484">
        <v>3.6</v>
      </c>
      <c r="K484" s="1" t="s">
        <v>170</v>
      </c>
      <c r="L484">
        <v>0.69</v>
      </c>
    </row>
    <row r="485" spans="1:12" x14ac:dyDescent="0.3">
      <c r="A485" s="1" t="s">
        <v>1060</v>
      </c>
      <c r="B485" s="1" t="s">
        <v>1061</v>
      </c>
      <c r="C485" s="1" t="s">
        <v>54</v>
      </c>
      <c r="D485">
        <v>25</v>
      </c>
      <c r="E485" s="1" t="s">
        <v>47</v>
      </c>
      <c r="F485" s="1" t="s">
        <v>48</v>
      </c>
      <c r="G485" s="1" t="s">
        <v>25</v>
      </c>
      <c r="H485">
        <v>0</v>
      </c>
      <c r="I485" s="1" t="s">
        <v>34</v>
      </c>
      <c r="J485">
        <v>2.9</v>
      </c>
      <c r="K485" s="1" t="s">
        <v>77</v>
      </c>
      <c r="L485">
        <v>0.65</v>
      </c>
    </row>
    <row r="486" spans="1:12" x14ac:dyDescent="0.3">
      <c r="A486" s="1" t="s">
        <v>1062</v>
      </c>
      <c r="B486" s="1" t="s">
        <v>1063</v>
      </c>
      <c r="C486" s="1" t="s">
        <v>30</v>
      </c>
      <c r="D486">
        <v>31</v>
      </c>
      <c r="E486" s="1" t="s">
        <v>149</v>
      </c>
      <c r="F486" s="1" t="s">
        <v>150</v>
      </c>
      <c r="G486" s="1" t="s">
        <v>25</v>
      </c>
      <c r="H486">
        <v>2</v>
      </c>
      <c r="I486" s="1" t="s">
        <v>181</v>
      </c>
      <c r="J486">
        <v>2.8</v>
      </c>
      <c r="K486" s="1" t="s">
        <v>51</v>
      </c>
      <c r="L486">
        <v>0.6</v>
      </c>
    </row>
    <row r="487" spans="1:12" x14ac:dyDescent="0.3">
      <c r="A487" s="1" t="s">
        <v>1064</v>
      </c>
      <c r="B487" s="1" t="s">
        <v>1065</v>
      </c>
      <c r="C487" s="1" t="s">
        <v>69</v>
      </c>
      <c r="D487">
        <v>40</v>
      </c>
      <c r="E487" s="1" t="s">
        <v>70</v>
      </c>
      <c r="F487" s="1" t="s">
        <v>71</v>
      </c>
      <c r="G487" s="1" t="s">
        <v>99</v>
      </c>
      <c r="H487">
        <v>12</v>
      </c>
      <c r="I487" s="1" t="s">
        <v>92</v>
      </c>
      <c r="J487">
        <v>2.6</v>
      </c>
      <c r="K487" s="1" t="s">
        <v>51</v>
      </c>
    </row>
    <row r="488" spans="1:12" x14ac:dyDescent="0.3">
      <c r="A488" s="1" t="s">
        <v>1066</v>
      </c>
      <c r="B488" s="1" t="s">
        <v>686</v>
      </c>
      <c r="C488" s="1" t="s">
        <v>14</v>
      </c>
      <c r="D488">
        <v>48</v>
      </c>
      <c r="E488" s="1" t="s">
        <v>134</v>
      </c>
      <c r="F488" s="1" t="s">
        <v>135</v>
      </c>
      <c r="G488" s="1" t="s">
        <v>17</v>
      </c>
      <c r="H488">
        <v>13</v>
      </c>
      <c r="I488" s="1" t="s">
        <v>240</v>
      </c>
      <c r="J488">
        <v>2.7</v>
      </c>
      <c r="K488" s="1" t="s">
        <v>65</v>
      </c>
      <c r="L488">
        <v>0.62</v>
      </c>
    </row>
    <row r="489" spans="1:12" x14ac:dyDescent="0.3">
      <c r="A489" s="1" t="s">
        <v>1067</v>
      </c>
      <c r="B489" s="1" t="s">
        <v>1068</v>
      </c>
      <c r="C489" s="1" t="s">
        <v>14</v>
      </c>
      <c r="D489">
        <v>24</v>
      </c>
      <c r="E489" s="1" t="s">
        <v>164</v>
      </c>
      <c r="F489" s="1" t="s">
        <v>165</v>
      </c>
      <c r="G489" s="1" t="s">
        <v>25</v>
      </c>
      <c r="H489">
        <v>6</v>
      </c>
      <c r="I489" s="1" t="s">
        <v>44</v>
      </c>
      <c r="J489">
        <v>1.1000000000000001</v>
      </c>
      <c r="K489" s="1" t="s">
        <v>77</v>
      </c>
    </row>
    <row r="490" spans="1:12" x14ac:dyDescent="0.3">
      <c r="A490" s="1" t="s">
        <v>1069</v>
      </c>
      <c r="B490" s="1" t="s">
        <v>1070</v>
      </c>
      <c r="C490" s="1" t="s">
        <v>69</v>
      </c>
      <c r="D490">
        <v>33</v>
      </c>
      <c r="E490" s="1" t="s">
        <v>55</v>
      </c>
      <c r="F490" s="1" t="s">
        <v>56</v>
      </c>
      <c r="G490" s="1" t="s">
        <v>39</v>
      </c>
      <c r="H490">
        <v>10</v>
      </c>
      <c r="I490" s="1" t="s">
        <v>119</v>
      </c>
      <c r="J490">
        <v>0</v>
      </c>
      <c r="K490" s="1" t="s">
        <v>77</v>
      </c>
      <c r="L490">
        <v>0.89</v>
      </c>
    </row>
    <row r="491" spans="1:12" x14ac:dyDescent="0.3">
      <c r="A491" s="1" t="s">
        <v>1071</v>
      </c>
      <c r="B491" s="1" t="s">
        <v>1072</v>
      </c>
      <c r="C491" s="1" t="s">
        <v>86</v>
      </c>
      <c r="D491">
        <v>43</v>
      </c>
      <c r="E491" s="1" t="s">
        <v>117</v>
      </c>
      <c r="F491" s="1" t="s">
        <v>118</v>
      </c>
      <c r="G491" s="1" t="s">
        <v>82</v>
      </c>
      <c r="H491">
        <v>2</v>
      </c>
      <c r="I491" s="1" t="s">
        <v>40</v>
      </c>
      <c r="J491">
        <v>0</v>
      </c>
      <c r="K491" s="1" t="s">
        <v>77</v>
      </c>
      <c r="L491">
        <v>0.89</v>
      </c>
    </row>
    <row r="492" spans="1:12" x14ac:dyDescent="0.3">
      <c r="A492" s="1" t="s">
        <v>1073</v>
      </c>
      <c r="B492" s="1" t="s">
        <v>1074</v>
      </c>
      <c r="C492" s="1" t="s">
        <v>102</v>
      </c>
      <c r="D492">
        <v>43</v>
      </c>
      <c r="E492" s="1" t="s">
        <v>201</v>
      </c>
      <c r="F492" s="1" t="s">
        <v>81</v>
      </c>
      <c r="G492" s="1" t="s">
        <v>17</v>
      </c>
      <c r="H492">
        <v>4</v>
      </c>
      <c r="I492" s="1" t="s">
        <v>34</v>
      </c>
      <c r="J492">
        <v>0</v>
      </c>
      <c r="K492" s="1" t="s">
        <v>66</v>
      </c>
      <c r="L492">
        <v>1</v>
      </c>
    </row>
    <row r="493" spans="1:12" x14ac:dyDescent="0.3">
      <c r="A493" s="1" t="s">
        <v>1075</v>
      </c>
      <c r="B493" s="1" t="s">
        <v>1076</v>
      </c>
      <c r="C493" s="1" t="s">
        <v>22</v>
      </c>
      <c r="D493">
        <v>33</v>
      </c>
      <c r="E493" s="1" t="s">
        <v>23</v>
      </c>
      <c r="F493" s="1" t="s">
        <v>24</v>
      </c>
      <c r="G493" s="1" t="s">
        <v>39</v>
      </c>
      <c r="H493">
        <v>11</v>
      </c>
      <c r="I493" s="1" t="s">
        <v>65</v>
      </c>
      <c r="J493">
        <v>4.5999999999999996</v>
      </c>
      <c r="K493" s="1" t="s">
        <v>77</v>
      </c>
    </row>
    <row r="494" spans="1:12" x14ac:dyDescent="0.3">
      <c r="A494" s="1" t="s">
        <v>1077</v>
      </c>
      <c r="B494" s="1" t="s">
        <v>1078</v>
      </c>
      <c r="C494" s="1" t="s">
        <v>22</v>
      </c>
      <c r="D494">
        <v>49</v>
      </c>
      <c r="E494" s="1" t="s">
        <v>134</v>
      </c>
      <c r="F494" s="1" t="s">
        <v>135</v>
      </c>
      <c r="G494" s="1" t="s">
        <v>82</v>
      </c>
      <c r="H494">
        <v>14</v>
      </c>
      <c r="I494" s="1" t="s">
        <v>76</v>
      </c>
      <c r="J494">
        <v>1.5</v>
      </c>
      <c r="K494" s="1" t="s">
        <v>65</v>
      </c>
      <c r="L494">
        <v>0.6</v>
      </c>
    </row>
    <row r="495" spans="1:12" x14ac:dyDescent="0.3">
      <c r="A495" s="1" t="s">
        <v>1079</v>
      </c>
      <c r="B495" s="1" t="s">
        <v>1080</v>
      </c>
      <c r="C495" s="1" t="s">
        <v>54</v>
      </c>
      <c r="D495">
        <v>55</v>
      </c>
      <c r="E495" s="1" t="s">
        <v>138</v>
      </c>
      <c r="F495" s="1" t="s">
        <v>24</v>
      </c>
      <c r="G495" s="1" t="s">
        <v>82</v>
      </c>
      <c r="H495">
        <v>10</v>
      </c>
      <c r="I495" s="1" t="s">
        <v>76</v>
      </c>
      <c r="J495">
        <v>2</v>
      </c>
      <c r="K495" s="1" t="s">
        <v>170</v>
      </c>
      <c r="L495">
        <v>0.85</v>
      </c>
    </row>
    <row r="496" spans="1:12" x14ac:dyDescent="0.3">
      <c r="A496" s="1" t="s">
        <v>1081</v>
      </c>
      <c r="B496" s="1" t="s">
        <v>1082</v>
      </c>
      <c r="C496" s="1" t="s">
        <v>38</v>
      </c>
      <c r="D496">
        <v>33</v>
      </c>
      <c r="E496" s="1" t="s">
        <v>122</v>
      </c>
      <c r="F496" s="1" t="s">
        <v>123</v>
      </c>
      <c r="G496" s="1" t="s">
        <v>33</v>
      </c>
      <c r="H496">
        <v>3</v>
      </c>
      <c r="I496" s="1" t="s">
        <v>40</v>
      </c>
      <c r="J496">
        <v>1.6</v>
      </c>
      <c r="K496" s="1" t="s">
        <v>65</v>
      </c>
      <c r="L496">
        <v>0.83</v>
      </c>
    </row>
    <row r="497" spans="1:12" x14ac:dyDescent="0.3">
      <c r="A497" s="1" t="s">
        <v>1083</v>
      </c>
      <c r="B497" s="1" t="s">
        <v>1084</v>
      </c>
      <c r="C497" s="1" t="s">
        <v>107</v>
      </c>
      <c r="D497">
        <v>32</v>
      </c>
      <c r="E497" s="1" t="s">
        <v>80</v>
      </c>
      <c r="F497" s="1" t="s">
        <v>81</v>
      </c>
      <c r="G497" s="1" t="s">
        <v>49</v>
      </c>
      <c r="H497">
        <v>3</v>
      </c>
      <c r="I497" s="1" t="s">
        <v>50</v>
      </c>
      <c r="J497">
        <v>1.5</v>
      </c>
      <c r="K497" s="1" t="s">
        <v>35</v>
      </c>
      <c r="L497">
        <v>0.96</v>
      </c>
    </row>
    <row r="498" spans="1:12" x14ac:dyDescent="0.3">
      <c r="A498" s="1" t="s">
        <v>1085</v>
      </c>
      <c r="B498" s="1" t="s">
        <v>1086</v>
      </c>
      <c r="C498" s="1" t="s">
        <v>54</v>
      </c>
      <c r="D498">
        <v>58</v>
      </c>
      <c r="E498" s="1" t="s">
        <v>47</v>
      </c>
      <c r="F498" s="1" t="s">
        <v>48</v>
      </c>
      <c r="G498" s="1" t="s">
        <v>17</v>
      </c>
      <c r="H498">
        <v>33</v>
      </c>
      <c r="I498" s="1" t="s">
        <v>65</v>
      </c>
      <c r="J498">
        <v>4.0999999999999996</v>
      </c>
      <c r="K498" s="1" t="s">
        <v>83</v>
      </c>
      <c r="L498">
        <v>0.83</v>
      </c>
    </row>
    <row r="499" spans="1:12" x14ac:dyDescent="0.3">
      <c r="A499" s="1" t="s">
        <v>1087</v>
      </c>
      <c r="B499" s="1" t="s">
        <v>1088</v>
      </c>
      <c r="C499" s="1" t="s">
        <v>30</v>
      </c>
      <c r="D499">
        <v>49</v>
      </c>
      <c r="E499" s="1" t="s">
        <v>55</v>
      </c>
      <c r="F499" s="1" t="s">
        <v>56</v>
      </c>
      <c r="G499" s="1" t="s">
        <v>57</v>
      </c>
      <c r="H499">
        <v>24</v>
      </c>
      <c r="I499" s="1" t="s">
        <v>18</v>
      </c>
      <c r="J499">
        <v>4.7</v>
      </c>
      <c r="K499" s="1" t="s">
        <v>19</v>
      </c>
      <c r="L499">
        <v>0.6</v>
      </c>
    </row>
    <row r="500" spans="1:12" x14ac:dyDescent="0.3">
      <c r="A500" s="1" t="s">
        <v>1089</v>
      </c>
      <c r="B500" s="1" t="s">
        <v>1090</v>
      </c>
      <c r="C500" s="1" t="s">
        <v>86</v>
      </c>
      <c r="D500">
        <v>22</v>
      </c>
      <c r="E500" s="1" t="s">
        <v>134</v>
      </c>
      <c r="F500" s="1" t="s">
        <v>135</v>
      </c>
      <c r="G500" s="1" t="s">
        <v>82</v>
      </c>
      <c r="H500">
        <v>3</v>
      </c>
      <c r="I500" s="1" t="s">
        <v>26</v>
      </c>
      <c r="J500">
        <v>3.6</v>
      </c>
      <c r="K500" s="1" t="s">
        <v>27</v>
      </c>
      <c r="L500">
        <v>0.78</v>
      </c>
    </row>
    <row r="501" spans="1:12" x14ac:dyDescent="0.3">
      <c r="A501" s="1" t="s">
        <v>1091</v>
      </c>
      <c r="B501" s="1" t="s">
        <v>1092</v>
      </c>
      <c r="C501" s="1" t="s">
        <v>14</v>
      </c>
      <c r="D501">
        <v>40</v>
      </c>
      <c r="E501" s="1" t="s">
        <v>149</v>
      </c>
      <c r="F501" s="1" t="s">
        <v>150</v>
      </c>
      <c r="G501" s="1" t="s">
        <v>39</v>
      </c>
      <c r="H501">
        <v>11</v>
      </c>
      <c r="I501" s="1" t="s">
        <v>131</v>
      </c>
      <c r="J501">
        <v>1.8</v>
      </c>
      <c r="K501" s="1" t="s">
        <v>27</v>
      </c>
      <c r="L501">
        <v>0.9</v>
      </c>
    </row>
    <row r="502" spans="1:12" x14ac:dyDescent="0.3">
      <c r="A502" s="1" t="s">
        <v>1093</v>
      </c>
      <c r="B502" s="1" t="s">
        <v>1094</v>
      </c>
      <c r="C502" s="1" t="s">
        <v>54</v>
      </c>
      <c r="D502">
        <v>55</v>
      </c>
      <c r="E502" s="1" t="s">
        <v>23</v>
      </c>
      <c r="F502" s="1" t="s">
        <v>24</v>
      </c>
      <c r="G502" s="1" t="s">
        <v>57</v>
      </c>
      <c r="H502">
        <v>7</v>
      </c>
      <c r="I502" s="1" t="s">
        <v>26</v>
      </c>
      <c r="J502">
        <v>2.1</v>
      </c>
      <c r="K502" s="1" t="s">
        <v>19</v>
      </c>
      <c r="L502">
        <v>0.66</v>
      </c>
    </row>
    <row r="503" spans="1:12" x14ac:dyDescent="0.3">
      <c r="A503" s="1" t="s">
        <v>1095</v>
      </c>
      <c r="B503" s="1" t="s">
        <v>1096</v>
      </c>
      <c r="C503" s="1" t="s">
        <v>102</v>
      </c>
      <c r="D503">
        <v>32</v>
      </c>
      <c r="E503" s="1" t="s">
        <v>190</v>
      </c>
      <c r="F503" s="1" t="s">
        <v>81</v>
      </c>
      <c r="G503" s="1" t="s">
        <v>99</v>
      </c>
      <c r="H503">
        <v>1</v>
      </c>
      <c r="I503" s="1" t="s">
        <v>72</v>
      </c>
      <c r="K503" s="1" t="s">
        <v>77</v>
      </c>
      <c r="L503">
        <v>0.7</v>
      </c>
    </row>
    <row r="504" spans="1:12" x14ac:dyDescent="0.3">
      <c r="A504" s="1" t="s">
        <v>1097</v>
      </c>
      <c r="B504" s="1" t="s">
        <v>1098</v>
      </c>
      <c r="C504" s="1" t="s">
        <v>22</v>
      </c>
      <c r="D504">
        <v>21</v>
      </c>
      <c r="E504" s="1" t="s">
        <v>95</v>
      </c>
      <c r="F504" s="1" t="s">
        <v>96</v>
      </c>
      <c r="G504" s="1" t="s">
        <v>82</v>
      </c>
      <c r="H504">
        <v>0</v>
      </c>
      <c r="I504" s="1" t="s">
        <v>119</v>
      </c>
      <c r="J504">
        <v>4.2</v>
      </c>
      <c r="K504" s="1" t="s">
        <v>77</v>
      </c>
      <c r="L504">
        <v>0.79</v>
      </c>
    </row>
    <row r="505" spans="1:12" x14ac:dyDescent="0.3">
      <c r="A505" s="1" t="s">
        <v>1099</v>
      </c>
      <c r="B505" s="1" t="s">
        <v>1100</v>
      </c>
      <c r="C505" s="1" t="s">
        <v>102</v>
      </c>
      <c r="D505">
        <v>23</v>
      </c>
      <c r="E505" s="1" t="s">
        <v>122</v>
      </c>
      <c r="F505" s="1" t="s">
        <v>123</v>
      </c>
      <c r="G505" s="1" t="s">
        <v>17</v>
      </c>
      <c r="H505">
        <v>1</v>
      </c>
      <c r="I505" s="1" t="s">
        <v>76</v>
      </c>
      <c r="J505">
        <v>0</v>
      </c>
      <c r="K505" s="1" t="s">
        <v>19</v>
      </c>
      <c r="L505">
        <v>0.64</v>
      </c>
    </row>
    <row r="506" spans="1:12" x14ac:dyDescent="0.3">
      <c r="A506" s="1" t="s">
        <v>1101</v>
      </c>
      <c r="B506" s="1" t="s">
        <v>1102</v>
      </c>
      <c r="C506" s="1" t="s">
        <v>107</v>
      </c>
      <c r="D506">
        <v>21</v>
      </c>
      <c r="E506" s="1" t="s">
        <v>75</v>
      </c>
      <c r="F506" s="1" t="s">
        <v>24</v>
      </c>
      <c r="G506" s="1" t="s">
        <v>25</v>
      </c>
      <c r="H506">
        <v>1</v>
      </c>
      <c r="I506" s="1" t="s">
        <v>119</v>
      </c>
      <c r="J506">
        <v>1</v>
      </c>
      <c r="K506" s="1" t="s">
        <v>35</v>
      </c>
      <c r="L506">
        <v>0.81</v>
      </c>
    </row>
    <row r="507" spans="1:12" x14ac:dyDescent="0.3">
      <c r="A507" s="1" t="s">
        <v>1103</v>
      </c>
      <c r="B507" s="1" t="s">
        <v>1104</v>
      </c>
      <c r="C507" s="1" t="s">
        <v>107</v>
      </c>
      <c r="D507">
        <v>31</v>
      </c>
      <c r="E507" s="1" t="s">
        <v>80</v>
      </c>
      <c r="F507" s="1" t="s">
        <v>81</v>
      </c>
      <c r="G507" s="1" t="s">
        <v>49</v>
      </c>
      <c r="H507">
        <v>7</v>
      </c>
      <c r="I507" s="1" t="s">
        <v>92</v>
      </c>
      <c r="J507">
        <v>4.4000000000000004</v>
      </c>
      <c r="K507" s="1" t="s">
        <v>19</v>
      </c>
      <c r="L507">
        <v>0.83</v>
      </c>
    </row>
    <row r="508" spans="1:12" x14ac:dyDescent="0.3">
      <c r="A508" s="1" t="s">
        <v>1105</v>
      </c>
      <c r="B508" s="1" t="s">
        <v>1106</v>
      </c>
      <c r="C508" s="1" t="s">
        <v>102</v>
      </c>
      <c r="D508">
        <v>21</v>
      </c>
      <c r="E508" s="1" t="s">
        <v>190</v>
      </c>
      <c r="F508" s="1" t="s">
        <v>81</v>
      </c>
      <c r="G508" s="1" t="s">
        <v>17</v>
      </c>
      <c r="I508" s="1" t="s">
        <v>76</v>
      </c>
      <c r="J508">
        <v>4</v>
      </c>
      <c r="K508" s="1" t="s">
        <v>19</v>
      </c>
      <c r="L508">
        <v>0.91</v>
      </c>
    </row>
    <row r="509" spans="1:12" x14ac:dyDescent="0.3">
      <c r="A509" s="1" t="s">
        <v>1107</v>
      </c>
      <c r="B509" s="1" t="s">
        <v>1108</v>
      </c>
      <c r="C509" s="1" t="s">
        <v>30</v>
      </c>
      <c r="D509">
        <v>33</v>
      </c>
      <c r="E509" s="1" t="s">
        <v>75</v>
      </c>
      <c r="F509" s="1" t="s">
        <v>24</v>
      </c>
      <c r="G509" s="1" t="s">
        <v>87</v>
      </c>
      <c r="H509">
        <v>6</v>
      </c>
      <c r="I509" s="1" t="s">
        <v>108</v>
      </c>
      <c r="J509">
        <v>3.1</v>
      </c>
      <c r="K509" s="1" t="s">
        <v>35</v>
      </c>
    </row>
    <row r="510" spans="1:12" x14ac:dyDescent="0.3">
      <c r="A510" s="1" t="s">
        <v>1109</v>
      </c>
      <c r="B510" s="1" t="s">
        <v>1110</v>
      </c>
      <c r="C510" s="1" t="s">
        <v>54</v>
      </c>
      <c r="D510">
        <v>57</v>
      </c>
      <c r="E510" s="1" t="s">
        <v>117</v>
      </c>
      <c r="F510" s="1" t="s">
        <v>118</v>
      </c>
      <c r="G510" s="1" t="s">
        <v>39</v>
      </c>
      <c r="H510">
        <v>5</v>
      </c>
      <c r="I510" s="1" t="s">
        <v>92</v>
      </c>
      <c r="J510">
        <v>1.1000000000000001</v>
      </c>
      <c r="K510" s="1" t="s">
        <v>66</v>
      </c>
      <c r="L510">
        <v>0.77</v>
      </c>
    </row>
    <row r="511" spans="1:12" x14ac:dyDescent="0.3">
      <c r="A511" s="1" t="s">
        <v>1111</v>
      </c>
      <c r="B511" s="1" t="s">
        <v>1112</v>
      </c>
      <c r="C511" s="1" t="s">
        <v>54</v>
      </c>
      <c r="D511">
        <v>52</v>
      </c>
      <c r="E511" s="1" t="s">
        <v>64</v>
      </c>
      <c r="F511" s="1" t="s">
        <v>24</v>
      </c>
      <c r="G511" s="1" t="s">
        <v>99</v>
      </c>
      <c r="H511">
        <v>17</v>
      </c>
      <c r="I511" s="1" t="s">
        <v>58</v>
      </c>
      <c r="J511">
        <v>0</v>
      </c>
      <c r="K511" s="1" t="s">
        <v>19</v>
      </c>
      <c r="L511">
        <v>0.94</v>
      </c>
    </row>
    <row r="512" spans="1:12" x14ac:dyDescent="0.3">
      <c r="A512" s="1" t="s">
        <v>1113</v>
      </c>
      <c r="B512" s="1" t="s">
        <v>1114</v>
      </c>
      <c r="C512" s="1" t="s">
        <v>86</v>
      </c>
      <c r="D512">
        <v>21</v>
      </c>
      <c r="E512" s="1" t="s">
        <v>31</v>
      </c>
      <c r="F512" s="1" t="s">
        <v>32</v>
      </c>
      <c r="G512" s="1" t="s">
        <v>39</v>
      </c>
      <c r="H512">
        <v>0</v>
      </c>
      <c r="I512" s="1" t="s">
        <v>131</v>
      </c>
      <c r="J512">
        <v>3.8</v>
      </c>
      <c r="K512" s="1" t="s">
        <v>27</v>
      </c>
      <c r="L512">
        <v>0.61</v>
      </c>
    </row>
    <row r="513" spans="1:12" x14ac:dyDescent="0.3">
      <c r="A513" s="1" t="s">
        <v>1115</v>
      </c>
      <c r="B513" s="1" t="s">
        <v>1116</v>
      </c>
      <c r="C513" s="1" t="s">
        <v>22</v>
      </c>
      <c r="D513">
        <v>36</v>
      </c>
      <c r="E513" s="1" t="s">
        <v>80</v>
      </c>
      <c r="F513" s="1" t="s">
        <v>81</v>
      </c>
      <c r="G513" s="1" t="s">
        <v>82</v>
      </c>
      <c r="H513">
        <v>8</v>
      </c>
      <c r="I513" s="1" t="s">
        <v>18</v>
      </c>
      <c r="J513">
        <v>1.7</v>
      </c>
      <c r="K513" s="1" t="s">
        <v>35</v>
      </c>
      <c r="L513">
        <v>0.68</v>
      </c>
    </row>
    <row r="514" spans="1:12" x14ac:dyDescent="0.3">
      <c r="A514" s="1" t="s">
        <v>1117</v>
      </c>
      <c r="B514" s="1" t="s">
        <v>1118</v>
      </c>
      <c r="C514" s="1" t="s">
        <v>30</v>
      </c>
      <c r="D514">
        <v>33</v>
      </c>
      <c r="E514" s="1" t="s">
        <v>201</v>
      </c>
      <c r="F514" s="1" t="s">
        <v>81</v>
      </c>
      <c r="G514" s="1" t="s">
        <v>124</v>
      </c>
      <c r="H514">
        <v>13</v>
      </c>
      <c r="I514" s="1" t="s">
        <v>34</v>
      </c>
      <c r="J514">
        <v>2.2000000000000002</v>
      </c>
      <c r="K514" s="1" t="s">
        <v>35</v>
      </c>
      <c r="L514">
        <v>0.7</v>
      </c>
    </row>
    <row r="515" spans="1:12" x14ac:dyDescent="0.3">
      <c r="A515" s="1" t="s">
        <v>1119</v>
      </c>
      <c r="B515" s="1" t="s">
        <v>1120</v>
      </c>
      <c r="C515" s="1" t="s">
        <v>38</v>
      </c>
      <c r="D515">
        <v>54</v>
      </c>
      <c r="E515" s="1" t="s">
        <v>75</v>
      </c>
      <c r="F515" s="1" t="s">
        <v>24</v>
      </c>
      <c r="G515" s="1" t="s">
        <v>57</v>
      </c>
      <c r="H515">
        <v>15</v>
      </c>
      <c r="I515" s="1" t="s">
        <v>76</v>
      </c>
      <c r="J515">
        <v>4.0999999999999996</v>
      </c>
      <c r="K515" s="1" t="s">
        <v>66</v>
      </c>
      <c r="L515">
        <v>71</v>
      </c>
    </row>
    <row r="516" spans="1:12" x14ac:dyDescent="0.3">
      <c r="A516" s="1" t="s">
        <v>1121</v>
      </c>
      <c r="B516" s="1" t="s">
        <v>1122</v>
      </c>
      <c r="C516" s="1" t="s">
        <v>43</v>
      </c>
      <c r="D516">
        <v>33</v>
      </c>
      <c r="E516" s="1" t="s">
        <v>64</v>
      </c>
      <c r="F516" s="1" t="s">
        <v>24</v>
      </c>
      <c r="G516" s="1" t="s">
        <v>17</v>
      </c>
      <c r="H516">
        <v>2</v>
      </c>
      <c r="I516" s="1" t="s">
        <v>26</v>
      </c>
      <c r="J516">
        <v>3.8</v>
      </c>
      <c r="K516" s="1" t="s">
        <v>51</v>
      </c>
    </row>
    <row r="517" spans="1:12" x14ac:dyDescent="0.3">
      <c r="A517" s="1" t="s">
        <v>1123</v>
      </c>
      <c r="B517" s="1" t="s">
        <v>1124</v>
      </c>
      <c r="C517" s="1" t="s">
        <v>43</v>
      </c>
      <c r="D517">
        <v>36</v>
      </c>
      <c r="E517" s="1" t="s">
        <v>95</v>
      </c>
      <c r="F517" s="1" t="s">
        <v>96</v>
      </c>
      <c r="G517" s="1" t="s">
        <v>124</v>
      </c>
      <c r="H517">
        <v>9</v>
      </c>
      <c r="I517" s="1" t="s">
        <v>50</v>
      </c>
      <c r="J517">
        <v>0</v>
      </c>
      <c r="K517" s="1" t="s">
        <v>77</v>
      </c>
      <c r="L517">
        <v>0.78</v>
      </c>
    </row>
    <row r="518" spans="1:12" x14ac:dyDescent="0.3">
      <c r="A518" s="1" t="s">
        <v>1125</v>
      </c>
      <c r="B518" s="1" t="s">
        <v>1126</v>
      </c>
      <c r="C518" s="1" t="s">
        <v>22</v>
      </c>
      <c r="D518">
        <v>36</v>
      </c>
      <c r="E518" s="1" t="s">
        <v>70</v>
      </c>
      <c r="F518" s="1" t="s">
        <v>71</v>
      </c>
      <c r="G518" s="1" t="s">
        <v>49</v>
      </c>
      <c r="H518">
        <v>3</v>
      </c>
      <c r="I518" s="1" t="s">
        <v>108</v>
      </c>
      <c r="J518">
        <v>0</v>
      </c>
      <c r="K518" s="1" t="s">
        <v>170</v>
      </c>
      <c r="L518">
        <v>75</v>
      </c>
    </row>
    <row r="519" spans="1:12" x14ac:dyDescent="0.3">
      <c r="A519" s="1" t="s">
        <v>1127</v>
      </c>
      <c r="B519" s="1" t="s">
        <v>1128</v>
      </c>
      <c r="C519" s="1" t="s">
        <v>38</v>
      </c>
      <c r="D519">
        <v>43</v>
      </c>
      <c r="E519" s="1" t="s">
        <v>186</v>
      </c>
      <c r="F519" s="1" t="s">
        <v>187</v>
      </c>
      <c r="G519" s="1" t="s">
        <v>49</v>
      </c>
      <c r="H519">
        <v>15</v>
      </c>
      <c r="I519" s="1" t="s">
        <v>131</v>
      </c>
      <c r="J519">
        <v>4.2</v>
      </c>
      <c r="K519" s="1" t="s">
        <v>66</v>
      </c>
      <c r="L519">
        <v>0.91</v>
      </c>
    </row>
    <row r="520" spans="1:12" x14ac:dyDescent="0.3">
      <c r="A520" s="1" t="s">
        <v>1129</v>
      </c>
      <c r="B520" s="1" t="s">
        <v>1130</v>
      </c>
      <c r="C520" s="1" t="s">
        <v>107</v>
      </c>
      <c r="D520">
        <v>52</v>
      </c>
      <c r="E520" s="1" t="s">
        <v>75</v>
      </c>
      <c r="F520" s="1" t="s">
        <v>24</v>
      </c>
      <c r="G520" s="1" t="s">
        <v>57</v>
      </c>
      <c r="H520">
        <v>21</v>
      </c>
      <c r="I520" s="1" t="s">
        <v>58</v>
      </c>
      <c r="J520">
        <v>2.2000000000000002</v>
      </c>
      <c r="K520" s="1" t="s">
        <v>27</v>
      </c>
      <c r="L520">
        <v>0.66</v>
      </c>
    </row>
    <row r="521" spans="1:12" x14ac:dyDescent="0.3">
      <c r="A521" s="1" t="s">
        <v>1131</v>
      </c>
      <c r="B521" s="1" t="s">
        <v>1132</v>
      </c>
      <c r="C521" s="1" t="s">
        <v>38</v>
      </c>
      <c r="D521">
        <v>28</v>
      </c>
      <c r="E521" s="1" t="s">
        <v>55</v>
      </c>
      <c r="F521" s="1" t="s">
        <v>56</v>
      </c>
      <c r="G521" s="1" t="s">
        <v>87</v>
      </c>
      <c r="H521">
        <v>2</v>
      </c>
      <c r="I521" s="1" t="s">
        <v>58</v>
      </c>
      <c r="J521">
        <v>1.5</v>
      </c>
      <c r="K521" s="1" t="s">
        <v>27</v>
      </c>
      <c r="L521">
        <v>0.68</v>
      </c>
    </row>
    <row r="522" spans="1:12" x14ac:dyDescent="0.3">
      <c r="A522" s="1" t="s">
        <v>1133</v>
      </c>
      <c r="B522" s="1" t="s">
        <v>1134</v>
      </c>
      <c r="C522" s="1" t="s">
        <v>86</v>
      </c>
      <c r="D522">
        <v>47</v>
      </c>
      <c r="E522" s="1" t="s">
        <v>186</v>
      </c>
      <c r="F522" s="1" t="s">
        <v>187</v>
      </c>
      <c r="G522" s="1" t="s">
        <v>87</v>
      </c>
      <c r="H522">
        <v>21</v>
      </c>
      <c r="I522" s="1" t="s">
        <v>240</v>
      </c>
      <c r="J522">
        <v>0</v>
      </c>
      <c r="K522" s="1" t="s">
        <v>35</v>
      </c>
    </row>
    <row r="523" spans="1:12" x14ac:dyDescent="0.3">
      <c r="A523" s="1" t="s">
        <v>1135</v>
      </c>
      <c r="B523" s="1" t="s">
        <v>1136</v>
      </c>
      <c r="C523" s="1" t="s">
        <v>43</v>
      </c>
      <c r="D523">
        <v>30</v>
      </c>
      <c r="E523" s="1" t="s">
        <v>145</v>
      </c>
      <c r="F523" s="1" t="s">
        <v>146</v>
      </c>
      <c r="G523" s="1" t="s">
        <v>99</v>
      </c>
      <c r="H523">
        <v>0</v>
      </c>
      <c r="I523" s="1" t="s">
        <v>26</v>
      </c>
      <c r="J523">
        <v>4.0999999999999996</v>
      </c>
      <c r="K523" s="1" t="s">
        <v>19</v>
      </c>
      <c r="L523">
        <v>0.62</v>
      </c>
    </row>
    <row r="524" spans="1:12" x14ac:dyDescent="0.3">
      <c r="A524" s="1" t="s">
        <v>1137</v>
      </c>
      <c r="B524" s="1" t="s">
        <v>1138</v>
      </c>
      <c r="C524" s="1" t="s">
        <v>54</v>
      </c>
      <c r="D524">
        <v>36</v>
      </c>
      <c r="E524" s="1" t="s">
        <v>149</v>
      </c>
      <c r="F524" s="1" t="s">
        <v>150</v>
      </c>
      <c r="G524" s="1" t="s">
        <v>17</v>
      </c>
      <c r="H524">
        <v>4</v>
      </c>
      <c r="I524" s="1" t="s">
        <v>76</v>
      </c>
      <c r="J524">
        <v>2.6</v>
      </c>
      <c r="K524" s="1" t="s">
        <v>170</v>
      </c>
      <c r="L524">
        <v>0.9</v>
      </c>
    </row>
    <row r="525" spans="1:12" x14ac:dyDescent="0.3">
      <c r="A525" s="1" t="s">
        <v>1139</v>
      </c>
      <c r="B525" s="1" t="s">
        <v>1140</v>
      </c>
      <c r="C525" s="1" t="s">
        <v>22</v>
      </c>
      <c r="D525">
        <v>45</v>
      </c>
      <c r="E525" s="1" t="s">
        <v>64</v>
      </c>
      <c r="F525" s="1" t="s">
        <v>24</v>
      </c>
      <c r="G525" s="1" t="s">
        <v>82</v>
      </c>
      <c r="H525">
        <v>23</v>
      </c>
      <c r="I525" s="1" t="s">
        <v>18</v>
      </c>
      <c r="J525">
        <v>2.4</v>
      </c>
      <c r="K525" s="1" t="s">
        <v>51</v>
      </c>
      <c r="L525">
        <v>0.96</v>
      </c>
    </row>
    <row r="526" spans="1:12" x14ac:dyDescent="0.3">
      <c r="A526" s="1" t="s">
        <v>1141</v>
      </c>
      <c r="B526" s="1" t="s">
        <v>1142</v>
      </c>
      <c r="C526" s="1" t="s">
        <v>38</v>
      </c>
      <c r="D526">
        <v>51</v>
      </c>
      <c r="E526" s="1" t="s">
        <v>64</v>
      </c>
      <c r="F526" s="1" t="s">
        <v>24</v>
      </c>
      <c r="G526" s="1" t="s">
        <v>17</v>
      </c>
      <c r="H526">
        <v>25</v>
      </c>
      <c r="I526" s="1" t="s">
        <v>34</v>
      </c>
      <c r="J526">
        <v>1.4</v>
      </c>
      <c r="K526" s="1" t="s">
        <v>83</v>
      </c>
      <c r="L526">
        <v>0.6</v>
      </c>
    </row>
    <row r="527" spans="1:12" x14ac:dyDescent="0.3">
      <c r="A527" s="1" t="s">
        <v>1143</v>
      </c>
      <c r="B527" s="1" t="s">
        <v>1144</v>
      </c>
      <c r="C527" s="1" t="s">
        <v>54</v>
      </c>
      <c r="D527">
        <v>46</v>
      </c>
      <c r="E527" s="1" t="s">
        <v>70</v>
      </c>
      <c r="F527" s="1" t="s">
        <v>71</v>
      </c>
      <c r="G527" s="1" t="s">
        <v>25</v>
      </c>
      <c r="H527">
        <v>10</v>
      </c>
      <c r="I527" s="1" t="s">
        <v>65</v>
      </c>
      <c r="J527">
        <v>4.5999999999999996</v>
      </c>
      <c r="K527" s="1" t="s">
        <v>83</v>
      </c>
      <c r="L527">
        <v>0.62</v>
      </c>
    </row>
    <row r="528" spans="1:12" x14ac:dyDescent="0.3">
      <c r="A528" s="1" t="s">
        <v>1145</v>
      </c>
      <c r="B528" s="1" t="s">
        <v>1146</v>
      </c>
      <c r="C528" s="1" t="s">
        <v>22</v>
      </c>
      <c r="D528">
        <v>38</v>
      </c>
      <c r="E528" s="1" t="s">
        <v>15</v>
      </c>
      <c r="F528" s="1" t="s">
        <v>16</v>
      </c>
      <c r="G528" s="1" t="s">
        <v>57</v>
      </c>
      <c r="H528">
        <v>18</v>
      </c>
      <c r="I528" s="1" t="s">
        <v>61</v>
      </c>
      <c r="J528">
        <v>4.9000000000000004</v>
      </c>
      <c r="K528" s="1" t="s">
        <v>51</v>
      </c>
      <c r="L528">
        <v>0.74</v>
      </c>
    </row>
    <row r="529" spans="1:12" x14ac:dyDescent="0.3">
      <c r="A529" s="1" t="s">
        <v>1147</v>
      </c>
      <c r="B529" s="1" t="s">
        <v>1148</v>
      </c>
      <c r="C529" s="1" t="s">
        <v>107</v>
      </c>
      <c r="D529">
        <v>26</v>
      </c>
      <c r="E529" s="1" t="s">
        <v>201</v>
      </c>
      <c r="F529" s="1" t="s">
        <v>81</v>
      </c>
      <c r="G529" s="1" t="s">
        <v>17</v>
      </c>
      <c r="H529">
        <v>1</v>
      </c>
      <c r="I529" s="1" t="s">
        <v>131</v>
      </c>
      <c r="J529">
        <v>0</v>
      </c>
      <c r="K529" s="1" t="s">
        <v>27</v>
      </c>
    </row>
    <row r="530" spans="1:12" x14ac:dyDescent="0.3">
      <c r="A530" s="1" t="s">
        <v>1149</v>
      </c>
      <c r="B530" s="1" t="s">
        <v>1150</v>
      </c>
      <c r="C530" s="1" t="s">
        <v>86</v>
      </c>
      <c r="D530">
        <v>40</v>
      </c>
      <c r="E530" s="1" t="s">
        <v>75</v>
      </c>
      <c r="F530" s="1" t="s">
        <v>24</v>
      </c>
      <c r="G530" s="1" t="s">
        <v>99</v>
      </c>
      <c r="H530">
        <v>12</v>
      </c>
      <c r="I530" s="1" t="s">
        <v>44</v>
      </c>
      <c r="J530">
        <v>3.5</v>
      </c>
      <c r="K530" s="1" t="s">
        <v>65</v>
      </c>
      <c r="L530">
        <v>0.98</v>
      </c>
    </row>
    <row r="531" spans="1:12" x14ac:dyDescent="0.3">
      <c r="A531" s="1" t="s">
        <v>1151</v>
      </c>
      <c r="B531" s="1" t="s">
        <v>1152</v>
      </c>
      <c r="C531" s="1" t="s">
        <v>107</v>
      </c>
      <c r="D531">
        <v>37</v>
      </c>
      <c r="E531" s="1" t="s">
        <v>31</v>
      </c>
      <c r="F531" s="1" t="s">
        <v>32</v>
      </c>
      <c r="G531" s="1" t="s">
        <v>124</v>
      </c>
      <c r="I531" s="1" t="s">
        <v>65</v>
      </c>
      <c r="J531">
        <v>1.7</v>
      </c>
      <c r="K531" s="1" t="s">
        <v>77</v>
      </c>
      <c r="L531">
        <v>0.63</v>
      </c>
    </row>
    <row r="532" spans="1:12" x14ac:dyDescent="0.3">
      <c r="A532" s="1" t="s">
        <v>1153</v>
      </c>
      <c r="B532" s="1" t="s">
        <v>1154</v>
      </c>
      <c r="C532" s="1" t="s">
        <v>102</v>
      </c>
      <c r="D532">
        <v>28</v>
      </c>
      <c r="E532" s="1" t="s">
        <v>138</v>
      </c>
      <c r="F532" s="1" t="s">
        <v>24</v>
      </c>
      <c r="G532" s="1" t="s">
        <v>17</v>
      </c>
      <c r="H532">
        <v>5</v>
      </c>
      <c r="I532" s="1" t="s">
        <v>72</v>
      </c>
      <c r="J532">
        <v>0</v>
      </c>
      <c r="K532" s="1" t="s">
        <v>77</v>
      </c>
      <c r="L532">
        <v>96</v>
      </c>
    </row>
    <row r="533" spans="1:12" x14ac:dyDescent="0.3">
      <c r="A533" s="1" t="s">
        <v>1155</v>
      </c>
      <c r="B533" s="1" t="s">
        <v>1156</v>
      </c>
      <c r="C533" s="1" t="s">
        <v>43</v>
      </c>
      <c r="D533">
        <v>48</v>
      </c>
      <c r="E533" s="1" t="s">
        <v>103</v>
      </c>
      <c r="F533" s="1" t="s">
        <v>104</v>
      </c>
      <c r="G533" s="1" t="s">
        <v>25</v>
      </c>
      <c r="H533">
        <v>28</v>
      </c>
      <c r="I533" s="1" t="s">
        <v>325</v>
      </c>
      <c r="J533">
        <v>0</v>
      </c>
      <c r="K533" s="1" t="s">
        <v>19</v>
      </c>
      <c r="L533">
        <v>0.88</v>
      </c>
    </row>
    <row r="534" spans="1:12" x14ac:dyDescent="0.3">
      <c r="A534" s="1" t="s">
        <v>1157</v>
      </c>
      <c r="B534" s="1" t="s">
        <v>1158</v>
      </c>
      <c r="C534" s="1" t="s">
        <v>69</v>
      </c>
      <c r="D534">
        <v>22</v>
      </c>
      <c r="E534" s="1" t="s">
        <v>103</v>
      </c>
      <c r="F534" s="1" t="s">
        <v>104</v>
      </c>
      <c r="G534" s="1" t="s">
        <v>49</v>
      </c>
      <c r="H534">
        <v>0</v>
      </c>
      <c r="I534" s="1" t="s">
        <v>65</v>
      </c>
      <c r="J534">
        <v>4.5999999999999996</v>
      </c>
      <c r="K534" s="1" t="s">
        <v>51</v>
      </c>
    </row>
    <row r="535" spans="1:12" x14ac:dyDescent="0.3">
      <c r="A535" s="1" t="s">
        <v>1159</v>
      </c>
      <c r="B535" s="1" t="s">
        <v>1160</v>
      </c>
      <c r="C535" s="1" t="s">
        <v>43</v>
      </c>
      <c r="D535">
        <v>41</v>
      </c>
      <c r="E535" s="1" t="s">
        <v>31</v>
      </c>
      <c r="F535" s="1" t="s">
        <v>32</v>
      </c>
      <c r="G535" s="1" t="s">
        <v>39</v>
      </c>
      <c r="H535">
        <v>14</v>
      </c>
      <c r="I535" s="1" t="s">
        <v>76</v>
      </c>
      <c r="J535">
        <v>1.1000000000000001</v>
      </c>
      <c r="K535" s="1" t="s">
        <v>66</v>
      </c>
      <c r="L535">
        <v>0.73</v>
      </c>
    </row>
    <row r="536" spans="1:12" x14ac:dyDescent="0.3">
      <c r="A536" s="1" t="s">
        <v>1161</v>
      </c>
      <c r="B536" s="1" t="s">
        <v>1162</v>
      </c>
      <c r="C536" s="1" t="s">
        <v>69</v>
      </c>
      <c r="D536">
        <v>38</v>
      </c>
      <c r="E536" s="1" t="s">
        <v>64</v>
      </c>
      <c r="F536" s="1" t="s">
        <v>24</v>
      </c>
      <c r="G536" s="1" t="s">
        <v>33</v>
      </c>
      <c r="H536">
        <v>15</v>
      </c>
      <c r="I536" s="1" t="s">
        <v>65</v>
      </c>
      <c r="J536">
        <v>4.2</v>
      </c>
      <c r="K536" s="1" t="s">
        <v>19</v>
      </c>
      <c r="L536">
        <v>0.88</v>
      </c>
    </row>
    <row r="537" spans="1:12" x14ac:dyDescent="0.3">
      <c r="A537" s="1" t="s">
        <v>1163</v>
      </c>
      <c r="B537" s="1" t="s">
        <v>1164</v>
      </c>
      <c r="C537" s="1" t="s">
        <v>22</v>
      </c>
      <c r="D537">
        <v>31</v>
      </c>
      <c r="E537" s="1" t="s">
        <v>164</v>
      </c>
      <c r="F537" s="1" t="s">
        <v>165</v>
      </c>
      <c r="G537" s="1" t="s">
        <v>82</v>
      </c>
      <c r="H537">
        <v>9</v>
      </c>
      <c r="I537" s="1" t="s">
        <v>65</v>
      </c>
      <c r="J537">
        <v>0</v>
      </c>
      <c r="K537" s="1" t="s">
        <v>51</v>
      </c>
      <c r="L537">
        <v>0.91</v>
      </c>
    </row>
    <row r="538" spans="1:12" x14ac:dyDescent="0.3">
      <c r="A538" s="1" t="s">
        <v>1165</v>
      </c>
      <c r="B538" s="1" t="s">
        <v>1166</v>
      </c>
      <c r="C538" s="1" t="s">
        <v>38</v>
      </c>
      <c r="D538">
        <v>30</v>
      </c>
      <c r="E538" s="1" t="s">
        <v>186</v>
      </c>
      <c r="F538" s="1" t="s">
        <v>187</v>
      </c>
      <c r="G538" s="1" t="s">
        <v>25</v>
      </c>
      <c r="H538">
        <v>9</v>
      </c>
      <c r="I538" s="1" t="s">
        <v>50</v>
      </c>
      <c r="J538">
        <v>3.9</v>
      </c>
      <c r="K538" s="1" t="s">
        <v>170</v>
      </c>
      <c r="L538">
        <v>0.65</v>
      </c>
    </row>
    <row r="539" spans="1:12" x14ac:dyDescent="0.3">
      <c r="A539" s="1" t="s">
        <v>1167</v>
      </c>
      <c r="B539" s="1" t="s">
        <v>1168</v>
      </c>
      <c r="C539" s="1" t="s">
        <v>69</v>
      </c>
      <c r="D539">
        <v>51</v>
      </c>
      <c r="E539" s="1" t="s">
        <v>190</v>
      </c>
      <c r="F539" s="1" t="s">
        <v>81</v>
      </c>
      <c r="G539" s="1" t="s">
        <v>82</v>
      </c>
      <c r="H539">
        <v>22</v>
      </c>
      <c r="I539" s="1" t="s">
        <v>151</v>
      </c>
      <c r="J539">
        <v>3.4</v>
      </c>
      <c r="K539" s="1" t="s">
        <v>66</v>
      </c>
      <c r="L539">
        <v>90</v>
      </c>
    </row>
    <row r="540" spans="1:12" x14ac:dyDescent="0.3">
      <c r="A540" s="1" t="s">
        <v>1169</v>
      </c>
      <c r="B540" s="1" t="s">
        <v>1170</v>
      </c>
      <c r="C540" s="1" t="s">
        <v>14</v>
      </c>
      <c r="D540">
        <v>21</v>
      </c>
      <c r="E540" s="1" t="s">
        <v>31</v>
      </c>
      <c r="F540" s="1" t="s">
        <v>32</v>
      </c>
      <c r="G540" s="1" t="s">
        <v>99</v>
      </c>
      <c r="H540">
        <v>0</v>
      </c>
      <c r="I540" s="1" t="s">
        <v>131</v>
      </c>
      <c r="J540">
        <v>2.6</v>
      </c>
      <c r="K540" s="1" t="s">
        <v>35</v>
      </c>
      <c r="L540">
        <v>0.72</v>
      </c>
    </row>
    <row r="541" spans="1:12" x14ac:dyDescent="0.3">
      <c r="A541" s="1" t="s">
        <v>1171</v>
      </c>
      <c r="B541" s="1" t="s">
        <v>1172</v>
      </c>
      <c r="C541" s="1" t="s">
        <v>22</v>
      </c>
      <c r="D541">
        <v>20</v>
      </c>
      <c r="E541" s="1" t="s">
        <v>15</v>
      </c>
      <c r="F541" s="1" t="s">
        <v>16</v>
      </c>
      <c r="G541" s="1" t="s">
        <v>99</v>
      </c>
      <c r="H541">
        <v>1</v>
      </c>
      <c r="I541" s="1" t="s">
        <v>61</v>
      </c>
      <c r="J541">
        <v>2.2999999999999998</v>
      </c>
      <c r="K541" s="1" t="s">
        <v>27</v>
      </c>
      <c r="L541">
        <v>0.72</v>
      </c>
    </row>
    <row r="542" spans="1:12" x14ac:dyDescent="0.3">
      <c r="A542" s="1" t="s">
        <v>1173</v>
      </c>
      <c r="B542" s="1" t="s">
        <v>1174</v>
      </c>
      <c r="C542" s="1" t="s">
        <v>107</v>
      </c>
      <c r="D542">
        <v>30</v>
      </c>
      <c r="E542" s="1" t="s">
        <v>95</v>
      </c>
      <c r="F542" s="1" t="s">
        <v>96</v>
      </c>
      <c r="G542" s="1" t="s">
        <v>17</v>
      </c>
      <c r="H542">
        <v>5</v>
      </c>
      <c r="I542" s="1" t="s">
        <v>50</v>
      </c>
      <c r="J542">
        <v>4.8</v>
      </c>
      <c r="K542" s="1" t="s">
        <v>35</v>
      </c>
    </row>
    <row r="543" spans="1:12" x14ac:dyDescent="0.3">
      <c r="A543" s="1" t="s">
        <v>1175</v>
      </c>
      <c r="B543" s="1" t="s">
        <v>1176</v>
      </c>
      <c r="C543" s="1" t="s">
        <v>69</v>
      </c>
      <c r="D543">
        <v>41</v>
      </c>
      <c r="E543" s="1" t="s">
        <v>186</v>
      </c>
      <c r="F543" s="1" t="s">
        <v>187</v>
      </c>
      <c r="G543" s="1" t="s">
        <v>57</v>
      </c>
      <c r="H543">
        <v>0</v>
      </c>
      <c r="I543" s="1" t="s">
        <v>61</v>
      </c>
      <c r="J543">
        <v>4.5</v>
      </c>
      <c r="K543" s="1" t="s">
        <v>35</v>
      </c>
      <c r="L543">
        <v>0.68</v>
      </c>
    </row>
    <row r="544" spans="1:12" x14ac:dyDescent="0.3">
      <c r="A544" s="1" t="s">
        <v>1177</v>
      </c>
      <c r="B544" s="1" t="s">
        <v>1178</v>
      </c>
      <c r="C544" s="1" t="s">
        <v>107</v>
      </c>
      <c r="D544">
        <v>22</v>
      </c>
      <c r="E544" s="1" t="s">
        <v>201</v>
      </c>
      <c r="F544" s="1" t="s">
        <v>81</v>
      </c>
      <c r="G544" s="1" t="s">
        <v>17</v>
      </c>
      <c r="H544">
        <v>0</v>
      </c>
      <c r="I544" s="1" t="s">
        <v>50</v>
      </c>
      <c r="J544">
        <v>0</v>
      </c>
      <c r="K544" s="1" t="s">
        <v>19</v>
      </c>
      <c r="L544">
        <v>0.87</v>
      </c>
    </row>
    <row r="545" spans="1:12" x14ac:dyDescent="0.3">
      <c r="A545" s="1" t="s">
        <v>1179</v>
      </c>
      <c r="B545" s="1" t="s">
        <v>1180</v>
      </c>
      <c r="C545" s="1" t="s">
        <v>69</v>
      </c>
      <c r="D545">
        <v>45</v>
      </c>
      <c r="E545" s="1" t="s">
        <v>190</v>
      </c>
      <c r="F545" s="1" t="s">
        <v>81</v>
      </c>
      <c r="G545" s="1" t="s">
        <v>87</v>
      </c>
      <c r="H545">
        <v>19</v>
      </c>
      <c r="I545" s="1" t="s">
        <v>92</v>
      </c>
      <c r="J545">
        <v>0</v>
      </c>
      <c r="K545" s="1" t="s">
        <v>170</v>
      </c>
      <c r="L545">
        <v>0.72</v>
      </c>
    </row>
    <row r="546" spans="1:12" x14ac:dyDescent="0.3">
      <c r="A546" s="1" t="s">
        <v>1181</v>
      </c>
      <c r="B546" s="1" t="s">
        <v>1182</v>
      </c>
      <c r="C546" s="1" t="s">
        <v>86</v>
      </c>
      <c r="D546">
        <v>22</v>
      </c>
      <c r="E546" s="1" t="s">
        <v>23</v>
      </c>
      <c r="F546" s="1" t="s">
        <v>24</v>
      </c>
      <c r="G546" s="1" t="s">
        <v>57</v>
      </c>
      <c r="H546">
        <v>2</v>
      </c>
      <c r="I546" s="1" t="s">
        <v>76</v>
      </c>
      <c r="J546">
        <v>1.1000000000000001</v>
      </c>
      <c r="K546" s="1" t="s">
        <v>170</v>
      </c>
      <c r="L546">
        <v>0.76</v>
      </c>
    </row>
    <row r="547" spans="1:12" x14ac:dyDescent="0.3">
      <c r="A547" s="1" t="s">
        <v>1183</v>
      </c>
      <c r="B547" s="1" t="s">
        <v>1184</v>
      </c>
      <c r="C547" s="1" t="s">
        <v>14</v>
      </c>
      <c r="D547">
        <v>20</v>
      </c>
      <c r="E547" s="1" t="s">
        <v>70</v>
      </c>
      <c r="F547" s="1" t="s">
        <v>71</v>
      </c>
      <c r="G547" s="1" t="s">
        <v>25</v>
      </c>
      <c r="H547">
        <v>0</v>
      </c>
      <c r="I547" s="1" t="s">
        <v>18</v>
      </c>
      <c r="J547">
        <v>0</v>
      </c>
      <c r="K547" s="1" t="s">
        <v>19</v>
      </c>
      <c r="L547">
        <v>63</v>
      </c>
    </row>
    <row r="548" spans="1:12" x14ac:dyDescent="0.3">
      <c r="A548" s="1" t="s">
        <v>1185</v>
      </c>
      <c r="B548" s="1" t="s">
        <v>1186</v>
      </c>
      <c r="C548" s="1" t="s">
        <v>22</v>
      </c>
      <c r="D548">
        <v>20</v>
      </c>
      <c r="E548" s="1" t="s">
        <v>138</v>
      </c>
      <c r="F548" s="1" t="s">
        <v>24</v>
      </c>
      <c r="G548" s="1" t="s">
        <v>57</v>
      </c>
      <c r="H548">
        <v>2</v>
      </c>
      <c r="I548" s="1" t="s">
        <v>76</v>
      </c>
      <c r="K548" s="1" t="s">
        <v>27</v>
      </c>
      <c r="L548">
        <v>0.91</v>
      </c>
    </row>
    <row r="549" spans="1:12" x14ac:dyDescent="0.3">
      <c r="A549" s="1" t="s">
        <v>1187</v>
      </c>
      <c r="B549" s="1" t="s">
        <v>1188</v>
      </c>
      <c r="C549" s="1" t="s">
        <v>102</v>
      </c>
      <c r="D549">
        <v>21</v>
      </c>
      <c r="E549" s="1" t="s">
        <v>75</v>
      </c>
      <c r="F549" s="1" t="s">
        <v>24</v>
      </c>
      <c r="G549" s="1" t="s">
        <v>49</v>
      </c>
      <c r="H549">
        <v>0</v>
      </c>
      <c r="I549" s="1" t="s">
        <v>18</v>
      </c>
      <c r="K549" s="1" t="s">
        <v>19</v>
      </c>
      <c r="L549">
        <v>0.73</v>
      </c>
    </row>
    <row r="550" spans="1:12" x14ac:dyDescent="0.3">
      <c r="A550" s="1" t="s">
        <v>1189</v>
      </c>
      <c r="B550" s="1" t="s">
        <v>1190</v>
      </c>
      <c r="C550" s="1" t="s">
        <v>107</v>
      </c>
      <c r="D550">
        <v>22</v>
      </c>
      <c r="E550" s="1" t="s">
        <v>47</v>
      </c>
      <c r="F550" s="1" t="s">
        <v>48</v>
      </c>
      <c r="G550" s="1" t="s">
        <v>87</v>
      </c>
      <c r="H550">
        <v>1</v>
      </c>
      <c r="I550" s="1" t="s">
        <v>76</v>
      </c>
      <c r="J550">
        <v>0</v>
      </c>
      <c r="K550" s="1" t="s">
        <v>19</v>
      </c>
      <c r="L550">
        <v>0.63</v>
      </c>
    </row>
    <row r="551" spans="1:12" x14ac:dyDescent="0.3">
      <c r="A551" s="1" t="s">
        <v>1191</v>
      </c>
      <c r="B551" s="1" t="s">
        <v>1192</v>
      </c>
      <c r="C551" s="1" t="s">
        <v>38</v>
      </c>
      <c r="D551">
        <v>28</v>
      </c>
      <c r="E551" s="1" t="s">
        <v>75</v>
      </c>
      <c r="F551" s="1" t="s">
        <v>24</v>
      </c>
      <c r="G551" s="1" t="s">
        <v>99</v>
      </c>
      <c r="H551">
        <v>3</v>
      </c>
      <c r="I551" s="1" t="s">
        <v>325</v>
      </c>
      <c r="K551" s="1" t="s">
        <v>27</v>
      </c>
      <c r="L551">
        <v>0.79</v>
      </c>
    </row>
    <row r="552" spans="1:12" x14ac:dyDescent="0.3">
      <c r="A552" s="1" t="s">
        <v>1193</v>
      </c>
      <c r="B552" s="1" t="s">
        <v>1194</v>
      </c>
      <c r="C552" s="1" t="s">
        <v>38</v>
      </c>
      <c r="D552">
        <v>59</v>
      </c>
      <c r="E552" s="1" t="s">
        <v>80</v>
      </c>
      <c r="F552" s="1" t="s">
        <v>81</v>
      </c>
      <c r="G552" s="1" t="s">
        <v>49</v>
      </c>
      <c r="I552" s="1" t="s">
        <v>151</v>
      </c>
      <c r="J552">
        <v>4.0999999999999996</v>
      </c>
      <c r="K552" s="1" t="s">
        <v>19</v>
      </c>
      <c r="L552">
        <v>75</v>
      </c>
    </row>
    <row r="553" spans="1:12" x14ac:dyDescent="0.3">
      <c r="A553" s="1" t="s">
        <v>1195</v>
      </c>
      <c r="B553" s="1" t="s">
        <v>1196</v>
      </c>
      <c r="C553" s="1" t="s">
        <v>43</v>
      </c>
      <c r="D553">
        <v>28</v>
      </c>
      <c r="E553" s="1" t="s">
        <v>145</v>
      </c>
      <c r="F553" s="1" t="s">
        <v>146</v>
      </c>
      <c r="G553" s="1" t="s">
        <v>39</v>
      </c>
      <c r="H553">
        <v>1</v>
      </c>
      <c r="I553" s="1" t="s">
        <v>65</v>
      </c>
      <c r="J553">
        <v>0</v>
      </c>
      <c r="K553" s="1" t="s">
        <v>19</v>
      </c>
      <c r="L553">
        <v>0.7</v>
      </c>
    </row>
    <row r="554" spans="1:12" x14ac:dyDescent="0.3">
      <c r="A554" s="1" t="s">
        <v>1197</v>
      </c>
      <c r="B554" s="1" t="s">
        <v>1198</v>
      </c>
      <c r="C554" s="1" t="s">
        <v>38</v>
      </c>
      <c r="D554">
        <v>40</v>
      </c>
      <c r="E554" s="1" t="s">
        <v>23</v>
      </c>
      <c r="F554" s="1" t="s">
        <v>24</v>
      </c>
      <c r="G554" s="1" t="s">
        <v>99</v>
      </c>
      <c r="H554">
        <v>0</v>
      </c>
      <c r="I554" s="1" t="s">
        <v>240</v>
      </c>
      <c r="J554">
        <v>1.2</v>
      </c>
      <c r="K554" s="1" t="s">
        <v>65</v>
      </c>
      <c r="L554">
        <v>0.87</v>
      </c>
    </row>
    <row r="555" spans="1:12" x14ac:dyDescent="0.3">
      <c r="A555" s="1" t="s">
        <v>1199</v>
      </c>
      <c r="B555" s="1" t="s">
        <v>1200</v>
      </c>
      <c r="C555" s="1" t="s">
        <v>102</v>
      </c>
      <c r="D555">
        <v>57</v>
      </c>
      <c r="E555" s="1" t="s">
        <v>15</v>
      </c>
      <c r="F555" s="1" t="s">
        <v>16</v>
      </c>
      <c r="G555" s="1" t="s">
        <v>17</v>
      </c>
      <c r="H555">
        <v>7</v>
      </c>
      <c r="I555" s="1" t="s">
        <v>44</v>
      </c>
      <c r="J555">
        <v>1.6</v>
      </c>
      <c r="K555" s="1" t="s">
        <v>170</v>
      </c>
    </row>
    <row r="556" spans="1:12" x14ac:dyDescent="0.3">
      <c r="A556" s="1" t="s">
        <v>1201</v>
      </c>
      <c r="B556" s="1" t="s">
        <v>1202</v>
      </c>
      <c r="C556" s="1" t="s">
        <v>69</v>
      </c>
      <c r="D556">
        <v>47</v>
      </c>
      <c r="E556" s="1" t="s">
        <v>70</v>
      </c>
      <c r="F556" s="1" t="s">
        <v>71</v>
      </c>
      <c r="G556" s="1" t="s">
        <v>99</v>
      </c>
      <c r="H556">
        <v>1</v>
      </c>
      <c r="I556" s="1" t="s">
        <v>34</v>
      </c>
      <c r="J556">
        <v>3.9</v>
      </c>
      <c r="K556" s="1" t="s">
        <v>83</v>
      </c>
      <c r="L556">
        <v>0.88</v>
      </c>
    </row>
    <row r="557" spans="1:12" x14ac:dyDescent="0.3">
      <c r="A557" s="1" t="s">
        <v>1203</v>
      </c>
      <c r="B557" s="1" t="s">
        <v>1204</v>
      </c>
      <c r="C557" s="1" t="s">
        <v>30</v>
      </c>
      <c r="D557">
        <v>48</v>
      </c>
      <c r="E557" s="1" t="s">
        <v>122</v>
      </c>
      <c r="F557" s="1" t="s">
        <v>123</v>
      </c>
      <c r="G557" s="1" t="s">
        <v>87</v>
      </c>
      <c r="H557">
        <v>21</v>
      </c>
      <c r="I557" s="1" t="s">
        <v>76</v>
      </c>
      <c r="J557">
        <v>0</v>
      </c>
      <c r="K557" s="1" t="s">
        <v>27</v>
      </c>
    </row>
    <row r="558" spans="1:12" x14ac:dyDescent="0.3">
      <c r="A558" s="1" t="s">
        <v>1205</v>
      </c>
      <c r="B558" s="1" t="s">
        <v>1206</v>
      </c>
      <c r="C558" s="1" t="s">
        <v>107</v>
      </c>
      <c r="D558">
        <v>28</v>
      </c>
      <c r="E558" s="1" t="s">
        <v>64</v>
      </c>
      <c r="F558" s="1" t="s">
        <v>24</v>
      </c>
      <c r="G558" s="1" t="s">
        <v>82</v>
      </c>
      <c r="H558">
        <v>1</v>
      </c>
      <c r="I558" s="1" t="s">
        <v>325</v>
      </c>
      <c r="J558">
        <v>4.7</v>
      </c>
      <c r="K558" s="1" t="s">
        <v>51</v>
      </c>
      <c r="L558">
        <v>0.93</v>
      </c>
    </row>
    <row r="559" spans="1:12" x14ac:dyDescent="0.3">
      <c r="A559" s="1" t="s">
        <v>1207</v>
      </c>
      <c r="B559" s="1" t="s">
        <v>1208</v>
      </c>
      <c r="C559" s="1" t="s">
        <v>102</v>
      </c>
      <c r="D559">
        <v>41</v>
      </c>
      <c r="E559" s="1" t="s">
        <v>70</v>
      </c>
      <c r="F559" s="1" t="s">
        <v>71</v>
      </c>
      <c r="G559" s="1" t="s">
        <v>33</v>
      </c>
      <c r="H559">
        <v>15</v>
      </c>
      <c r="I559" s="1" t="s">
        <v>65</v>
      </c>
      <c r="J559">
        <v>3.8</v>
      </c>
      <c r="K559" s="1" t="s">
        <v>27</v>
      </c>
    </row>
    <row r="560" spans="1:12" x14ac:dyDescent="0.3">
      <c r="A560" s="1" t="s">
        <v>1209</v>
      </c>
      <c r="B560" s="1" t="s">
        <v>1210</v>
      </c>
      <c r="C560" s="1" t="s">
        <v>14</v>
      </c>
      <c r="D560">
        <v>57</v>
      </c>
      <c r="E560" s="1" t="s">
        <v>164</v>
      </c>
      <c r="F560" s="1" t="s">
        <v>165</v>
      </c>
      <c r="G560" s="1" t="s">
        <v>87</v>
      </c>
      <c r="H560">
        <v>33</v>
      </c>
      <c r="I560" s="1" t="s">
        <v>18</v>
      </c>
      <c r="J560">
        <v>3.5</v>
      </c>
      <c r="K560" s="1" t="s">
        <v>170</v>
      </c>
      <c r="L560">
        <v>0.74</v>
      </c>
    </row>
    <row r="561" spans="1:12" x14ac:dyDescent="0.3">
      <c r="A561" s="1" t="s">
        <v>1211</v>
      </c>
      <c r="B561" s="1" t="s">
        <v>1212</v>
      </c>
      <c r="C561" s="1" t="s">
        <v>30</v>
      </c>
      <c r="D561">
        <v>60</v>
      </c>
      <c r="E561" s="1" t="s">
        <v>80</v>
      </c>
      <c r="F561" s="1" t="s">
        <v>81</v>
      </c>
      <c r="G561" s="1" t="s">
        <v>33</v>
      </c>
      <c r="H561">
        <v>39</v>
      </c>
      <c r="I561" s="1" t="s">
        <v>58</v>
      </c>
      <c r="J561">
        <v>4</v>
      </c>
      <c r="K561" s="1" t="s">
        <v>65</v>
      </c>
      <c r="L561">
        <v>0.7</v>
      </c>
    </row>
    <row r="562" spans="1:12" x14ac:dyDescent="0.3">
      <c r="A562" s="1" t="s">
        <v>1213</v>
      </c>
      <c r="B562" s="1" t="s">
        <v>1214</v>
      </c>
      <c r="C562" s="1" t="s">
        <v>43</v>
      </c>
      <c r="D562">
        <v>48</v>
      </c>
      <c r="E562" s="1" t="s">
        <v>149</v>
      </c>
      <c r="F562" s="1" t="s">
        <v>150</v>
      </c>
      <c r="G562" s="1" t="s">
        <v>33</v>
      </c>
      <c r="H562">
        <v>21</v>
      </c>
      <c r="I562" s="1" t="s">
        <v>44</v>
      </c>
      <c r="J562">
        <v>1.6</v>
      </c>
      <c r="K562" s="1" t="s">
        <v>83</v>
      </c>
      <c r="L562">
        <v>0.67</v>
      </c>
    </row>
    <row r="563" spans="1:12" x14ac:dyDescent="0.3">
      <c r="A563" s="1" t="s">
        <v>1215</v>
      </c>
      <c r="B563" s="1" t="s">
        <v>1216</v>
      </c>
      <c r="C563" s="1" t="s">
        <v>86</v>
      </c>
      <c r="D563">
        <v>24</v>
      </c>
      <c r="E563" s="1" t="s">
        <v>145</v>
      </c>
      <c r="F563" s="1" t="s">
        <v>146</v>
      </c>
      <c r="G563" s="1" t="s">
        <v>87</v>
      </c>
      <c r="H563">
        <v>5</v>
      </c>
      <c r="I563" s="1" t="s">
        <v>76</v>
      </c>
      <c r="J563">
        <v>3</v>
      </c>
      <c r="K563" s="1" t="s">
        <v>170</v>
      </c>
      <c r="L563">
        <v>0.86</v>
      </c>
    </row>
    <row r="564" spans="1:12" x14ac:dyDescent="0.3">
      <c r="A564" s="1" t="s">
        <v>1217</v>
      </c>
      <c r="B564" s="1" t="s">
        <v>1218</v>
      </c>
      <c r="C564" s="1" t="s">
        <v>22</v>
      </c>
      <c r="D564">
        <v>33</v>
      </c>
      <c r="E564" s="1" t="s">
        <v>190</v>
      </c>
      <c r="F564" s="1" t="s">
        <v>81</v>
      </c>
      <c r="G564" s="1" t="s">
        <v>99</v>
      </c>
      <c r="H564">
        <v>11</v>
      </c>
      <c r="I564" s="1" t="s">
        <v>34</v>
      </c>
      <c r="J564">
        <v>5</v>
      </c>
      <c r="K564" s="1" t="s">
        <v>77</v>
      </c>
      <c r="L564">
        <v>0.69</v>
      </c>
    </row>
    <row r="565" spans="1:12" x14ac:dyDescent="0.3">
      <c r="A565" s="1" t="s">
        <v>1219</v>
      </c>
      <c r="B565" s="1" t="s">
        <v>1220</v>
      </c>
      <c r="C565" s="1" t="s">
        <v>22</v>
      </c>
      <c r="D565">
        <v>20</v>
      </c>
      <c r="E565" s="1" t="s">
        <v>70</v>
      </c>
      <c r="F565" s="1" t="s">
        <v>71</v>
      </c>
      <c r="G565" s="1" t="s">
        <v>33</v>
      </c>
      <c r="H565">
        <v>0</v>
      </c>
      <c r="I565" s="1" t="s">
        <v>44</v>
      </c>
      <c r="J565">
        <v>4.8</v>
      </c>
      <c r="K565" s="1" t="s">
        <v>77</v>
      </c>
      <c r="L565">
        <v>0.68</v>
      </c>
    </row>
    <row r="566" spans="1:12" x14ac:dyDescent="0.3">
      <c r="A566" s="1" t="s">
        <v>1221</v>
      </c>
      <c r="B566" s="1" t="s">
        <v>1222</v>
      </c>
      <c r="C566" s="1" t="s">
        <v>69</v>
      </c>
      <c r="D566">
        <v>59</v>
      </c>
      <c r="E566" s="1" t="s">
        <v>75</v>
      </c>
      <c r="F566" s="1" t="s">
        <v>24</v>
      </c>
      <c r="G566" s="1" t="s">
        <v>99</v>
      </c>
      <c r="H566">
        <v>15</v>
      </c>
      <c r="I566" s="1" t="s">
        <v>72</v>
      </c>
      <c r="K566" s="1" t="s">
        <v>170</v>
      </c>
    </row>
    <row r="567" spans="1:12" x14ac:dyDescent="0.3">
      <c r="A567" s="1" t="s">
        <v>1223</v>
      </c>
      <c r="B567" s="1" t="s">
        <v>1224</v>
      </c>
      <c r="C567" s="1" t="s">
        <v>43</v>
      </c>
      <c r="D567">
        <v>42</v>
      </c>
      <c r="E567" s="1" t="s">
        <v>186</v>
      </c>
      <c r="F567" s="1" t="s">
        <v>187</v>
      </c>
      <c r="G567" s="1" t="s">
        <v>99</v>
      </c>
      <c r="H567">
        <v>22</v>
      </c>
      <c r="I567" s="1" t="s">
        <v>65</v>
      </c>
      <c r="J567">
        <v>2.9</v>
      </c>
      <c r="K567" s="1" t="s">
        <v>19</v>
      </c>
      <c r="L567">
        <v>0.61</v>
      </c>
    </row>
    <row r="568" spans="1:12" x14ac:dyDescent="0.3">
      <c r="A568" s="1" t="s">
        <v>1225</v>
      </c>
      <c r="B568" s="1" t="s">
        <v>1226</v>
      </c>
      <c r="C568" s="1" t="s">
        <v>22</v>
      </c>
      <c r="D568">
        <v>22</v>
      </c>
      <c r="E568" s="1" t="s">
        <v>70</v>
      </c>
      <c r="F568" s="1" t="s">
        <v>71</v>
      </c>
      <c r="G568" s="1" t="s">
        <v>82</v>
      </c>
      <c r="H568">
        <v>3</v>
      </c>
      <c r="I568" s="1" t="s">
        <v>65</v>
      </c>
      <c r="J568">
        <v>3</v>
      </c>
      <c r="K568" s="1" t="s">
        <v>66</v>
      </c>
      <c r="L568">
        <v>0.96</v>
      </c>
    </row>
    <row r="569" spans="1:12" x14ac:dyDescent="0.3">
      <c r="A569" s="1" t="s">
        <v>1227</v>
      </c>
      <c r="B569" s="1" t="s">
        <v>1228</v>
      </c>
      <c r="C569" s="1" t="s">
        <v>102</v>
      </c>
      <c r="D569">
        <v>41</v>
      </c>
      <c r="E569" s="1" t="s">
        <v>138</v>
      </c>
      <c r="F569" s="1" t="s">
        <v>24</v>
      </c>
      <c r="G569" s="1" t="s">
        <v>87</v>
      </c>
      <c r="H569">
        <v>11</v>
      </c>
      <c r="I569" s="1" t="s">
        <v>34</v>
      </c>
      <c r="J569">
        <v>3.5</v>
      </c>
      <c r="K569" s="1" t="s">
        <v>27</v>
      </c>
      <c r="L569">
        <v>0.68</v>
      </c>
    </row>
    <row r="570" spans="1:12" x14ac:dyDescent="0.3">
      <c r="A570" s="1" t="s">
        <v>1229</v>
      </c>
      <c r="B570" s="1" t="s">
        <v>1230</v>
      </c>
      <c r="C570" s="1" t="s">
        <v>86</v>
      </c>
      <c r="D570">
        <v>25</v>
      </c>
      <c r="E570" s="1" t="s">
        <v>80</v>
      </c>
      <c r="F570" s="1" t="s">
        <v>81</v>
      </c>
      <c r="G570" s="1" t="s">
        <v>39</v>
      </c>
      <c r="H570">
        <v>5</v>
      </c>
      <c r="I570" s="1" t="s">
        <v>76</v>
      </c>
      <c r="K570" s="1" t="s">
        <v>66</v>
      </c>
      <c r="L570">
        <v>0.75</v>
      </c>
    </row>
    <row r="571" spans="1:12" x14ac:dyDescent="0.3">
      <c r="A571" s="1" t="s">
        <v>1231</v>
      </c>
      <c r="B571" s="1" t="s">
        <v>1232</v>
      </c>
      <c r="C571" s="1" t="s">
        <v>14</v>
      </c>
      <c r="D571">
        <v>38</v>
      </c>
      <c r="E571" s="1" t="s">
        <v>138</v>
      </c>
      <c r="F571" s="1" t="s">
        <v>24</v>
      </c>
      <c r="G571" s="1" t="s">
        <v>82</v>
      </c>
      <c r="H571">
        <v>3</v>
      </c>
      <c r="I571" s="1" t="s">
        <v>76</v>
      </c>
      <c r="J571">
        <v>4.7</v>
      </c>
      <c r="K571" s="1" t="s">
        <v>19</v>
      </c>
      <c r="L571">
        <v>0.69</v>
      </c>
    </row>
    <row r="572" spans="1:12" x14ac:dyDescent="0.3">
      <c r="A572" s="1" t="s">
        <v>1233</v>
      </c>
      <c r="B572" s="1" t="s">
        <v>1234</v>
      </c>
      <c r="C572" s="1" t="s">
        <v>43</v>
      </c>
      <c r="D572">
        <v>43</v>
      </c>
      <c r="E572" s="1" t="s">
        <v>64</v>
      </c>
      <c r="F572" s="1" t="s">
        <v>24</v>
      </c>
      <c r="G572" s="1" t="s">
        <v>99</v>
      </c>
      <c r="H572">
        <v>1</v>
      </c>
      <c r="I572" s="1" t="s">
        <v>65</v>
      </c>
      <c r="J572">
        <v>2.9</v>
      </c>
      <c r="K572" s="1" t="s">
        <v>170</v>
      </c>
      <c r="L572">
        <v>0.78</v>
      </c>
    </row>
    <row r="573" spans="1:12" x14ac:dyDescent="0.3">
      <c r="A573" s="1" t="s">
        <v>1235</v>
      </c>
      <c r="B573" s="1" t="s">
        <v>1236</v>
      </c>
      <c r="C573" s="1" t="s">
        <v>38</v>
      </c>
      <c r="D573">
        <v>54</v>
      </c>
      <c r="E573" s="1" t="s">
        <v>190</v>
      </c>
      <c r="F573" s="1" t="s">
        <v>81</v>
      </c>
      <c r="G573" s="1" t="s">
        <v>49</v>
      </c>
      <c r="H573">
        <v>1</v>
      </c>
      <c r="I573" s="1" t="s">
        <v>92</v>
      </c>
      <c r="J573">
        <v>4.4000000000000004</v>
      </c>
      <c r="K573" s="1" t="s">
        <v>83</v>
      </c>
    </row>
    <row r="574" spans="1:12" x14ac:dyDescent="0.3">
      <c r="A574" s="1" t="s">
        <v>1237</v>
      </c>
      <c r="B574" s="1" t="s">
        <v>1238</v>
      </c>
      <c r="C574" s="1" t="s">
        <v>38</v>
      </c>
      <c r="D574">
        <v>31</v>
      </c>
      <c r="E574" s="1" t="s">
        <v>55</v>
      </c>
      <c r="F574" s="1" t="s">
        <v>56</v>
      </c>
      <c r="G574" s="1" t="s">
        <v>25</v>
      </c>
      <c r="H574">
        <v>2</v>
      </c>
      <c r="I574" s="1" t="s">
        <v>76</v>
      </c>
      <c r="J574">
        <v>2.2999999999999998</v>
      </c>
      <c r="K574" s="1" t="s">
        <v>35</v>
      </c>
      <c r="L574">
        <v>0.98</v>
      </c>
    </row>
    <row r="575" spans="1:12" x14ac:dyDescent="0.3">
      <c r="A575" s="1" t="s">
        <v>1239</v>
      </c>
      <c r="B575" s="1" t="s">
        <v>1240</v>
      </c>
      <c r="C575" s="1" t="s">
        <v>14</v>
      </c>
      <c r="D575">
        <v>56</v>
      </c>
      <c r="E575" s="1" t="s">
        <v>190</v>
      </c>
      <c r="F575" s="1" t="s">
        <v>81</v>
      </c>
      <c r="G575" s="1" t="s">
        <v>49</v>
      </c>
      <c r="H575">
        <v>3</v>
      </c>
      <c r="I575" s="1" t="s">
        <v>50</v>
      </c>
      <c r="J575">
        <v>3.7</v>
      </c>
      <c r="K575" s="1" t="s">
        <v>65</v>
      </c>
      <c r="L575">
        <v>0.83</v>
      </c>
    </row>
    <row r="576" spans="1:12" x14ac:dyDescent="0.3">
      <c r="A576" s="1" t="s">
        <v>1241</v>
      </c>
      <c r="B576" s="1" t="s">
        <v>1242</v>
      </c>
      <c r="C576" s="1" t="s">
        <v>69</v>
      </c>
      <c r="D576">
        <v>46</v>
      </c>
      <c r="E576" s="1" t="s">
        <v>190</v>
      </c>
      <c r="F576" s="1" t="s">
        <v>81</v>
      </c>
      <c r="G576" s="1" t="s">
        <v>33</v>
      </c>
      <c r="H576">
        <v>11</v>
      </c>
      <c r="I576" s="1" t="s">
        <v>65</v>
      </c>
      <c r="J576">
        <v>1.8</v>
      </c>
      <c r="K576" s="1" t="s">
        <v>27</v>
      </c>
      <c r="L576">
        <v>0.91</v>
      </c>
    </row>
    <row r="577" spans="1:12" x14ac:dyDescent="0.3">
      <c r="A577" s="1" t="s">
        <v>1243</v>
      </c>
      <c r="B577" s="1" t="s">
        <v>1244</v>
      </c>
      <c r="C577" s="1" t="s">
        <v>107</v>
      </c>
      <c r="D577">
        <v>60</v>
      </c>
      <c r="E577" s="1" t="s">
        <v>149</v>
      </c>
      <c r="F577" s="1" t="s">
        <v>150</v>
      </c>
      <c r="G577" s="1" t="s">
        <v>49</v>
      </c>
      <c r="I577" s="1" t="s">
        <v>18</v>
      </c>
      <c r="J577">
        <v>0</v>
      </c>
      <c r="K577" s="1" t="s">
        <v>27</v>
      </c>
      <c r="L577">
        <v>0.96</v>
      </c>
    </row>
    <row r="578" spans="1:12" x14ac:dyDescent="0.3">
      <c r="A578" s="1" t="s">
        <v>1245</v>
      </c>
      <c r="B578" s="1" t="s">
        <v>1246</v>
      </c>
      <c r="C578" s="1" t="s">
        <v>38</v>
      </c>
      <c r="D578">
        <v>28</v>
      </c>
      <c r="E578" s="1" t="s">
        <v>122</v>
      </c>
      <c r="F578" s="1" t="s">
        <v>123</v>
      </c>
      <c r="G578" s="1" t="s">
        <v>33</v>
      </c>
      <c r="H578">
        <v>2</v>
      </c>
      <c r="I578" s="1" t="s">
        <v>108</v>
      </c>
      <c r="K578" s="1" t="s">
        <v>27</v>
      </c>
      <c r="L578">
        <v>0.85</v>
      </c>
    </row>
    <row r="579" spans="1:12" x14ac:dyDescent="0.3">
      <c r="A579" s="1" t="s">
        <v>1247</v>
      </c>
      <c r="B579" s="1" t="s">
        <v>1248</v>
      </c>
      <c r="C579" s="1" t="s">
        <v>38</v>
      </c>
      <c r="D579">
        <v>43</v>
      </c>
      <c r="E579" s="1" t="s">
        <v>55</v>
      </c>
      <c r="F579" s="1" t="s">
        <v>56</v>
      </c>
      <c r="G579" s="1" t="s">
        <v>39</v>
      </c>
      <c r="H579">
        <v>20</v>
      </c>
      <c r="I579" s="1" t="s">
        <v>119</v>
      </c>
      <c r="J579">
        <v>2.7</v>
      </c>
      <c r="K579" s="1" t="s">
        <v>51</v>
      </c>
      <c r="L579">
        <v>0.72</v>
      </c>
    </row>
    <row r="580" spans="1:12" x14ac:dyDescent="0.3">
      <c r="A580" s="1" t="s">
        <v>1249</v>
      </c>
      <c r="B580" s="1" t="s">
        <v>1250</v>
      </c>
      <c r="C580" s="1" t="s">
        <v>69</v>
      </c>
      <c r="D580">
        <v>41</v>
      </c>
      <c r="E580" s="1" t="s">
        <v>145</v>
      </c>
      <c r="F580" s="1" t="s">
        <v>146</v>
      </c>
      <c r="G580" s="1" t="s">
        <v>39</v>
      </c>
      <c r="H580">
        <v>11</v>
      </c>
      <c r="I580" s="1" t="s">
        <v>131</v>
      </c>
      <c r="J580">
        <v>4.7</v>
      </c>
      <c r="K580" s="1" t="s">
        <v>65</v>
      </c>
      <c r="L580">
        <v>0.69</v>
      </c>
    </row>
    <row r="581" spans="1:12" x14ac:dyDescent="0.3">
      <c r="A581" s="1" t="s">
        <v>1251</v>
      </c>
      <c r="B581" s="1" t="s">
        <v>1252</v>
      </c>
      <c r="C581" s="1" t="s">
        <v>30</v>
      </c>
      <c r="D581">
        <v>41</v>
      </c>
      <c r="E581" s="1" t="s">
        <v>75</v>
      </c>
      <c r="F581" s="1" t="s">
        <v>24</v>
      </c>
      <c r="G581" s="1" t="s">
        <v>99</v>
      </c>
      <c r="H581">
        <v>0</v>
      </c>
      <c r="I581" s="1" t="s">
        <v>131</v>
      </c>
      <c r="J581">
        <v>3.1</v>
      </c>
      <c r="K581" s="1" t="s">
        <v>19</v>
      </c>
      <c r="L581">
        <v>90</v>
      </c>
    </row>
    <row r="582" spans="1:12" x14ac:dyDescent="0.3">
      <c r="A582" s="1" t="s">
        <v>1253</v>
      </c>
      <c r="B582" s="1" t="s">
        <v>1254</v>
      </c>
      <c r="C582" s="1" t="s">
        <v>38</v>
      </c>
      <c r="D582">
        <v>40</v>
      </c>
      <c r="E582" s="1" t="s">
        <v>75</v>
      </c>
      <c r="F582" s="1" t="s">
        <v>24</v>
      </c>
      <c r="G582" s="1" t="s">
        <v>25</v>
      </c>
      <c r="H582">
        <v>20</v>
      </c>
      <c r="I582" s="1" t="s">
        <v>151</v>
      </c>
      <c r="J582">
        <v>2.2999999999999998</v>
      </c>
      <c r="K582" s="1" t="s">
        <v>19</v>
      </c>
      <c r="L582">
        <v>0.92</v>
      </c>
    </row>
    <row r="583" spans="1:12" x14ac:dyDescent="0.3">
      <c r="A583" s="1" t="s">
        <v>1255</v>
      </c>
      <c r="B583" s="1" t="s">
        <v>1256</v>
      </c>
      <c r="C583" s="1" t="s">
        <v>107</v>
      </c>
      <c r="D583">
        <v>45</v>
      </c>
      <c r="E583" s="1" t="s">
        <v>31</v>
      </c>
      <c r="F583" s="1" t="s">
        <v>32</v>
      </c>
      <c r="G583" s="1" t="s">
        <v>99</v>
      </c>
      <c r="H583">
        <v>3</v>
      </c>
      <c r="I583" s="1" t="s">
        <v>325</v>
      </c>
      <c r="J583">
        <v>1.3</v>
      </c>
      <c r="K583" s="1" t="s">
        <v>83</v>
      </c>
      <c r="L583">
        <v>0.91</v>
      </c>
    </row>
    <row r="584" spans="1:12" x14ac:dyDescent="0.3">
      <c r="A584" s="1" t="s">
        <v>1257</v>
      </c>
      <c r="B584" s="1" t="s">
        <v>1258</v>
      </c>
      <c r="C584" s="1" t="s">
        <v>69</v>
      </c>
      <c r="D584">
        <v>47</v>
      </c>
      <c r="E584" s="1" t="s">
        <v>149</v>
      </c>
      <c r="F584" s="1" t="s">
        <v>150</v>
      </c>
      <c r="G584" s="1" t="s">
        <v>99</v>
      </c>
      <c r="H584">
        <v>28</v>
      </c>
      <c r="I584" s="1" t="s">
        <v>108</v>
      </c>
      <c r="J584">
        <v>2.9</v>
      </c>
      <c r="K584" s="1" t="s">
        <v>66</v>
      </c>
    </row>
    <row r="585" spans="1:12" x14ac:dyDescent="0.3">
      <c r="A585" s="1" t="s">
        <v>1259</v>
      </c>
      <c r="B585" s="1" t="s">
        <v>1260</v>
      </c>
      <c r="C585" s="1" t="s">
        <v>54</v>
      </c>
      <c r="D585">
        <v>34</v>
      </c>
      <c r="E585" s="1" t="s">
        <v>103</v>
      </c>
      <c r="F585" s="1" t="s">
        <v>104</v>
      </c>
      <c r="G585" s="1" t="s">
        <v>57</v>
      </c>
      <c r="H585">
        <v>0</v>
      </c>
      <c r="I585" s="1" t="s">
        <v>76</v>
      </c>
      <c r="J585">
        <v>3.3</v>
      </c>
      <c r="K585" s="1" t="s">
        <v>19</v>
      </c>
      <c r="L585">
        <v>0.98</v>
      </c>
    </row>
    <row r="586" spans="1:12" x14ac:dyDescent="0.3">
      <c r="A586" s="1" t="s">
        <v>1261</v>
      </c>
      <c r="B586" s="1" t="s">
        <v>1262</v>
      </c>
      <c r="C586" s="1" t="s">
        <v>102</v>
      </c>
      <c r="D586">
        <v>47</v>
      </c>
      <c r="E586" s="1" t="s">
        <v>64</v>
      </c>
      <c r="F586" s="1" t="s">
        <v>24</v>
      </c>
      <c r="G586" s="1" t="s">
        <v>82</v>
      </c>
      <c r="H586">
        <v>4</v>
      </c>
      <c r="I586" s="1" t="s">
        <v>325</v>
      </c>
      <c r="J586">
        <v>4.2</v>
      </c>
      <c r="K586" s="1" t="s">
        <v>65</v>
      </c>
      <c r="L586">
        <v>0.82</v>
      </c>
    </row>
    <row r="587" spans="1:12" x14ac:dyDescent="0.3">
      <c r="A587" s="1" t="s">
        <v>1263</v>
      </c>
      <c r="B587" s="1" t="s">
        <v>1264</v>
      </c>
      <c r="C587" s="1" t="s">
        <v>102</v>
      </c>
      <c r="D587">
        <v>32</v>
      </c>
      <c r="E587" s="1" t="s">
        <v>190</v>
      </c>
      <c r="F587" s="1" t="s">
        <v>81</v>
      </c>
      <c r="G587" s="1" t="s">
        <v>82</v>
      </c>
      <c r="H587">
        <v>9</v>
      </c>
      <c r="I587" s="1" t="s">
        <v>61</v>
      </c>
      <c r="J587">
        <v>1.3</v>
      </c>
      <c r="K587" s="1" t="s">
        <v>66</v>
      </c>
      <c r="L587">
        <v>0.83</v>
      </c>
    </row>
    <row r="588" spans="1:12" x14ac:dyDescent="0.3">
      <c r="A588" s="1" t="s">
        <v>1265</v>
      </c>
      <c r="B588" s="1" t="s">
        <v>1266</v>
      </c>
      <c r="C588" s="1" t="s">
        <v>102</v>
      </c>
      <c r="D588">
        <v>28</v>
      </c>
      <c r="E588" s="1" t="s">
        <v>75</v>
      </c>
      <c r="F588" s="1" t="s">
        <v>24</v>
      </c>
      <c r="G588" s="1" t="s">
        <v>25</v>
      </c>
      <c r="H588">
        <v>2</v>
      </c>
      <c r="I588" s="1" t="s">
        <v>240</v>
      </c>
      <c r="J588">
        <v>4.4000000000000004</v>
      </c>
      <c r="K588" s="1" t="s">
        <v>66</v>
      </c>
    </row>
    <row r="589" spans="1:12" x14ac:dyDescent="0.3">
      <c r="A589" s="1" t="s">
        <v>1267</v>
      </c>
      <c r="B589" s="1" t="s">
        <v>1268</v>
      </c>
      <c r="C589" s="1" t="s">
        <v>54</v>
      </c>
      <c r="D589">
        <v>32</v>
      </c>
      <c r="E589" s="1" t="s">
        <v>23</v>
      </c>
      <c r="F589" s="1" t="s">
        <v>24</v>
      </c>
      <c r="G589" s="1" t="s">
        <v>99</v>
      </c>
      <c r="H589">
        <v>1</v>
      </c>
      <c r="I589" s="1" t="s">
        <v>18</v>
      </c>
      <c r="J589">
        <v>3.4</v>
      </c>
      <c r="K589" s="1" t="s">
        <v>66</v>
      </c>
    </row>
    <row r="590" spans="1:12" x14ac:dyDescent="0.3">
      <c r="A590" s="1" t="s">
        <v>1269</v>
      </c>
      <c r="B590" s="1" t="s">
        <v>1270</v>
      </c>
      <c r="C590" s="1" t="s">
        <v>38</v>
      </c>
      <c r="D590">
        <v>49</v>
      </c>
      <c r="E590" s="1" t="s">
        <v>47</v>
      </c>
      <c r="F590" s="1" t="s">
        <v>48</v>
      </c>
      <c r="G590" s="1" t="s">
        <v>49</v>
      </c>
      <c r="H590">
        <v>2</v>
      </c>
      <c r="I590" s="1" t="s">
        <v>240</v>
      </c>
      <c r="J590">
        <v>3.4</v>
      </c>
      <c r="K590" s="1" t="s">
        <v>27</v>
      </c>
      <c r="L590">
        <v>0.85</v>
      </c>
    </row>
    <row r="591" spans="1:12" x14ac:dyDescent="0.3">
      <c r="A591" s="1" t="s">
        <v>1271</v>
      </c>
      <c r="B591" s="1" t="s">
        <v>1272</v>
      </c>
      <c r="C591" s="1" t="s">
        <v>14</v>
      </c>
      <c r="D591">
        <v>36</v>
      </c>
      <c r="E591" s="1" t="s">
        <v>80</v>
      </c>
      <c r="F591" s="1" t="s">
        <v>81</v>
      </c>
      <c r="G591" s="1" t="s">
        <v>25</v>
      </c>
      <c r="H591">
        <v>16</v>
      </c>
      <c r="I591" s="1" t="s">
        <v>325</v>
      </c>
      <c r="J591">
        <v>3.2</v>
      </c>
      <c r="K591" s="1" t="s">
        <v>65</v>
      </c>
    </row>
    <row r="592" spans="1:12" x14ac:dyDescent="0.3">
      <c r="A592" s="1" t="s">
        <v>1273</v>
      </c>
      <c r="B592" s="1" t="s">
        <v>1274</v>
      </c>
      <c r="C592" s="1" t="s">
        <v>102</v>
      </c>
      <c r="D592">
        <v>59</v>
      </c>
      <c r="E592" s="1" t="s">
        <v>190</v>
      </c>
      <c r="F592" s="1" t="s">
        <v>81</v>
      </c>
      <c r="G592" s="1" t="s">
        <v>17</v>
      </c>
      <c r="H592">
        <v>22</v>
      </c>
      <c r="I592" s="1" t="s">
        <v>325</v>
      </c>
      <c r="J592">
        <v>3.6</v>
      </c>
      <c r="K592" s="1" t="s">
        <v>35</v>
      </c>
      <c r="L592">
        <v>0.63</v>
      </c>
    </row>
    <row r="593" spans="1:12" x14ac:dyDescent="0.3">
      <c r="A593" s="1" t="s">
        <v>1275</v>
      </c>
      <c r="B593" s="1" t="s">
        <v>1276</v>
      </c>
      <c r="C593" s="1" t="s">
        <v>43</v>
      </c>
      <c r="D593">
        <v>52</v>
      </c>
      <c r="E593" s="1" t="s">
        <v>138</v>
      </c>
      <c r="F593" s="1" t="s">
        <v>24</v>
      </c>
      <c r="G593" s="1" t="s">
        <v>87</v>
      </c>
      <c r="H593">
        <v>22</v>
      </c>
      <c r="I593" s="1" t="s">
        <v>131</v>
      </c>
      <c r="J593">
        <v>0</v>
      </c>
      <c r="K593" s="1" t="s">
        <v>19</v>
      </c>
    </row>
    <row r="594" spans="1:12" x14ac:dyDescent="0.3">
      <c r="A594" s="1" t="s">
        <v>1277</v>
      </c>
      <c r="B594" s="1" t="s">
        <v>1278</v>
      </c>
      <c r="C594" s="1" t="s">
        <v>43</v>
      </c>
      <c r="D594">
        <v>24</v>
      </c>
      <c r="E594" s="1" t="s">
        <v>186</v>
      </c>
      <c r="F594" s="1" t="s">
        <v>187</v>
      </c>
      <c r="G594" s="1" t="s">
        <v>17</v>
      </c>
      <c r="H594">
        <v>5</v>
      </c>
      <c r="I594" s="1" t="s">
        <v>76</v>
      </c>
      <c r="J594">
        <v>1.8</v>
      </c>
      <c r="K594" s="1" t="s">
        <v>27</v>
      </c>
      <c r="L594">
        <v>0.86</v>
      </c>
    </row>
    <row r="595" spans="1:12" x14ac:dyDescent="0.3">
      <c r="A595" s="1" t="s">
        <v>1279</v>
      </c>
      <c r="B595" s="1" t="s">
        <v>1280</v>
      </c>
      <c r="C595" s="1" t="s">
        <v>22</v>
      </c>
      <c r="D595">
        <v>26</v>
      </c>
      <c r="E595" s="1" t="s">
        <v>23</v>
      </c>
      <c r="F595" s="1" t="s">
        <v>24</v>
      </c>
      <c r="G595" s="1" t="s">
        <v>33</v>
      </c>
      <c r="H595">
        <v>2</v>
      </c>
      <c r="I595" s="1" t="s">
        <v>58</v>
      </c>
      <c r="J595">
        <v>2.5</v>
      </c>
      <c r="K595" s="1" t="s">
        <v>77</v>
      </c>
      <c r="L595">
        <v>60</v>
      </c>
    </row>
    <row r="596" spans="1:12" x14ac:dyDescent="0.3">
      <c r="A596" s="1" t="s">
        <v>1281</v>
      </c>
      <c r="B596" s="1" t="s">
        <v>1282</v>
      </c>
      <c r="C596" s="1" t="s">
        <v>102</v>
      </c>
      <c r="D596">
        <v>55</v>
      </c>
      <c r="E596" s="1" t="s">
        <v>138</v>
      </c>
      <c r="F596" s="1" t="s">
        <v>24</v>
      </c>
      <c r="G596" s="1" t="s">
        <v>87</v>
      </c>
      <c r="H596">
        <v>24</v>
      </c>
      <c r="I596" s="1" t="s">
        <v>76</v>
      </c>
      <c r="J596">
        <v>2</v>
      </c>
      <c r="K596" s="1" t="s">
        <v>27</v>
      </c>
      <c r="L596">
        <v>88</v>
      </c>
    </row>
    <row r="597" spans="1:12" x14ac:dyDescent="0.3">
      <c r="A597" s="1" t="s">
        <v>1283</v>
      </c>
      <c r="B597" s="1" t="s">
        <v>1284</v>
      </c>
      <c r="C597" s="1" t="s">
        <v>22</v>
      </c>
      <c r="D597">
        <v>56</v>
      </c>
      <c r="E597" s="1" t="s">
        <v>15</v>
      </c>
      <c r="F597" s="1" t="s">
        <v>16</v>
      </c>
      <c r="G597" s="1" t="s">
        <v>25</v>
      </c>
      <c r="H597">
        <v>37</v>
      </c>
      <c r="I597" s="1" t="s">
        <v>76</v>
      </c>
      <c r="J597">
        <v>0</v>
      </c>
      <c r="K597" s="1" t="s">
        <v>35</v>
      </c>
      <c r="L597">
        <v>0.7</v>
      </c>
    </row>
    <row r="598" spans="1:12" x14ac:dyDescent="0.3">
      <c r="A598" s="1" t="s">
        <v>1285</v>
      </c>
      <c r="B598" s="1" t="s">
        <v>1286</v>
      </c>
      <c r="C598" s="1" t="s">
        <v>54</v>
      </c>
      <c r="D598">
        <v>36</v>
      </c>
      <c r="E598" s="1" t="s">
        <v>145</v>
      </c>
      <c r="F598" s="1" t="s">
        <v>146</v>
      </c>
      <c r="G598" s="1" t="s">
        <v>33</v>
      </c>
      <c r="H598">
        <v>3</v>
      </c>
      <c r="I598" s="1" t="s">
        <v>108</v>
      </c>
      <c r="J598">
        <v>1.3</v>
      </c>
      <c r="K598" s="1" t="s">
        <v>27</v>
      </c>
      <c r="L598">
        <v>0.77</v>
      </c>
    </row>
    <row r="599" spans="1:12" x14ac:dyDescent="0.3">
      <c r="A599" s="1" t="s">
        <v>1287</v>
      </c>
      <c r="B599" s="1" t="s">
        <v>1288</v>
      </c>
      <c r="C599" s="1" t="s">
        <v>102</v>
      </c>
      <c r="D599">
        <v>48</v>
      </c>
      <c r="E599" s="1" t="s">
        <v>80</v>
      </c>
      <c r="F599" s="1" t="s">
        <v>81</v>
      </c>
      <c r="G599" s="1" t="s">
        <v>39</v>
      </c>
      <c r="H599">
        <v>18</v>
      </c>
      <c r="I599" s="1" t="s">
        <v>92</v>
      </c>
      <c r="J599">
        <v>0</v>
      </c>
      <c r="K599" s="1" t="s">
        <v>19</v>
      </c>
      <c r="L599">
        <v>0.8</v>
      </c>
    </row>
    <row r="600" spans="1:12" x14ac:dyDescent="0.3">
      <c r="A600" s="1" t="s">
        <v>1289</v>
      </c>
      <c r="B600" s="1" t="s">
        <v>1290</v>
      </c>
      <c r="C600" s="1" t="s">
        <v>107</v>
      </c>
      <c r="D600">
        <v>55</v>
      </c>
      <c r="E600" s="1" t="s">
        <v>149</v>
      </c>
      <c r="F600" s="1" t="s">
        <v>150</v>
      </c>
      <c r="G600" s="1" t="s">
        <v>124</v>
      </c>
      <c r="H600">
        <v>6</v>
      </c>
      <c r="I600" s="1" t="s">
        <v>40</v>
      </c>
      <c r="J600">
        <v>3.6</v>
      </c>
      <c r="K600" s="1" t="s">
        <v>83</v>
      </c>
    </row>
    <row r="601" spans="1:12" x14ac:dyDescent="0.3">
      <c r="A601" s="1" t="s">
        <v>1291</v>
      </c>
      <c r="B601" s="1" t="s">
        <v>1292</v>
      </c>
      <c r="C601" s="1" t="s">
        <v>43</v>
      </c>
      <c r="D601">
        <v>56</v>
      </c>
      <c r="E601" s="1" t="s">
        <v>201</v>
      </c>
      <c r="F601" s="1" t="s">
        <v>81</v>
      </c>
      <c r="G601" s="1" t="s">
        <v>99</v>
      </c>
      <c r="H601">
        <v>17</v>
      </c>
      <c r="I601" s="1" t="s">
        <v>65</v>
      </c>
      <c r="J601">
        <v>1.3</v>
      </c>
      <c r="K601" s="1" t="s">
        <v>65</v>
      </c>
      <c r="L601">
        <v>0.87</v>
      </c>
    </row>
    <row r="602" spans="1:12" x14ac:dyDescent="0.3">
      <c r="A602" s="1" t="s">
        <v>1293</v>
      </c>
      <c r="B602" s="1" t="s">
        <v>1294</v>
      </c>
      <c r="C602" s="1" t="s">
        <v>86</v>
      </c>
      <c r="D602">
        <v>28</v>
      </c>
      <c r="E602" s="1" t="s">
        <v>138</v>
      </c>
      <c r="F602" s="1" t="s">
        <v>24</v>
      </c>
      <c r="G602" s="1" t="s">
        <v>17</v>
      </c>
      <c r="H602">
        <v>1</v>
      </c>
      <c r="I602" s="1" t="s">
        <v>92</v>
      </c>
      <c r="J602">
        <v>2.7</v>
      </c>
      <c r="K602" s="1" t="s">
        <v>66</v>
      </c>
      <c r="L602">
        <v>0.93</v>
      </c>
    </row>
    <row r="603" spans="1:12" x14ac:dyDescent="0.3">
      <c r="A603" s="1" t="s">
        <v>1295</v>
      </c>
      <c r="B603" s="1" t="s">
        <v>1296</v>
      </c>
      <c r="C603" s="1" t="s">
        <v>30</v>
      </c>
      <c r="D603">
        <v>60</v>
      </c>
      <c r="E603" s="1" t="s">
        <v>64</v>
      </c>
      <c r="F603" s="1" t="s">
        <v>24</v>
      </c>
      <c r="G603" s="1" t="s">
        <v>49</v>
      </c>
      <c r="H603">
        <v>39</v>
      </c>
      <c r="I603" s="1" t="s">
        <v>26</v>
      </c>
      <c r="J603">
        <v>1.5</v>
      </c>
      <c r="K603" s="1" t="s">
        <v>65</v>
      </c>
      <c r="L603">
        <v>88</v>
      </c>
    </row>
    <row r="604" spans="1:12" x14ac:dyDescent="0.3">
      <c r="A604" s="1" t="s">
        <v>1297</v>
      </c>
      <c r="B604" s="1" t="s">
        <v>1298</v>
      </c>
      <c r="C604" s="1" t="s">
        <v>30</v>
      </c>
      <c r="D604">
        <v>34</v>
      </c>
      <c r="E604" s="1" t="s">
        <v>122</v>
      </c>
      <c r="F604" s="1" t="s">
        <v>123</v>
      </c>
      <c r="G604" s="1" t="s">
        <v>17</v>
      </c>
      <c r="H604">
        <v>15</v>
      </c>
      <c r="I604" s="1" t="s">
        <v>151</v>
      </c>
      <c r="J604">
        <v>0</v>
      </c>
      <c r="K604" s="1" t="s">
        <v>19</v>
      </c>
      <c r="L604">
        <v>1</v>
      </c>
    </row>
    <row r="605" spans="1:12" x14ac:dyDescent="0.3">
      <c r="A605" s="1" t="s">
        <v>1299</v>
      </c>
      <c r="B605" s="1" t="s">
        <v>1300</v>
      </c>
      <c r="C605" s="1" t="s">
        <v>43</v>
      </c>
      <c r="D605">
        <v>38</v>
      </c>
      <c r="E605" s="1" t="s">
        <v>55</v>
      </c>
      <c r="F605" s="1" t="s">
        <v>56</v>
      </c>
      <c r="G605" s="1" t="s">
        <v>49</v>
      </c>
      <c r="H605">
        <v>13</v>
      </c>
      <c r="I605" s="1" t="s">
        <v>40</v>
      </c>
      <c r="J605">
        <v>0</v>
      </c>
      <c r="K605" s="1" t="s">
        <v>27</v>
      </c>
      <c r="L605">
        <v>61</v>
      </c>
    </row>
    <row r="606" spans="1:12" x14ac:dyDescent="0.3">
      <c r="A606" s="1" t="s">
        <v>1301</v>
      </c>
      <c r="B606" s="1" t="s">
        <v>1302</v>
      </c>
      <c r="C606" s="1" t="s">
        <v>22</v>
      </c>
      <c r="D606">
        <v>51</v>
      </c>
      <c r="E606" s="1" t="s">
        <v>122</v>
      </c>
      <c r="F606" s="1" t="s">
        <v>123</v>
      </c>
      <c r="G606" s="1" t="s">
        <v>39</v>
      </c>
      <c r="H606">
        <v>17</v>
      </c>
      <c r="I606" s="1" t="s">
        <v>18</v>
      </c>
      <c r="J606">
        <v>3</v>
      </c>
      <c r="K606" s="1" t="s">
        <v>51</v>
      </c>
      <c r="L606">
        <v>0.79</v>
      </c>
    </row>
    <row r="607" spans="1:12" x14ac:dyDescent="0.3">
      <c r="A607" s="1" t="s">
        <v>1303</v>
      </c>
      <c r="B607" s="1" t="s">
        <v>1304</v>
      </c>
      <c r="C607" s="1" t="s">
        <v>14</v>
      </c>
      <c r="D607">
        <v>21</v>
      </c>
      <c r="E607" s="1" t="s">
        <v>95</v>
      </c>
      <c r="F607" s="1" t="s">
        <v>96</v>
      </c>
      <c r="G607" s="1" t="s">
        <v>25</v>
      </c>
      <c r="H607">
        <v>1</v>
      </c>
      <c r="I607" s="1" t="s">
        <v>44</v>
      </c>
      <c r="J607">
        <v>1.2</v>
      </c>
      <c r="K607" s="1" t="s">
        <v>65</v>
      </c>
      <c r="L607">
        <v>0.73</v>
      </c>
    </row>
    <row r="608" spans="1:12" x14ac:dyDescent="0.3">
      <c r="A608" s="1" t="s">
        <v>1305</v>
      </c>
      <c r="B608" s="1" t="s">
        <v>1306</v>
      </c>
      <c r="C608" s="1" t="s">
        <v>102</v>
      </c>
      <c r="D608">
        <v>35</v>
      </c>
      <c r="E608" s="1" t="s">
        <v>15</v>
      </c>
      <c r="F608" s="1" t="s">
        <v>16</v>
      </c>
      <c r="G608" s="1" t="s">
        <v>82</v>
      </c>
      <c r="H608">
        <v>16</v>
      </c>
      <c r="I608" s="1" t="s">
        <v>65</v>
      </c>
      <c r="J608">
        <v>1.3</v>
      </c>
      <c r="K608" s="1" t="s">
        <v>27</v>
      </c>
      <c r="L608">
        <v>0.64</v>
      </c>
    </row>
    <row r="609" spans="1:12" x14ac:dyDescent="0.3">
      <c r="A609" s="1" t="s">
        <v>1307</v>
      </c>
      <c r="B609" s="1" t="s">
        <v>1308</v>
      </c>
      <c r="C609" s="1" t="s">
        <v>102</v>
      </c>
      <c r="D609">
        <v>27</v>
      </c>
      <c r="E609" s="1" t="s">
        <v>117</v>
      </c>
      <c r="F609" s="1" t="s">
        <v>118</v>
      </c>
      <c r="G609" s="1" t="s">
        <v>39</v>
      </c>
      <c r="H609">
        <v>9</v>
      </c>
      <c r="I609" s="1" t="s">
        <v>240</v>
      </c>
      <c r="K609" s="1" t="s">
        <v>66</v>
      </c>
    </row>
    <row r="610" spans="1:12" x14ac:dyDescent="0.3">
      <c r="A610" s="1" t="s">
        <v>1309</v>
      </c>
      <c r="B610" s="1" t="s">
        <v>1310</v>
      </c>
      <c r="C610" s="1" t="s">
        <v>22</v>
      </c>
      <c r="D610">
        <v>42</v>
      </c>
      <c r="E610" s="1" t="s">
        <v>70</v>
      </c>
      <c r="F610" s="1" t="s">
        <v>71</v>
      </c>
      <c r="G610" s="1" t="s">
        <v>25</v>
      </c>
      <c r="H610">
        <v>20</v>
      </c>
      <c r="I610" s="1" t="s">
        <v>108</v>
      </c>
      <c r="J610">
        <v>3.8</v>
      </c>
      <c r="K610" s="1" t="s">
        <v>35</v>
      </c>
      <c r="L610">
        <v>0.93</v>
      </c>
    </row>
    <row r="611" spans="1:12" x14ac:dyDescent="0.3">
      <c r="A611" s="1" t="s">
        <v>1311</v>
      </c>
      <c r="B611" s="1" t="s">
        <v>1312</v>
      </c>
      <c r="C611" s="1" t="s">
        <v>38</v>
      </c>
      <c r="D611">
        <v>52</v>
      </c>
      <c r="E611" s="1" t="s">
        <v>138</v>
      </c>
      <c r="F611" s="1" t="s">
        <v>24</v>
      </c>
      <c r="G611" s="1" t="s">
        <v>17</v>
      </c>
      <c r="H611">
        <v>29</v>
      </c>
      <c r="I611" s="1" t="s">
        <v>44</v>
      </c>
      <c r="J611">
        <v>3.8</v>
      </c>
      <c r="K611" s="1" t="s">
        <v>19</v>
      </c>
      <c r="L611">
        <v>0.68</v>
      </c>
    </row>
    <row r="612" spans="1:12" x14ac:dyDescent="0.3">
      <c r="A612" s="1" t="s">
        <v>1313</v>
      </c>
      <c r="B612" s="1" t="s">
        <v>1314</v>
      </c>
      <c r="C612" s="1" t="s">
        <v>30</v>
      </c>
      <c r="D612">
        <v>53</v>
      </c>
      <c r="E612" s="1" t="s">
        <v>122</v>
      </c>
      <c r="F612" s="1" t="s">
        <v>123</v>
      </c>
      <c r="G612" s="1" t="s">
        <v>39</v>
      </c>
      <c r="H612">
        <v>21</v>
      </c>
      <c r="I612" s="1" t="s">
        <v>76</v>
      </c>
      <c r="J612">
        <v>4.7</v>
      </c>
      <c r="K612" s="1" t="s">
        <v>27</v>
      </c>
      <c r="L612">
        <v>0.62</v>
      </c>
    </row>
    <row r="613" spans="1:12" x14ac:dyDescent="0.3">
      <c r="A613" s="1" t="s">
        <v>1315</v>
      </c>
      <c r="B613" s="1" t="s">
        <v>1316</v>
      </c>
      <c r="C613" s="1" t="s">
        <v>22</v>
      </c>
      <c r="D613">
        <v>54</v>
      </c>
      <c r="E613" s="1" t="s">
        <v>15</v>
      </c>
      <c r="F613" s="1" t="s">
        <v>16</v>
      </c>
      <c r="G613" s="1" t="s">
        <v>25</v>
      </c>
      <c r="H613">
        <v>28</v>
      </c>
      <c r="I613" s="1" t="s">
        <v>61</v>
      </c>
      <c r="J613">
        <v>1.1000000000000001</v>
      </c>
      <c r="K613" s="1" t="s">
        <v>170</v>
      </c>
    </row>
    <row r="614" spans="1:12" x14ac:dyDescent="0.3">
      <c r="A614" s="1" t="s">
        <v>1317</v>
      </c>
      <c r="B614" s="1" t="s">
        <v>1318</v>
      </c>
      <c r="C614" s="1" t="s">
        <v>69</v>
      </c>
      <c r="D614">
        <v>51</v>
      </c>
      <c r="E614" s="1" t="s">
        <v>95</v>
      </c>
      <c r="F614" s="1" t="s">
        <v>96</v>
      </c>
      <c r="G614" s="1" t="s">
        <v>33</v>
      </c>
      <c r="H614">
        <v>5</v>
      </c>
      <c r="I614" s="1" t="s">
        <v>34</v>
      </c>
      <c r="J614">
        <v>4.2</v>
      </c>
      <c r="K614" s="1" t="s">
        <v>27</v>
      </c>
      <c r="L614">
        <v>0.82</v>
      </c>
    </row>
    <row r="615" spans="1:12" x14ac:dyDescent="0.3">
      <c r="A615" s="1" t="s">
        <v>1319</v>
      </c>
      <c r="B615" s="1" t="s">
        <v>1320</v>
      </c>
      <c r="C615" s="1" t="s">
        <v>14</v>
      </c>
      <c r="D615">
        <v>30</v>
      </c>
      <c r="E615" s="1" t="s">
        <v>122</v>
      </c>
      <c r="F615" s="1" t="s">
        <v>123</v>
      </c>
      <c r="G615" s="1" t="s">
        <v>39</v>
      </c>
      <c r="H615">
        <v>0</v>
      </c>
      <c r="I615" s="1" t="s">
        <v>65</v>
      </c>
      <c r="J615">
        <v>0</v>
      </c>
      <c r="K615" s="1" t="s">
        <v>19</v>
      </c>
    </row>
    <row r="616" spans="1:12" x14ac:dyDescent="0.3">
      <c r="A616" s="1" t="s">
        <v>1321</v>
      </c>
      <c r="B616" s="1" t="s">
        <v>1322</v>
      </c>
      <c r="C616" s="1" t="s">
        <v>86</v>
      </c>
      <c r="D616">
        <v>45</v>
      </c>
      <c r="E616" s="1" t="s">
        <v>47</v>
      </c>
      <c r="F616" s="1" t="s">
        <v>48</v>
      </c>
      <c r="G616" s="1" t="s">
        <v>124</v>
      </c>
      <c r="H616">
        <v>27</v>
      </c>
      <c r="I616" s="1" t="s">
        <v>58</v>
      </c>
      <c r="J616">
        <v>0</v>
      </c>
      <c r="K616" s="1" t="s">
        <v>65</v>
      </c>
      <c r="L616">
        <v>0.85</v>
      </c>
    </row>
    <row r="617" spans="1:12" x14ac:dyDescent="0.3">
      <c r="A617" s="1" t="s">
        <v>1323</v>
      </c>
      <c r="B617" s="1" t="s">
        <v>1324</v>
      </c>
      <c r="C617" s="1" t="s">
        <v>30</v>
      </c>
      <c r="D617">
        <v>57</v>
      </c>
      <c r="E617" s="1" t="s">
        <v>55</v>
      </c>
      <c r="F617" s="1" t="s">
        <v>56</v>
      </c>
      <c r="G617" s="1" t="s">
        <v>33</v>
      </c>
      <c r="H617">
        <v>26</v>
      </c>
      <c r="I617" s="1" t="s">
        <v>26</v>
      </c>
      <c r="J617">
        <v>2.4</v>
      </c>
      <c r="K617" s="1" t="s">
        <v>27</v>
      </c>
      <c r="L617">
        <v>0.78</v>
      </c>
    </row>
    <row r="618" spans="1:12" x14ac:dyDescent="0.3">
      <c r="A618" s="1" t="s">
        <v>1325</v>
      </c>
      <c r="B618" s="1" t="s">
        <v>1326</v>
      </c>
      <c r="C618" s="1" t="s">
        <v>107</v>
      </c>
      <c r="D618">
        <v>38</v>
      </c>
      <c r="E618" s="1" t="s">
        <v>70</v>
      </c>
      <c r="F618" s="1" t="s">
        <v>71</v>
      </c>
      <c r="G618" s="1" t="s">
        <v>17</v>
      </c>
      <c r="H618">
        <v>19</v>
      </c>
      <c r="I618" s="1" t="s">
        <v>76</v>
      </c>
      <c r="J618">
        <v>0</v>
      </c>
      <c r="K618" s="1" t="s">
        <v>27</v>
      </c>
      <c r="L618">
        <v>0.86</v>
      </c>
    </row>
    <row r="619" spans="1:12" x14ac:dyDescent="0.3">
      <c r="A619" s="1" t="s">
        <v>1327</v>
      </c>
      <c r="B619" s="1" t="s">
        <v>1328</v>
      </c>
      <c r="C619" s="1" t="s">
        <v>22</v>
      </c>
      <c r="D619">
        <v>42</v>
      </c>
      <c r="E619" s="1" t="s">
        <v>134</v>
      </c>
      <c r="F619" s="1" t="s">
        <v>135</v>
      </c>
      <c r="G619" s="1" t="s">
        <v>99</v>
      </c>
      <c r="H619">
        <v>24</v>
      </c>
      <c r="I619" s="1" t="s">
        <v>61</v>
      </c>
      <c r="K619" s="1" t="s">
        <v>51</v>
      </c>
      <c r="L619">
        <v>0.88</v>
      </c>
    </row>
    <row r="620" spans="1:12" x14ac:dyDescent="0.3">
      <c r="A620" s="1" t="s">
        <v>1329</v>
      </c>
      <c r="B620" s="1" t="s">
        <v>1330</v>
      </c>
      <c r="C620" s="1" t="s">
        <v>86</v>
      </c>
      <c r="D620">
        <v>30</v>
      </c>
      <c r="E620" s="1" t="s">
        <v>164</v>
      </c>
      <c r="F620" s="1" t="s">
        <v>165</v>
      </c>
      <c r="G620" s="1" t="s">
        <v>99</v>
      </c>
      <c r="H620">
        <v>7</v>
      </c>
      <c r="I620" s="1" t="s">
        <v>44</v>
      </c>
      <c r="J620">
        <v>3.3</v>
      </c>
      <c r="K620" s="1" t="s">
        <v>65</v>
      </c>
      <c r="L620">
        <v>0.68</v>
      </c>
    </row>
    <row r="621" spans="1:12" x14ac:dyDescent="0.3">
      <c r="A621" s="1" t="s">
        <v>1331</v>
      </c>
      <c r="B621" s="1" t="s">
        <v>1332</v>
      </c>
      <c r="C621" s="1" t="s">
        <v>43</v>
      </c>
      <c r="D621">
        <v>43</v>
      </c>
      <c r="E621" s="1" t="s">
        <v>23</v>
      </c>
      <c r="F621" s="1" t="s">
        <v>24</v>
      </c>
      <c r="G621" s="1" t="s">
        <v>39</v>
      </c>
      <c r="H621">
        <v>13</v>
      </c>
      <c r="I621" s="1" t="s">
        <v>240</v>
      </c>
      <c r="J621">
        <v>1.4</v>
      </c>
      <c r="K621" s="1" t="s">
        <v>27</v>
      </c>
      <c r="L621">
        <v>0.97</v>
      </c>
    </row>
    <row r="622" spans="1:12" x14ac:dyDescent="0.3">
      <c r="A622" s="1" t="s">
        <v>1333</v>
      </c>
      <c r="B622" s="1" t="s">
        <v>1334</v>
      </c>
      <c r="C622" s="1" t="s">
        <v>107</v>
      </c>
      <c r="D622">
        <v>22</v>
      </c>
      <c r="E622" s="1" t="s">
        <v>149</v>
      </c>
      <c r="F622" s="1" t="s">
        <v>150</v>
      </c>
      <c r="G622" s="1" t="s">
        <v>82</v>
      </c>
      <c r="H622">
        <v>2</v>
      </c>
      <c r="I622" s="1" t="s">
        <v>181</v>
      </c>
      <c r="J622">
        <v>1.7</v>
      </c>
      <c r="K622" s="1" t="s">
        <v>170</v>
      </c>
      <c r="L622">
        <v>0.91</v>
      </c>
    </row>
    <row r="623" spans="1:12" x14ac:dyDescent="0.3">
      <c r="A623" s="1" t="s">
        <v>1335</v>
      </c>
      <c r="B623" s="1" t="s">
        <v>1336</v>
      </c>
      <c r="C623" s="1" t="s">
        <v>102</v>
      </c>
      <c r="D623">
        <v>57</v>
      </c>
      <c r="E623" s="1" t="s">
        <v>190</v>
      </c>
      <c r="F623" s="1" t="s">
        <v>81</v>
      </c>
      <c r="G623" s="1" t="s">
        <v>124</v>
      </c>
      <c r="H623">
        <v>37</v>
      </c>
      <c r="I623" s="1" t="s">
        <v>44</v>
      </c>
      <c r="J623">
        <v>4.8</v>
      </c>
      <c r="K623" s="1" t="s">
        <v>51</v>
      </c>
    </row>
    <row r="624" spans="1:12" x14ac:dyDescent="0.3">
      <c r="A624" s="1" t="s">
        <v>1337</v>
      </c>
      <c r="B624" s="1" t="s">
        <v>1338</v>
      </c>
      <c r="C624" s="1" t="s">
        <v>69</v>
      </c>
      <c r="D624">
        <v>44</v>
      </c>
      <c r="E624" s="1" t="s">
        <v>75</v>
      </c>
      <c r="F624" s="1" t="s">
        <v>24</v>
      </c>
      <c r="G624" s="1" t="s">
        <v>33</v>
      </c>
      <c r="H624">
        <v>1</v>
      </c>
      <c r="I624" s="1" t="s">
        <v>65</v>
      </c>
      <c r="J624">
        <v>4.8</v>
      </c>
      <c r="K624" s="1" t="s">
        <v>35</v>
      </c>
      <c r="L624">
        <v>0.97</v>
      </c>
    </row>
    <row r="625" spans="1:12" x14ac:dyDescent="0.3">
      <c r="A625" s="1" t="s">
        <v>1339</v>
      </c>
      <c r="B625" s="1" t="s">
        <v>1340</v>
      </c>
      <c r="C625" s="1" t="s">
        <v>43</v>
      </c>
      <c r="D625">
        <v>46</v>
      </c>
      <c r="E625" s="1" t="s">
        <v>186</v>
      </c>
      <c r="F625" s="1" t="s">
        <v>187</v>
      </c>
      <c r="G625" s="1" t="s">
        <v>99</v>
      </c>
      <c r="H625">
        <v>5</v>
      </c>
      <c r="I625" s="1" t="s">
        <v>119</v>
      </c>
      <c r="J625">
        <v>2</v>
      </c>
      <c r="K625" s="1" t="s">
        <v>77</v>
      </c>
      <c r="L625">
        <v>0.64</v>
      </c>
    </row>
    <row r="626" spans="1:12" x14ac:dyDescent="0.3">
      <c r="A626" s="1" t="s">
        <v>1341</v>
      </c>
      <c r="B626" s="1" t="s">
        <v>1342</v>
      </c>
      <c r="C626" s="1" t="s">
        <v>107</v>
      </c>
      <c r="E626" s="1" t="s">
        <v>201</v>
      </c>
      <c r="F626" s="1" t="s">
        <v>81</v>
      </c>
      <c r="G626" s="1" t="s">
        <v>17</v>
      </c>
      <c r="H626">
        <v>1</v>
      </c>
      <c r="I626" s="1" t="s">
        <v>108</v>
      </c>
      <c r="J626">
        <v>2.8</v>
      </c>
      <c r="K626" s="1" t="s">
        <v>170</v>
      </c>
      <c r="L626">
        <v>0.87</v>
      </c>
    </row>
    <row r="627" spans="1:12" x14ac:dyDescent="0.3">
      <c r="A627" s="1" t="s">
        <v>1343</v>
      </c>
      <c r="B627" s="1" t="s">
        <v>1344</v>
      </c>
      <c r="C627" s="1" t="s">
        <v>86</v>
      </c>
      <c r="D627">
        <v>34</v>
      </c>
      <c r="E627" s="1" t="s">
        <v>23</v>
      </c>
      <c r="F627" s="1" t="s">
        <v>24</v>
      </c>
      <c r="G627" s="1" t="s">
        <v>57</v>
      </c>
      <c r="H627">
        <v>2</v>
      </c>
      <c r="I627" s="1" t="s">
        <v>18</v>
      </c>
      <c r="J627">
        <v>0</v>
      </c>
      <c r="K627" s="1" t="s">
        <v>19</v>
      </c>
      <c r="L627">
        <v>86</v>
      </c>
    </row>
    <row r="628" spans="1:12" x14ac:dyDescent="0.3">
      <c r="A628" s="1" t="s">
        <v>1345</v>
      </c>
      <c r="B628" s="1" t="s">
        <v>1346</v>
      </c>
      <c r="C628" s="1" t="s">
        <v>38</v>
      </c>
      <c r="D628">
        <v>46</v>
      </c>
      <c r="E628" s="1" t="s">
        <v>15</v>
      </c>
      <c r="F628" s="1" t="s">
        <v>16</v>
      </c>
      <c r="G628" s="1" t="s">
        <v>25</v>
      </c>
      <c r="I628" s="1" t="s">
        <v>240</v>
      </c>
      <c r="J628">
        <v>4.4000000000000004</v>
      </c>
      <c r="K628" s="1" t="s">
        <v>27</v>
      </c>
      <c r="L628">
        <v>97</v>
      </c>
    </row>
    <row r="629" spans="1:12" x14ac:dyDescent="0.3">
      <c r="A629" s="1" t="s">
        <v>1347</v>
      </c>
      <c r="B629" s="1" t="s">
        <v>1348</v>
      </c>
      <c r="C629" s="1" t="s">
        <v>14</v>
      </c>
      <c r="D629">
        <v>22</v>
      </c>
      <c r="E629" s="1" t="s">
        <v>145</v>
      </c>
      <c r="F629" s="1" t="s">
        <v>146</v>
      </c>
      <c r="G629" s="1" t="s">
        <v>17</v>
      </c>
      <c r="H629">
        <v>0</v>
      </c>
      <c r="I629" s="1" t="s">
        <v>119</v>
      </c>
      <c r="J629">
        <v>4.9000000000000004</v>
      </c>
      <c r="K629" s="1" t="s">
        <v>51</v>
      </c>
      <c r="L629">
        <v>0.73</v>
      </c>
    </row>
    <row r="630" spans="1:12" x14ac:dyDescent="0.3">
      <c r="A630" s="1" t="s">
        <v>1349</v>
      </c>
      <c r="B630" s="1" t="s">
        <v>1350</v>
      </c>
      <c r="C630" s="1" t="s">
        <v>43</v>
      </c>
      <c r="D630">
        <v>23</v>
      </c>
      <c r="E630" s="1" t="s">
        <v>164</v>
      </c>
      <c r="F630" s="1" t="s">
        <v>165</v>
      </c>
      <c r="G630" s="1" t="s">
        <v>49</v>
      </c>
      <c r="H630">
        <v>0</v>
      </c>
      <c r="I630" s="1" t="s">
        <v>58</v>
      </c>
      <c r="J630">
        <v>2.2999999999999998</v>
      </c>
      <c r="K630" s="1" t="s">
        <v>65</v>
      </c>
      <c r="L630">
        <v>0.6</v>
      </c>
    </row>
    <row r="631" spans="1:12" x14ac:dyDescent="0.3">
      <c r="A631" s="1" t="s">
        <v>1351</v>
      </c>
      <c r="B631" s="1" t="s">
        <v>1352</v>
      </c>
      <c r="C631" s="1" t="s">
        <v>38</v>
      </c>
      <c r="D631">
        <v>60</v>
      </c>
      <c r="E631" s="1" t="s">
        <v>70</v>
      </c>
      <c r="F631" s="1" t="s">
        <v>71</v>
      </c>
      <c r="G631" s="1" t="s">
        <v>39</v>
      </c>
      <c r="H631">
        <v>41</v>
      </c>
      <c r="I631" s="1" t="s">
        <v>40</v>
      </c>
      <c r="J631">
        <v>4.9000000000000004</v>
      </c>
      <c r="K631" s="1" t="s">
        <v>27</v>
      </c>
      <c r="L631">
        <v>66</v>
      </c>
    </row>
    <row r="632" spans="1:12" x14ac:dyDescent="0.3">
      <c r="A632" s="1" t="s">
        <v>1353</v>
      </c>
      <c r="B632" s="1" t="s">
        <v>1354</v>
      </c>
      <c r="C632" s="1" t="s">
        <v>54</v>
      </c>
      <c r="D632">
        <v>20</v>
      </c>
      <c r="E632" s="1" t="s">
        <v>138</v>
      </c>
      <c r="F632" s="1" t="s">
        <v>24</v>
      </c>
      <c r="G632" s="1" t="s">
        <v>99</v>
      </c>
      <c r="I632" s="1" t="s">
        <v>181</v>
      </c>
      <c r="J632">
        <v>4.3</v>
      </c>
      <c r="K632" s="1" t="s">
        <v>19</v>
      </c>
      <c r="L632">
        <v>0.9</v>
      </c>
    </row>
    <row r="633" spans="1:12" x14ac:dyDescent="0.3">
      <c r="A633" s="1" t="s">
        <v>1355</v>
      </c>
      <c r="B633" s="1" t="s">
        <v>1356</v>
      </c>
      <c r="C633" s="1" t="s">
        <v>14</v>
      </c>
      <c r="D633">
        <v>41</v>
      </c>
      <c r="E633" s="1" t="s">
        <v>122</v>
      </c>
      <c r="F633" s="1" t="s">
        <v>123</v>
      </c>
      <c r="G633" s="1" t="s">
        <v>82</v>
      </c>
      <c r="H633">
        <v>23</v>
      </c>
      <c r="I633" s="1" t="s">
        <v>181</v>
      </c>
      <c r="J633">
        <v>1.4</v>
      </c>
      <c r="K633" s="1" t="s">
        <v>19</v>
      </c>
    </row>
    <row r="634" spans="1:12" x14ac:dyDescent="0.3">
      <c r="A634" s="1" t="s">
        <v>1357</v>
      </c>
      <c r="B634" s="1" t="s">
        <v>1358</v>
      </c>
      <c r="C634" s="1" t="s">
        <v>54</v>
      </c>
      <c r="D634">
        <v>24</v>
      </c>
      <c r="E634" s="1" t="s">
        <v>145</v>
      </c>
      <c r="F634" s="1" t="s">
        <v>146</v>
      </c>
      <c r="G634" s="1" t="s">
        <v>25</v>
      </c>
      <c r="H634">
        <v>0</v>
      </c>
      <c r="I634" s="1" t="s">
        <v>18</v>
      </c>
      <c r="K634" s="1" t="s">
        <v>170</v>
      </c>
    </row>
    <row r="635" spans="1:12" x14ac:dyDescent="0.3">
      <c r="A635" s="1" t="s">
        <v>1359</v>
      </c>
      <c r="B635" s="1" t="s">
        <v>1360</v>
      </c>
      <c r="C635" s="1" t="s">
        <v>54</v>
      </c>
      <c r="D635">
        <v>44</v>
      </c>
      <c r="E635" s="1" t="s">
        <v>47</v>
      </c>
      <c r="F635" s="1" t="s">
        <v>48</v>
      </c>
      <c r="G635" s="1" t="s">
        <v>124</v>
      </c>
      <c r="H635">
        <v>4</v>
      </c>
      <c r="I635" s="1" t="s">
        <v>65</v>
      </c>
      <c r="J635">
        <v>1.3</v>
      </c>
      <c r="K635" s="1" t="s">
        <v>77</v>
      </c>
      <c r="L635">
        <v>77</v>
      </c>
    </row>
    <row r="636" spans="1:12" x14ac:dyDescent="0.3">
      <c r="A636" s="1" t="s">
        <v>1361</v>
      </c>
      <c r="B636" s="1" t="s">
        <v>1362</v>
      </c>
      <c r="C636" s="1" t="s">
        <v>69</v>
      </c>
      <c r="D636">
        <v>52</v>
      </c>
      <c r="E636" s="1" t="s">
        <v>186</v>
      </c>
      <c r="F636" s="1" t="s">
        <v>187</v>
      </c>
      <c r="G636" s="1" t="s">
        <v>82</v>
      </c>
      <c r="H636">
        <v>4</v>
      </c>
      <c r="I636" s="1" t="s">
        <v>92</v>
      </c>
      <c r="J636">
        <v>2.2999999999999998</v>
      </c>
      <c r="K636" s="1" t="s">
        <v>27</v>
      </c>
      <c r="L636">
        <v>0.79</v>
      </c>
    </row>
    <row r="637" spans="1:12" x14ac:dyDescent="0.3">
      <c r="A637" s="1" t="s">
        <v>1363</v>
      </c>
      <c r="B637" s="1" t="s">
        <v>1364</v>
      </c>
      <c r="C637" s="1" t="s">
        <v>102</v>
      </c>
      <c r="D637">
        <v>35</v>
      </c>
      <c r="E637" s="1" t="s">
        <v>201</v>
      </c>
      <c r="F637" s="1" t="s">
        <v>81</v>
      </c>
      <c r="G637" s="1" t="s">
        <v>124</v>
      </c>
      <c r="H637">
        <v>13</v>
      </c>
      <c r="I637" s="1" t="s">
        <v>76</v>
      </c>
      <c r="J637">
        <v>3.6</v>
      </c>
      <c r="K637" s="1" t="s">
        <v>19</v>
      </c>
      <c r="L637">
        <v>0.83</v>
      </c>
    </row>
    <row r="638" spans="1:12" x14ac:dyDescent="0.3">
      <c r="A638" s="1" t="s">
        <v>1365</v>
      </c>
      <c r="B638" s="1" t="s">
        <v>1366</v>
      </c>
      <c r="C638" s="1" t="s">
        <v>86</v>
      </c>
      <c r="D638">
        <v>24</v>
      </c>
      <c r="E638" s="1" t="s">
        <v>47</v>
      </c>
      <c r="F638" s="1" t="s">
        <v>48</v>
      </c>
      <c r="G638" s="1" t="s">
        <v>99</v>
      </c>
      <c r="H638">
        <v>2</v>
      </c>
      <c r="I638" s="1" t="s">
        <v>72</v>
      </c>
      <c r="K638" s="1" t="s">
        <v>35</v>
      </c>
      <c r="L638">
        <v>0.64</v>
      </c>
    </row>
    <row r="639" spans="1:12" x14ac:dyDescent="0.3">
      <c r="A639" s="1" t="s">
        <v>1367</v>
      </c>
      <c r="B639" s="1" t="s">
        <v>1368</v>
      </c>
      <c r="C639" s="1" t="s">
        <v>22</v>
      </c>
      <c r="D639">
        <v>46</v>
      </c>
      <c r="E639" s="1" t="s">
        <v>23</v>
      </c>
      <c r="F639" s="1" t="s">
        <v>24</v>
      </c>
      <c r="G639" s="1" t="s">
        <v>87</v>
      </c>
      <c r="H639">
        <v>25</v>
      </c>
      <c r="I639" s="1" t="s">
        <v>240</v>
      </c>
      <c r="J639">
        <v>1.3</v>
      </c>
      <c r="K639" s="1" t="s">
        <v>170</v>
      </c>
      <c r="L639">
        <v>0.8</v>
      </c>
    </row>
    <row r="640" spans="1:12" x14ac:dyDescent="0.3">
      <c r="A640" s="1" t="s">
        <v>1369</v>
      </c>
      <c r="B640" s="1" t="s">
        <v>1370</v>
      </c>
      <c r="C640" s="1" t="s">
        <v>102</v>
      </c>
      <c r="D640">
        <v>57</v>
      </c>
      <c r="E640" s="1" t="s">
        <v>190</v>
      </c>
      <c r="F640" s="1" t="s">
        <v>81</v>
      </c>
      <c r="G640" s="1" t="s">
        <v>25</v>
      </c>
      <c r="H640">
        <v>18</v>
      </c>
      <c r="I640" s="1" t="s">
        <v>119</v>
      </c>
      <c r="J640">
        <v>1.1000000000000001</v>
      </c>
      <c r="K640" s="1" t="s">
        <v>51</v>
      </c>
      <c r="L640">
        <v>0.9</v>
      </c>
    </row>
    <row r="641" spans="1:12" x14ac:dyDescent="0.3">
      <c r="A641" s="1" t="s">
        <v>1371</v>
      </c>
      <c r="B641" s="1" t="s">
        <v>1372</v>
      </c>
      <c r="C641" s="1" t="s">
        <v>38</v>
      </c>
      <c r="D641">
        <v>49</v>
      </c>
      <c r="E641" s="1" t="s">
        <v>190</v>
      </c>
      <c r="F641" s="1" t="s">
        <v>81</v>
      </c>
      <c r="G641" s="1" t="s">
        <v>39</v>
      </c>
      <c r="H641">
        <v>24</v>
      </c>
      <c r="I641" s="1" t="s">
        <v>72</v>
      </c>
      <c r="J641">
        <v>0</v>
      </c>
      <c r="K641" s="1" t="s">
        <v>19</v>
      </c>
      <c r="L641">
        <v>0.94</v>
      </c>
    </row>
    <row r="642" spans="1:12" x14ac:dyDescent="0.3">
      <c r="A642" s="1" t="s">
        <v>1373</v>
      </c>
      <c r="B642" s="1" t="s">
        <v>1374</v>
      </c>
      <c r="C642" s="1" t="s">
        <v>69</v>
      </c>
      <c r="D642">
        <v>41</v>
      </c>
      <c r="E642" s="1" t="s">
        <v>95</v>
      </c>
      <c r="F642" s="1" t="s">
        <v>96</v>
      </c>
      <c r="G642" s="1" t="s">
        <v>49</v>
      </c>
      <c r="H642">
        <v>7</v>
      </c>
      <c r="I642" s="1" t="s">
        <v>76</v>
      </c>
      <c r="J642">
        <v>1.8</v>
      </c>
      <c r="K642" s="1" t="s">
        <v>51</v>
      </c>
      <c r="L642">
        <v>0.7</v>
      </c>
    </row>
    <row r="643" spans="1:12" x14ac:dyDescent="0.3">
      <c r="A643" s="1" t="s">
        <v>1375</v>
      </c>
      <c r="B643" s="1" t="s">
        <v>1376</v>
      </c>
      <c r="C643" s="1" t="s">
        <v>30</v>
      </c>
      <c r="D643">
        <v>22</v>
      </c>
      <c r="E643" s="1" t="s">
        <v>190</v>
      </c>
      <c r="F643" s="1" t="s">
        <v>81</v>
      </c>
      <c r="G643" s="1" t="s">
        <v>124</v>
      </c>
      <c r="H643">
        <v>1</v>
      </c>
      <c r="I643" s="1" t="s">
        <v>325</v>
      </c>
      <c r="K643" s="1" t="s">
        <v>77</v>
      </c>
      <c r="L643">
        <v>0.75</v>
      </c>
    </row>
    <row r="644" spans="1:12" x14ac:dyDescent="0.3">
      <c r="A644" s="1" t="s">
        <v>1377</v>
      </c>
      <c r="B644" s="1" t="s">
        <v>1378</v>
      </c>
      <c r="C644" s="1" t="s">
        <v>30</v>
      </c>
      <c r="D644">
        <v>50</v>
      </c>
      <c r="E644" s="1" t="s">
        <v>23</v>
      </c>
      <c r="F644" s="1" t="s">
        <v>24</v>
      </c>
      <c r="G644" s="1" t="s">
        <v>17</v>
      </c>
      <c r="H644">
        <v>17</v>
      </c>
      <c r="I644" s="1" t="s">
        <v>92</v>
      </c>
      <c r="J644">
        <v>3.3</v>
      </c>
      <c r="K644" s="1" t="s">
        <v>27</v>
      </c>
      <c r="L644">
        <v>0.69</v>
      </c>
    </row>
    <row r="645" spans="1:12" x14ac:dyDescent="0.3">
      <c r="A645" s="1" t="s">
        <v>1379</v>
      </c>
      <c r="B645" s="1" t="s">
        <v>1380</v>
      </c>
      <c r="C645" s="1" t="s">
        <v>30</v>
      </c>
      <c r="D645">
        <v>57</v>
      </c>
      <c r="E645" s="1" t="s">
        <v>31</v>
      </c>
      <c r="F645" s="1" t="s">
        <v>32</v>
      </c>
      <c r="G645" s="1" t="s">
        <v>33</v>
      </c>
      <c r="H645">
        <v>4</v>
      </c>
      <c r="I645" s="1" t="s">
        <v>119</v>
      </c>
      <c r="J645">
        <v>4.2</v>
      </c>
      <c r="K645" s="1" t="s">
        <v>19</v>
      </c>
    </row>
    <row r="646" spans="1:12" x14ac:dyDescent="0.3">
      <c r="A646" s="1" t="s">
        <v>1381</v>
      </c>
      <c r="B646" s="1" t="s">
        <v>1382</v>
      </c>
      <c r="C646" s="1" t="s">
        <v>22</v>
      </c>
      <c r="D646">
        <v>47</v>
      </c>
      <c r="E646" s="1" t="s">
        <v>190</v>
      </c>
      <c r="F646" s="1" t="s">
        <v>81</v>
      </c>
      <c r="G646" s="1" t="s">
        <v>49</v>
      </c>
      <c r="H646">
        <v>29</v>
      </c>
      <c r="I646" s="1" t="s">
        <v>72</v>
      </c>
      <c r="K646" s="1" t="s">
        <v>27</v>
      </c>
      <c r="L646">
        <v>0.79</v>
      </c>
    </row>
    <row r="647" spans="1:12" x14ac:dyDescent="0.3">
      <c r="A647" s="1" t="s">
        <v>1383</v>
      </c>
      <c r="B647" s="1" t="s">
        <v>1384</v>
      </c>
      <c r="C647" s="1" t="s">
        <v>102</v>
      </c>
      <c r="D647">
        <v>24</v>
      </c>
      <c r="E647" s="1" t="s">
        <v>164</v>
      </c>
      <c r="F647" s="1" t="s">
        <v>165</v>
      </c>
      <c r="G647" s="1" t="s">
        <v>57</v>
      </c>
      <c r="H647">
        <v>2</v>
      </c>
      <c r="I647" s="1" t="s">
        <v>240</v>
      </c>
      <c r="J647">
        <v>3.8</v>
      </c>
      <c r="K647" s="1" t="s">
        <v>27</v>
      </c>
      <c r="L647">
        <v>0.71</v>
      </c>
    </row>
    <row r="648" spans="1:12" x14ac:dyDescent="0.3">
      <c r="A648" s="1" t="s">
        <v>1385</v>
      </c>
      <c r="B648" s="1" t="s">
        <v>1386</v>
      </c>
      <c r="C648" s="1" t="s">
        <v>30</v>
      </c>
      <c r="E648" s="1" t="s">
        <v>103</v>
      </c>
      <c r="F648" s="1" t="s">
        <v>104</v>
      </c>
      <c r="G648" s="1" t="s">
        <v>87</v>
      </c>
      <c r="H648">
        <v>9</v>
      </c>
      <c r="I648" s="1" t="s">
        <v>18</v>
      </c>
      <c r="J648">
        <v>4.8</v>
      </c>
      <c r="K648" s="1" t="s">
        <v>83</v>
      </c>
      <c r="L648">
        <v>0.72</v>
      </c>
    </row>
    <row r="649" spans="1:12" x14ac:dyDescent="0.3">
      <c r="A649" s="1" t="s">
        <v>1387</v>
      </c>
      <c r="B649" s="1" t="s">
        <v>1388</v>
      </c>
      <c r="C649" s="1" t="s">
        <v>22</v>
      </c>
      <c r="D649">
        <v>50</v>
      </c>
      <c r="E649" s="1" t="s">
        <v>31</v>
      </c>
      <c r="F649" s="1" t="s">
        <v>32</v>
      </c>
      <c r="G649" s="1" t="s">
        <v>99</v>
      </c>
      <c r="H649">
        <v>10</v>
      </c>
      <c r="I649" s="1" t="s">
        <v>240</v>
      </c>
      <c r="J649">
        <v>4.3</v>
      </c>
      <c r="K649" s="1" t="s">
        <v>35</v>
      </c>
      <c r="L649">
        <v>0.93</v>
      </c>
    </row>
    <row r="650" spans="1:12" x14ac:dyDescent="0.3">
      <c r="A650" s="1" t="s">
        <v>1389</v>
      </c>
      <c r="B650" s="1" t="s">
        <v>1390</v>
      </c>
      <c r="C650" s="1" t="s">
        <v>102</v>
      </c>
      <c r="D650">
        <v>46</v>
      </c>
      <c r="E650" s="1" t="s">
        <v>117</v>
      </c>
      <c r="F650" s="1" t="s">
        <v>118</v>
      </c>
      <c r="G650" s="1" t="s">
        <v>124</v>
      </c>
      <c r="H650">
        <v>20</v>
      </c>
      <c r="I650" s="1" t="s">
        <v>65</v>
      </c>
      <c r="J650">
        <v>4.8</v>
      </c>
      <c r="K650" s="1" t="s">
        <v>27</v>
      </c>
      <c r="L650">
        <v>0.82</v>
      </c>
    </row>
    <row r="651" spans="1:12" x14ac:dyDescent="0.3">
      <c r="A651" s="1" t="s">
        <v>1391</v>
      </c>
      <c r="B651" s="1" t="s">
        <v>1392</v>
      </c>
      <c r="C651" s="1" t="s">
        <v>30</v>
      </c>
      <c r="D651">
        <v>51</v>
      </c>
      <c r="E651" s="1" t="s">
        <v>23</v>
      </c>
      <c r="F651" s="1" t="s">
        <v>24</v>
      </c>
      <c r="G651" s="1" t="s">
        <v>87</v>
      </c>
      <c r="H651">
        <v>9</v>
      </c>
      <c r="I651" s="1" t="s">
        <v>40</v>
      </c>
      <c r="K651" s="1" t="s">
        <v>35</v>
      </c>
      <c r="L651">
        <v>60</v>
      </c>
    </row>
    <row r="652" spans="1:12" x14ac:dyDescent="0.3">
      <c r="A652" s="1" t="s">
        <v>1393</v>
      </c>
      <c r="B652" s="1" t="s">
        <v>1394</v>
      </c>
      <c r="C652" s="1" t="s">
        <v>69</v>
      </c>
      <c r="D652">
        <v>51</v>
      </c>
      <c r="E652" s="1" t="s">
        <v>75</v>
      </c>
      <c r="F652" s="1" t="s">
        <v>24</v>
      </c>
      <c r="G652" s="1" t="s">
        <v>49</v>
      </c>
      <c r="H652">
        <v>12</v>
      </c>
      <c r="I652" s="1" t="s">
        <v>151</v>
      </c>
      <c r="J652">
        <v>4</v>
      </c>
      <c r="K652" s="1" t="s">
        <v>19</v>
      </c>
      <c r="L652">
        <v>93</v>
      </c>
    </row>
    <row r="653" spans="1:12" x14ac:dyDescent="0.3">
      <c r="A653" s="1" t="s">
        <v>1395</v>
      </c>
      <c r="B653" s="1" t="s">
        <v>1396</v>
      </c>
      <c r="C653" s="1" t="s">
        <v>54</v>
      </c>
      <c r="D653">
        <v>27</v>
      </c>
      <c r="E653" s="1" t="s">
        <v>75</v>
      </c>
      <c r="F653" s="1" t="s">
        <v>24</v>
      </c>
      <c r="G653" s="1" t="s">
        <v>49</v>
      </c>
      <c r="H653">
        <v>3</v>
      </c>
      <c r="I653" s="1" t="s">
        <v>108</v>
      </c>
      <c r="K653" s="1" t="s">
        <v>51</v>
      </c>
    </row>
    <row r="654" spans="1:12" x14ac:dyDescent="0.3">
      <c r="A654" s="1" t="s">
        <v>1397</v>
      </c>
      <c r="B654" s="1" t="s">
        <v>1398</v>
      </c>
      <c r="C654" s="1" t="s">
        <v>69</v>
      </c>
      <c r="D654">
        <v>42</v>
      </c>
      <c r="E654" s="1" t="s">
        <v>201</v>
      </c>
      <c r="F654" s="1" t="s">
        <v>81</v>
      </c>
      <c r="G654" s="1" t="s">
        <v>39</v>
      </c>
      <c r="H654">
        <v>13</v>
      </c>
      <c r="I654" s="1" t="s">
        <v>44</v>
      </c>
      <c r="J654">
        <v>0</v>
      </c>
      <c r="K654" s="1" t="s">
        <v>51</v>
      </c>
      <c r="L654">
        <v>0.74</v>
      </c>
    </row>
    <row r="655" spans="1:12" x14ac:dyDescent="0.3">
      <c r="A655" s="1" t="s">
        <v>1399</v>
      </c>
      <c r="B655" s="1" t="s">
        <v>1400</v>
      </c>
      <c r="C655" s="1" t="s">
        <v>69</v>
      </c>
      <c r="D655">
        <v>25</v>
      </c>
      <c r="E655" s="1" t="s">
        <v>31</v>
      </c>
      <c r="F655" s="1" t="s">
        <v>32</v>
      </c>
      <c r="G655" s="1" t="s">
        <v>82</v>
      </c>
      <c r="H655">
        <v>4</v>
      </c>
      <c r="I655" s="1" t="s">
        <v>40</v>
      </c>
      <c r="J655">
        <v>2.2999999999999998</v>
      </c>
      <c r="K655" s="1" t="s">
        <v>77</v>
      </c>
      <c r="L655">
        <v>73</v>
      </c>
    </row>
    <row r="656" spans="1:12" x14ac:dyDescent="0.3">
      <c r="A656" s="1" t="s">
        <v>1401</v>
      </c>
      <c r="B656" s="1" t="s">
        <v>1402</v>
      </c>
      <c r="C656" s="1" t="s">
        <v>86</v>
      </c>
      <c r="D656">
        <v>32</v>
      </c>
      <c r="E656" s="1" t="s">
        <v>31</v>
      </c>
      <c r="F656" s="1" t="s">
        <v>32</v>
      </c>
      <c r="G656" s="1" t="s">
        <v>57</v>
      </c>
      <c r="H656">
        <v>9</v>
      </c>
      <c r="I656" s="1" t="s">
        <v>92</v>
      </c>
      <c r="K656" s="1" t="s">
        <v>35</v>
      </c>
      <c r="L656">
        <v>0.96</v>
      </c>
    </row>
    <row r="657" spans="1:12" x14ac:dyDescent="0.3">
      <c r="A657" s="1" t="s">
        <v>1403</v>
      </c>
      <c r="B657" s="1" t="s">
        <v>1404</v>
      </c>
      <c r="C657" s="1" t="s">
        <v>43</v>
      </c>
      <c r="D657">
        <v>59</v>
      </c>
      <c r="E657" s="1" t="s">
        <v>138</v>
      </c>
      <c r="F657" s="1" t="s">
        <v>24</v>
      </c>
      <c r="G657" s="1" t="s">
        <v>33</v>
      </c>
      <c r="H657">
        <v>14</v>
      </c>
      <c r="I657" s="1" t="s">
        <v>44</v>
      </c>
      <c r="J657">
        <v>3.8</v>
      </c>
      <c r="K657" s="1" t="s">
        <v>65</v>
      </c>
      <c r="L657">
        <v>0.66</v>
      </c>
    </row>
    <row r="658" spans="1:12" x14ac:dyDescent="0.3">
      <c r="A658" s="1" t="s">
        <v>1405</v>
      </c>
      <c r="B658" s="1" t="s">
        <v>1406</v>
      </c>
      <c r="C658" s="1" t="s">
        <v>22</v>
      </c>
      <c r="D658">
        <v>59</v>
      </c>
      <c r="E658" s="1" t="s">
        <v>145</v>
      </c>
      <c r="F658" s="1" t="s">
        <v>146</v>
      </c>
      <c r="G658" s="1" t="s">
        <v>87</v>
      </c>
      <c r="H658">
        <v>37</v>
      </c>
      <c r="I658" s="1" t="s">
        <v>44</v>
      </c>
      <c r="J658">
        <v>4</v>
      </c>
      <c r="K658" s="1" t="s">
        <v>51</v>
      </c>
      <c r="L658">
        <v>0.62</v>
      </c>
    </row>
    <row r="659" spans="1:12" x14ac:dyDescent="0.3">
      <c r="A659" s="1" t="s">
        <v>1407</v>
      </c>
      <c r="B659" s="1" t="s">
        <v>1408</v>
      </c>
      <c r="C659" s="1" t="s">
        <v>107</v>
      </c>
      <c r="D659">
        <v>29</v>
      </c>
      <c r="E659" s="1" t="s">
        <v>31</v>
      </c>
      <c r="F659" s="1" t="s">
        <v>32</v>
      </c>
      <c r="G659" s="1" t="s">
        <v>33</v>
      </c>
      <c r="H659">
        <v>2</v>
      </c>
      <c r="I659" s="1" t="s">
        <v>58</v>
      </c>
      <c r="J659">
        <v>2.2000000000000002</v>
      </c>
      <c r="K659" s="1" t="s">
        <v>83</v>
      </c>
      <c r="L659">
        <v>0.85</v>
      </c>
    </row>
    <row r="660" spans="1:12" x14ac:dyDescent="0.3">
      <c r="A660" s="1" t="s">
        <v>1409</v>
      </c>
      <c r="B660" s="1" t="s">
        <v>1410</v>
      </c>
      <c r="C660" s="1" t="s">
        <v>69</v>
      </c>
      <c r="D660">
        <v>58</v>
      </c>
      <c r="E660" s="1" t="s">
        <v>186</v>
      </c>
      <c r="F660" s="1" t="s">
        <v>187</v>
      </c>
      <c r="G660" s="1" t="s">
        <v>49</v>
      </c>
      <c r="H660">
        <v>11</v>
      </c>
      <c r="I660" s="1" t="s">
        <v>18</v>
      </c>
      <c r="J660">
        <v>4.3</v>
      </c>
      <c r="K660" s="1" t="s">
        <v>19</v>
      </c>
      <c r="L660">
        <v>0.66</v>
      </c>
    </row>
    <row r="661" spans="1:12" x14ac:dyDescent="0.3">
      <c r="A661" s="1" t="s">
        <v>1411</v>
      </c>
      <c r="B661" s="1" t="s">
        <v>1412</v>
      </c>
      <c r="C661" s="1" t="s">
        <v>14</v>
      </c>
      <c r="D661">
        <v>56</v>
      </c>
      <c r="E661" s="1" t="s">
        <v>138</v>
      </c>
      <c r="F661" s="1" t="s">
        <v>24</v>
      </c>
      <c r="G661" s="1" t="s">
        <v>87</v>
      </c>
      <c r="H661">
        <v>19</v>
      </c>
      <c r="I661" s="1" t="s">
        <v>151</v>
      </c>
      <c r="J661">
        <v>0</v>
      </c>
      <c r="K661" s="1" t="s">
        <v>19</v>
      </c>
      <c r="L661">
        <v>0.87</v>
      </c>
    </row>
    <row r="662" spans="1:12" x14ac:dyDescent="0.3">
      <c r="A662" s="1" t="s">
        <v>1413</v>
      </c>
      <c r="B662" s="1" t="s">
        <v>1414</v>
      </c>
      <c r="C662" s="1" t="s">
        <v>38</v>
      </c>
      <c r="D662">
        <v>36</v>
      </c>
      <c r="E662" s="1" t="s">
        <v>64</v>
      </c>
      <c r="F662" s="1" t="s">
        <v>24</v>
      </c>
      <c r="G662" s="1" t="s">
        <v>124</v>
      </c>
      <c r="H662">
        <v>9</v>
      </c>
      <c r="I662" s="1" t="s">
        <v>151</v>
      </c>
      <c r="J662">
        <v>0</v>
      </c>
      <c r="K662" s="1" t="s">
        <v>27</v>
      </c>
      <c r="L662">
        <v>68</v>
      </c>
    </row>
    <row r="663" spans="1:12" x14ac:dyDescent="0.3">
      <c r="A663" s="1" t="s">
        <v>1415</v>
      </c>
      <c r="B663" s="1" t="s">
        <v>1416</v>
      </c>
      <c r="C663" s="1" t="s">
        <v>86</v>
      </c>
      <c r="D663">
        <v>52</v>
      </c>
      <c r="E663" s="1" t="s">
        <v>138</v>
      </c>
      <c r="F663" s="1" t="s">
        <v>24</v>
      </c>
      <c r="G663" s="1" t="s">
        <v>82</v>
      </c>
      <c r="H663">
        <v>16</v>
      </c>
      <c r="I663" s="1" t="s">
        <v>18</v>
      </c>
      <c r="J663">
        <v>4</v>
      </c>
      <c r="K663" s="1" t="s">
        <v>27</v>
      </c>
    </row>
    <row r="664" spans="1:12" x14ac:dyDescent="0.3">
      <c r="A664" s="1" t="s">
        <v>1417</v>
      </c>
      <c r="B664" s="1" t="s">
        <v>1418</v>
      </c>
      <c r="C664" s="1" t="s">
        <v>86</v>
      </c>
      <c r="D664">
        <v>42</v>
      </c>
      <c r="E664" s="1" t="s">
        <v>47</v>
      </c>
      <c r="F664" s="1" t="s">
        <v>48</v>
      </c>
      <c r="G664" s="1" t="s">
        <v>25</v>
      </c>
      <c r="H664">
        <v>8</v>
      </c>
      <c r="I664" s="1" t="s">
        <v>108</v>
      </c>
      <c r="K664" s="1" t="s">
        <v>65</v>
      </c>
    </row>
    <row r="665" spans="1:12" x14ac:dyDescent="0.3">
      <c r="A665" s="1" t="s">
        <v>1419</v>
      </c>
      <c r="B665" s="1" t="s">
        <v>1420</v>
      </c>
      <c r="C665" s="1" t="s">
        <v>22</v>
      </c>
      <c r="D665">
        <v>59</v>
      </c>
      <c r="E665" s="1" t="s">
        <v>103</v>
      </c>
      <c r="F665" s="1" t="s">
        <v>104</v>
      </c>
      <c r="G665" s="1" t="s">
        <v>25</v>
      </c>
      <c r="H665">
        <v>34</v>
      </c>
      <c r="I665" s="1" t="s">
        <v>18</v>
      </c>
      <c r="J665">
        <v>2</v>
      </c>
      <c r="K665" s="1" t="s">
        <v>27</v>
      </c>
      <c r="L665">
        <v>0.79</v>
      </c>
    </row>
    <row r="666" spans="1:12" x14ac:dyDescent="0.3">
      <c r="A666" s="1" t="s">
        <v>1421</v>
      </c>
      <c r="B666" s="1" t="s">
        <v>1422</v>
      </c>
      <c r="C666" s="1" t="s">
        <v>30</v>
      </c>
      <c r="D666">
        <v>33</v>
      </c>
      <c r="E666" s="1" t="s">
        <v>47</v>
      </c>
      <c r="F666" s="1" t="s">
        <v>48</v>
      </c>
      <c r="G666" s="1" t="s">
        <v>25</v>
      </c>
      <c r="H666">
        <v>5</v>
      </c>
      <c r="I666" s="1" t="s">
        <v>72</v>
      </c>
      <c r="J666">
        <v>4.7</v>
      </c>
      <c r="K666" s="1" t="s">
        <v>27</v>
      </c>
      <c r="L666">
        <v>0.88</v>
      </c>
    </row>
    <row r="667" spans="1:12" x14ac:dyDescent="0.3">
      <c r="A667" s="1" t="s">
        <v>1423</v>
      </c>
      <c r="B667" s="1" t="s">
        <v>1424</v>
      </c>
      <c r="C667" s="1" t="s">
        <v>38</v>
      </c>
      <c r="D667">
        <v>55</v>
      </c>
      <c r="E667" s="1" t="s">
        <v>138</v>
      </c>
      <c r="F667" s="1" t="s">
        <v>24</v>
      </c>
      <c r="G667" s="1" t="s">
        <v>39</v>
      </c>
      <c r="H667">
        <v>14</v>
      </c>
      <c r="I667" s="1" t="s">
        <v>108</v>
      </c>
      <c r="J667">
        <v>3.6</v>
      </c>
      <c r="K667" s="1" t="s">
        <v>27</v>
      </c>
      <c r="L667">
        <v>0.81</v>
      </c>
    </row>
    <row r="668" spans="1:12" x14ac:dyDescent="0.3">
      <c r="A668" s="1" t="s">
        <v>1425</v>
      </c>
      <c r="B668" s="1" t="s">
        <v>1426</v>
      </c>
      <c r="C668" s="1" t="s">
        <v>30</v>
      </c>
      <c r="D668">
        <v>47</v>
      </c>
      <c r="E668" s="1" t="s">
        <v>122</v>
      </c>
      <c r="F668" s="1" t="s">
        <v>123</v>
      </c>
      <c r="G668" s="1" t="s">
        <v>82</v>
      </c>
      <c r="H668">
        <v>17</v>
      </c>
      <c r="I668" s="1" t="s">
        <v>34</v>
      </c>
      <c r="J668">
        <v>1.2</v>
      </c>
      <c r="K668" s="1" t="s">
        <v>35</v>
      </c>
    </row>
    <row r="669" spans="1:12" x14ac:dyDescent="0.3">
      <c r="A669" s="1" t="s">
        <v>1427</v>
      </c>
      <c r="B669" s="1" t="s">
        <v>1428</v>
      </c>
      <c r="C669" s="1" t="s">
        <v>22</v>
      </c>
      <c r="D669">
        <v>29</v>
      </c>
      <c r="E669" s="1" t="s">
        <v>190</v>
      </c>
      <c r="F669" s="1" t="s">
        <v>81</v>
      </c>
      <c r="G669" s="1" t="s">
        <v>49</v>
      </c>
      <c r="H669">
        <v>10</v>
      </c>
      <c r="I669" s="1" t="s">
        <v>65</v>
      </c>
      <c r="J669">
        <v>4.4000000000000004</v>
      </c>
      <c r="K669" s="1" t="s">
        <v>83</v>
      </c>
      <c r="L669">
        <v>0.67</v>
      </c>
    </row>
    <row r="670" spans="1:12" x14ac:dyDescent="0.3">
      <c r="A670" s="1" t="s">
        <v>1429</v>
      </c>
      <c r="B670" s="1" t="s">
        <v>1430</v>
      </c>
      <c r="C670" s="1" t="s">
        <v>86</v>
      </c>
      <c r="D670">
        <v>30</v>
      </c>
      <c r="E670" s="1" t="s">
        <v>75</v>
      </c>
      <c r="F670" s="1" t="s">
        <v>24</v>
      </c>
      <c r="G670" s="1" t="s">
        <v>99</v>
      </c>
      <c r="H670">
        <v>8</v>
      </c>
      <c r="I670" s="1" t="s">
        <v>18</v>
      </c>
      <c r="J670">
        <v>1.4</v>
      </c>
      <c r="K670" s="1" t="s">
        <v>77</v>
      </c>
      <c r="L670">
        <v>62</v>
      </c>
    </row>
    <row r="671" spans="1:12" x14ac:dyDescent="0.3">
      <c r="A671" s="1" t="s">
        <v>1431</v>
      </c>
      <c r="B671" s="1" t="s">
        <v>1432</v>
      </c>
      <c r="C671" s="1" t="s">
        <v>22</v>
      </c>
      <c r="D671">
        <v>25</v>
      </c>
      <c r="E671" s="1" t="s">
        <v>138</v>
      </c>
      <c r="F671" s="1" t="s">
        <v>24</v>
      </c>
      <c r="G671" s="1" t="s">
        <v>99</v>
      </c>
      <c r="H671">
        <v>1</v>
      </c>
      <c r="I671" s="1" t="s">
        <v>119</v>
      </c>
      <c r="J671">
        <v>3.2</v>
      </c>
      <c r="K671" s="1" t="s">
        <v>19</v>
      </c>
      <c r="L671">
        <v>0.87</v>
      </c>
    </row>
    <row r="672" spans="1:12" x14ac:dyDescent="0.3">
      <c r="A672" s="1" t="s">
        <v>1433</v>
      </c>
      <c r="B672" s="1" t="s">
        <v>1434</v>
      </c>
      <c r="C672" s="1" t="s">
        <v>43</v>
      </c>
      <c r="D672">
        <v>28</v>
      </c>
      <c r="E672" s="1" t="s">
        <v>149</v>
      </c>
      <c r="F672" s="1" t="s">
        <v>150</v>
      </c>
      <c r="G672" s="1" t="s">
        <v>87</v>
      </c>
      <c r="H672">
        <v>10</v>
      </c>
      <c r="I672" s="1" t="s">
        <v>65</v>
      </c>
      <c r="J672">
        <v>3.8</v>
      </c>
      <c r="K672" s="1" t="s">
        <v>77</v>
      </c>
      <c r="L672">
        <v>0.98</v>
      </c>
    </row>
    <row r="673" spans="1:12" x14ac:dyDescent="0.3">
      <c r="A673" s="1" t="s">
        <v>1435</v>
      </c>
      <c r="B673" s="1" t="s">
        <v>1436</v>
      </c>
      <c r="C673" s="1" t="s">
        <v>30</v>
      </c>
      <c r="D673">
        <v>29</v>
      </c>
      <c r="E673" s="1" t="s">
        <v>122</v>
      </c>
      <c r="F673" s="1" t="s">
        <v>123</v>
      </c>
      <c r="G673" s="1" t="s">
        <v>17</v>
      </c>
      <c r="H673">
        <v>0</v>
      </c>
      <c r="I673" s="1" t="s">
        <v>181</v>
      </c>
      <c r="J673">
        <v>1.5</v>
      </c>
      <c r="K673" s="1" t="s">
        <v>66</v>
      </c>
      <c r="L673">
        <v>0.64</v>
      </c>
    </row>
    <row r="674" spans="1:12" x14ac:dyDescent="0.3">
      <c r="A674" s="1" t="s">
        <v>1437</v>
      </c>
      <c r="B674" s="1" t="s">
        <v>1438</v>
      </c>
      <c r="C674" s="1" t="s">
        <v>107</v>
      </c>
      <c r="D674">
        <v>30</v>
      </c>
      <c r="E674" s="1" t="s">
        <v>201</v>
      </c>
      <c r="F674" s="1" t="s">
        <v>81</v>
      </c>
      <c r="G674" s="1" t="s">
        <v>33</v>
      </c>
      <c r="H674">
        <v>4</v>
      </c>
      <c r="I674" s="1" t="s">
        <v>65</v>
      </c>
      <c r="J674">
        <v>2.8</v>
      </c>
      <c r="K674" s="1" t="s">
        <v>27</v>
      </c>
      <c r="L674">
        <v>0.71</v>
      </c>
    </row>
    <row r="675" spans="1:12" x14ac:dyDescent="0.3">
      <c r="A675" s="1" t="s">
        <v>1439</v>
      </c>
      <c r="B675" s="1" t="s">
        <v>1440</v>
      </c>
      <c r="C675" s="1" t="s">
        <v>30</v>
      </c>
      <c r="D675">
        <v>47</v>
      </c>
      <c r="E675" s="1" t="s">
        <v>149</v>
      </c>
      <c r="F675" s="1" t="s">
        <v>150</v>
      </c>
      <c r="G675" s="1" t="s">
        <v>49</v>
      </c>
      <c r="H675">
        <v>2</v>
      </c>
      <c r="I675" s="1" t="s">
        <v>34</v>
      </c>
      <c r="J675">
        <v>2.7</v>
      </c>
      <c r="K675" s="1" t="s">
        <v>170</v>
      </c>
      <c r="L675">
        <v>96</v>
      </c>
    </row>
    <row r="676" spans="1:12" x14ac:dyDescent="0.3">
      <c r="A676" s="1" t="s">
        <v>1441</v>
      </c>
      <c r="B676" s="1" t="s">
        <v>1442</v>
      </c>
      <c r="C676" s="1" t="s">
        <v>69</v>
      </c>
      <c r="D676">
        <v>34</v>
      </c>
      <c r="E676" s="1" t="s">
        <v>23</v>
      </c>
      <c r="F676" s="1" t="s">
        <v>24</v>
      </c>
      <c r="G676" s="1" t="s">
        <v>17</v>
      </c>
      <c r="H676">
        <v>10</v>
      </c>
      <c r="I676" s="1" t="s">
        <v>50</v>
      </c>
      <c r="J676">
        <v>3.9</v>
      </c>
      <c r="K676" s="1" t="s">
        <v>65</v>
      </c>
    </row>
    <row r="677" spans="1:12" x14ac:dyDescent="0.3">
      <c r="A677" s="1" t="s">
        <v>1443</v>
      </c>
      <c r="B677" s="1" t="s">
        <v>1444</v>
      </c>
      <c r="C677" s="1" t="s">
        <v>102</v>
      </c>
      <c r="D677">
        <v>45</v>
      </c>
      <c r="E677" s="1" t="s">
        <v>64</v>
      </c>
      <c r="F677" s="1" t="s">
        <v>24</v>
      </c>
      <c r="G677" s="1" t="s">
        <v>33</v>
      </c>
      <c r="H677">
        <v>16</v>
      </c>
      <c r="I677" s="1" t="s">
        <v>18</v>
      </c>
      <c r="J677">
        <v>4.5999999999999996</v>
      </c>
      <c r="K677" s="1" t="s">
        <v>35</v>
      </c>
      <c r="L677">
        <v>0.78</v>
      </c>
    </row>
    <row r="678" spans="1:12" x14ac:dyDescent="0.3">
      <c r="A678" s="1" t="s">
        <v>1445</v>
      </c>
      <c r="B678" s="1" t="s">
        <v>1446</v>
      </c>
      <c r="C678" s="1" t="s">
        <v>38</v>
      </c>
      <c r="D678">
        <v>56</v>
      </c>
      <c r="E678" s="1" t="s">
        <v>201</v>
      </c>
      <c r="F678" s="1" t="s">
        <v>81</v>
      </c>
      <c r="G678" s="1" t="s">
        <v>87</v>
      </c>
      <c r="H678">
        <v>27</v>
      </c>
      <c r="I678" s="1" t="s">
        <v>131</v>
      </c>
      <c r="J678">
        <v>2.2000000000000002</v>
      </c>
      <c r="K678" s="1" t="s">
        <v>51</v>
      </c>
      <c r="L678">
        <v>0.7</v>
      </c>
    </row>
    <row r="679" spans="1:12" x14ac:dyDescent="0.3">
      <c r="A679" s="1" t="s">
        <v>1447</v>
      </c>
      <c r="B679" s="1" t="s">
        <v>1448</v>
      </c>
      <c r="C679" s="1" t="s">
        <v>43</v>
      </c>
      <c r="D679">
        <v>49</v>
      </c>
      <c r="E679" s="1" t="s">
        <v>186</v>
      </c>
      <c r="F679" s="1" t="s">
        <v>187</v>
      </c>
      <c r="G679" s="1" t="s">
        <v>99</v>
      </c>
      <c r="H679">
        <v>20</v>
      </c>
      <c r="I679" s="1" t="s">
        <v>34</v>
      </c>
      <c r="J679">
        <v>2.5</v>
      </c>
      <c r="K679" s="1" t="s">
        <v>19</v>
      </c>
      <c r="L679">
        <v>0.82</v>
      </c>
    </row>
    <row r="680" spans="1:12" x14ac:dyDescent="0.3">
      <c r="A680" s="1" t="s">
        <v>1449</v>
      </c>
      <c r="B680" s="1" t="s">
        <v>1450</v>
      </c>
      <c r="C680" s="1" t="s">
        <v>69</v>
      </c>
      <c r="D680">
        <v>48</v>
      </c>
      <c r="E680" s="1" t="s">
        <v>145</v>
      </c>
      <c r="F680" s="1" t="s">
        <v>146</v>
      </c>
      <c r="G680" s="1" t="s">
        <v>49</v>
      </c>
      <c r="H680">
        <v>10</v>
      </c>
      <c r="I680" s="1" t="s">
        <v>65</v>
      </c>
      <c r="J680">
        <v>3.1</v>
      </c>
      <c r="K680" s="1" t="s">
        <v>51</v>
      </c>
    </row>
    <row r="681" spans="1:12" x14ac:dyDescent="0.3">
      <c r="A681" s="1" t="s">
        <v>1451</v>
      </c>
      <c r="B681" s="1" t="s">
        <v>1452</v>
      </c>
      <c r="C681" s="1" t="s">
        <v>43</v>
      </c>
      <c r="D681">
        <v>29</v>
      </c>
      <c r="E681" s="1" t="s">
        <v>122</v>
      </c>
      <c r="F681" s="1" t="s">
        <v>123</v>
      </c>
      <c r="G681" s="1" t="s">
        <v>33</v>
      </c>
      <c r="H681">
        <v>0</v>
      </c>
      <c r="I681" s="1" t="s">
        <v>131</v>
      </c>
      <c r="K681" s="1" t="s">
        <v>27</v>
      </c>
      <c r="L681">
        <v>0.99</v>
      </c>
    </row>
    <row r="682" spans="1:12" x14ac:dyDescent="0.3">
      <c r="A682" s="1" t="s">
        <v>1453</v>
      </c>
      <c r="B682" s="1" t="s">
        <v>1454</v>
      </c>
      <c r="C682" s="1" t="s">
        <v>86</v>
      </c>
      <c r="D682">
        <v>49</v>
      </c>
      <c r="E682" s="1" t="s">
        <v>47</v>
      </c>
      <c r="F682" s="1" t="s">
        <v>48</v>
      </c>
      <c r="G682" s="1" t="s">
        <v>39</v>
      </c>
      <c r="H682">
        <v>11</v>
      </c>
      <c r="I682" s="1" t="s">
        <v>92</v>
      </c>
      <c r="J682">
        <v>3.8</v>
      </c>
      <c r="K682" s="1" t="s">
        <v>83</v>
      </c>
      <c r="L682">
        <v>0.93</v>
      </c>
    </row>
    <row r="683" spans="1:12" x14ac:dyDescent="0.3">
      <c r="A683" s="1" t="s">
        <v>1455</v>
      </c>
      <c r="B683" s="1" t="s">
        <v>1456</v>
      </c>
      <c r="C683" s="1" t="s">
        <v>22</v>
      </c>
      <c r="D683">
        <v>22</v>
      </c>
      <c r="E683" s="1" t="s">
        <v>186</v>
      </c>
      <c r="F683" s="1" t="s">
        <v>187</v>
      </c>
      <c r="G683" s="1" t="s">
        <v>17</v>
      </c>
      <c r="H683">
        <v>1</v>
      </c>
      <c r="I683" s="1" t="s">
        <v>18</v>
      </c>
      <c r="J683">
        <v>4.8</v>
      </c>
      <c r="K683" s="1" t="s">
        <v>83</v>
      </c>
      <c r="L683">
        <v>0.75</v>
      </c>
    </row>
    <row r="684" spans="1:12" x14ac:dyDescent="0.3">
      <c r="A684" s="1" t="s">
        <v>1457</v>
      </c>
      <c r="B684" s="1" t="s">
        <v>1458</v>
      </c>
      <c r="C684" s="1" t="s">
        <v>54</v>
      </c>
      <c r="D684">
        <v>52</v>
      </c>
      <c r="E684" s="1" t="s">
        <v>190</v>
      </c>
      <c r="F684" s="1" t="s">
        <v>81</v>
      </c>
      <c r="G684" s="1" t="s">
        <v>33</v>
      </c>
      <c r="H684">
        <v>30</v>
      </c>
      <c r="I684" s="1" t="s">
        <v>26</v>
      </c>
      <c r="J684">
        <v>2.5</v>
      </c>
      <c r="K684" s="1" t="s">
        <v>65</v>
      </c>
      <c r="L684">
        <v>61</v>
      </c>
    </row>
    <row r="685" spans="1:12" x14ac:dyDescent="0.3">
      <c r="A685" s="1" t="s">
        <v>1459</v>
      </c>
      <c r="B685" s="1" t="s">
        <v>1460</v>
      </c>
      <c r="C685" s="1" t="s">
        <v>69</v>
      </c>
      <c r="D685">
        <v>60</v>
      </c>
      <c r="E685" s="1" t="s">
        <v>138</v>
      </c>
      <c r="F685" s="1" t="s">
        <v>24</v>
      </c>
      <c r="G685" s="1" t="s">
        <v>17</v>
      </c>
      <c r="H685">
        <v>7</v>
      </c>
      <c r="I685" s="1" t="s">
        <v>119</v>
      </c>
      <c r="J685">
        <v>0</v>
      </c>
      <c r="K685" s="1" t="s">
        <v>170</v>
      </c>
      <c r="L685">
        <v>0.97</v>
      </c>
    </row>
    <row r="686" spans="1:12" x14ac:dyDescent="0.3">
      <c r="A686" s="1" t="s">
        <v>1461</v>
      </c>
      <c r="B686" s="1" t="s">
        <v>1462</v>
      </c>
      <c r="C686" s="1" t="s">
        <v>38</v>
      </c>
      <c r="D686">
        <v>33</v>
      </c>
      <c r="E686" s="1" t="s">
        <v>95</v>
      </c>
      <c r="F686" s="1" t="s">
        <v>96</v>
      </c>
      <c r="G686" s="1" t="s">
        <v>82</v>
      </c>
      <c r="H686">
        <v>0</v>
      </c>
      <c r="I686" s="1" t="s">
        <v>240</v>
      </c>
      <c r="J686">
        <v>1.7</v>
      </c>
      <c r="K686" s="1" t="s">
        <v>27</v>
      </c>
      <c r="L686">
        <v>95</v>
      </c>
    </row>
    <row r="687" spans="1:12" x14ac:dyDescent="0.3">
      <c r="A687" s="1" t="s">
        <v>1463</v>
      </c>
      <c r="B687" s="1" t="s">
        <v>1464</v>
      </c>
      <c r="C687" s="1" t="s">
        <v>102</v>
      </c>
      <c r="D687">
        <v>52</v>
      </c>
      <c r="E687" s="1" t="s">
        <v>122</v>
      </c>
      <c r="F687" s="1" t="s">
        <v>123</v>
      </c>
      <c r="G687" s="1" t="s">
        <v>33</v>
      </c>
      <c r="H687">
        <v>21</v>
      </c>
      <c r="I687" s="1" t="s">
        <v>61</v>
      </c>
      <c r="J687">
        <v>4</v>
      </c>
      <c r="K687" s="1" t="s">
        <v>65</v>
      </c>
      <c r="L687">
        <v>0.69</v>
      </c>
    </row>
    <row r="688" spans="1:12" x14ac:dyDescent="0.3">
      <c r="A688" s="1" t="s">
        <v>1465</v>
      </c>
      <c r="B688" s="1" t="s">
        <v>1466</v>
      </c>
      <c r="C688" s="1" t="s">
        <v>14</v>
      </c>
      <c r="D688">
        <v>25</v>
      </c>
      <c r="E688" s="1" t="s">
        <v>31</v>
      </c>
      <c r="F688" s="1" t="s">
        <v>32</v>
      </c>
      <c r="G688" s="1" t="s">
        <v>99</v>
      </c>
      <c r="H688">
        <v>7</v>
      </c>
      <c r="I688" s="1" t="s">
        <v>26</v>
      </c>
      <c r="J688">
        <v>1.9</v>
      </c>
      <c r="K688" s="1" t="s">
        <v>51</v>
      </c>
      <c r="L688">
        <v>0.63</v>
      </c>
    </row>
    <row r="689" spans="1:12" x14ac:dyDescent="0.3">
      <c r="A689" s="1" t="s">
        <v>1467</v>
      </c>
      <c r="B689" s="1" t="s">
        <v>1468</v>
      </c>
      <c r="C689" s="1" t="s">
        <v>102</v>
      </c>
      <c r="D689">
        <v>33</v>
      </c>
      <c r="E689" s="1" t="s">
        <v>95</v>
      </c>
      <c r="F689" s="1" t="s">
        <v>96</v>
      </c>
      <c r="G689" s="1" t="s">
        <v>87</v>
      </c>
      <c r="I689" s="1" t="s">
        <v>119</v>
      </c>
      <c r="J689">
        <v>4.4000000000000004</v>
      </c>
      <c r="K689" s="1" t="s">
        <v>66</v>
      </c>
      <c r="L689">
        <v>0.65</v>
      </c>
    </row>
    <row r="690" spans="1:12" x14ac:dyDescent="0.3">
      <c r="A690" s="1" t="s">
        <v>1469</v>
      </c>
      <c r="B690" s="1" t="s">
        <v>1470</v>
      </c>
      <c r="C690" s="1" t="s">
        <v>14</v>
      </c>
      <c r="D690">
        <v>33</v>
      </c>
      <c r="E690" s="1" t="s">
        <v>186</v>
      </c>
      <c r="F690" s="1" t="s">
        <v>187</v>
      </c>
      <c r="G690" s="1" t="s">
        <v>25</v>
      </c>
      <c r="I690" s="1" t="s">
        <v>65</v>
      </c>
      <c r="J690">
        <v>4.2</v>
      </c>
      <c r="K690" s="1" t="s">
        <v>83</v>
      </c>
      <c r="L690">
        <v>0.9</v>
      </c>
    </row>
    <row r="691" spans="1:12" x14ac:dyDescent="0.3">
      <c r="A691" s="1" t="s">
        <v>1471</v>
      </c>
      <c r="B691" s="1" t="s">
        <v>46</v>
      </c>
      <c r="C691" s="1" t="s">
        <v>86</v>
      </c>
      <c r="D691">
        <v>52</v>
      </c>
      <c r="E691" s="1" t="s">
        <v>138</v>
      </c>
      <c r="F691" s="1" t="s">
        <v>24</v>
      </c>
      <c r="G691" s="1" t="s">
        <v>82</v>
      </c>
      <c r="H691">
        <v>25</v>
      </c>
      <c r="I691" s="1" t="s">
        <v>18</v>
      </c>
      <c r="J691">
        <v>4.8</v>
      </c>
      <c r="K691" s="1" t="s">
        <v>35</v>
      </c>
    </row>
    <row r="692" spans="1:12" x14ac:dyDescent="0.3">
      <c r="A692" s="1" t="s">
        <v>1472</v>
      </c>
      <c r="B692" s="1" t="s">
        <v>1473</v>
      </c>
      <c r="C692" s="1" t="s">
        <v>14</v>
      </c>
      <c r="D692">
        <v>20</v>
      </c>
      <c r="E692" s="1" t="s">
        <v>55</v>
      </c>
      <c r="F692" s="1" t="s">
        <v>56</v>
      </c>
      <c r="G692" s="1" t="s">
        <v>39</v>
      </c>
      <c r="H692">
        <v>1</v>
      </c>
      <c r="I692" s="1" t="s">
        <v>119</v>
      </c>
      <c r="J692">
        <v>2</v>
      </c>
      <c r="K692" s="1" t="s">
        <v>170</v>
      </c>
      <c r="L692">
        <v>0.89</v>
      </c>
    </row>
    <row r="693" spans="1:12" x14ac:dyDescent="0.3">
      <c r="A693" s="1" t="s">
        <v>1474</v>
      </c>
      <c r="B693" s="1" t="s">
        <v>1475</v>
      </c>
      <c r="C693" s="1" t="s">
        <v>22</v>
      </c>
      <c r="D693">
        <v>43</v>
      </c>
      <c r="E693" s="1" t="s">
        <v>134</v>
      </c>
      <c r="F693" s="1" t="s">
        <v>135</v>
      </c>
      <c r="G693" s="1" t="s">
        <v>57</v>
      </c>
      <c r="H693">
        <v>7</v>
      </c>
      <c r="I693" s="1" t="s">
        <v>108</v>
      </c>
      <c r="K693" s="1" t="s">
        <v>27</v>
      </c>
      <c r="L693">
        <v>0.8</v>
      </c>
    </row>
    <row r="694" spans="1:12" x14ac:dyDescent="0.3">
      <c r="A694" s="1" t="s">
        <v>1476</v>
      </c>
      <c r="B694" s="1" t="s">
        <v>1432</v>
      </c>
      <c r="C694" s="1" t="s">
        <v>43</v>
      </c>
      <c r="D694">
        <v>31</v>
      </c>
      <c r="E694" s="1" t="s">
        <v>145</v>
      </c>
      <c r="F694" s="1" t="s">
        <v>146</v>
      </c>
      <c r="G694" s="1" t="s">
        <v>25</v>
      </c>
      <c r="I694" s="1" t="s">
        <v>34</v>
      </c>
      <c r="J694">
        <v>1.4</v>
      </c>
      <c r="K694" s="1" t="s">
        <v>170</v>
      </c>
      <c r="L694">
        <v>0.8</v>
      </c>
    </row>
    <row r="695" spans="1:12" x14ac:dyDescent="0.3">
      <c r="A695" s="1" t="s">
        <v>1477</v>
      </c>
      <c r="B695" s="1" t="s">
        <v>1478</v>
      </c>
      <c r="C695" s="1" t="s">
        <v>22</v>
      </c>
      <c r="D695">
        <v>29</v>
      </c>
      <c r="E695" s="1" t="s">
        <v>31</v>
      </c>
      <c r="F695" s="1" t="s">
        <v>32</v>
      </c>
      <c r="G695" s="1" t="s">
        <v>57</v>
      </c>
      <c r="H695">
        <v>6</v>
      </c>
      <c r="I695" s="1" t="s">
        <v>18</v>
      </c>
      <c r="J695">
        <v>1.8</v>
      </c>
      <c r="K695" s="1" t="s">
        <v>35</v>
      </c>
    </row>
    <row r="696" spans="1:12" x14ac:dyDescent="0.3">
      <c r="A696" s="1" t="s">
        <v>1479</v>
      </c>
      <c r="B696" s="1" t="s">
        <v>850</v>
      </c>
      <c r="C696" s="1" t="s">
        <v>22</v>
      </c>
      <c r="D696">
        <v>53</v>
      </c>
      <c r="E696" s="1" t="s">
        <v>164</v>
      </c>
      <c r="F696" s="1" t="s">
        <v>165</v>
      </c>
      <c r="G696" s="1" t="s">
        <v>33</v>
      </c>
      <c r="H696">
        <v>35</v>
      </c>
      <c r="I696" s="1" t="s">
        <v>65</v>
      </c>
      <c r="J696">
        <v>0</v>
      </c>
      <c r="K696" s="1" t="s">
        <v>27</v>
      </c>
      <c r="L696">
        <v>0.67</v>
      </c>
    </row>
    <row r="697" spans="1:12" x14ac:dyDescent="0.3">
      <c r="A697" s="1" t="s">
        <v>1480</v>
      </c>
      <c r="B697" s="1" t="s">
        <v>1481</v>
      </c>
      <c r="C697" s="1" t="s">
        <v>30</v>
      </c>
      <c r="D697">
        <v>38</v>
      </c>
      <c r="E697" s="1" t="s">
        <v>103</v>
      </c>
      <c r="F697" s="1" t="s">
        <v>104</v>
      </c>
      <c r="G697" s="1" t="s">
        <v>25</v>
      </c>
      <c r="H697">
        <v>1</v>
      </c>
      <c r="I697" s="1" t="s">
        <v>61</v>
      </c>
      <c r="J697">
        <v>0</v>
      </c>
      <c r="K697" s="1" t="s">
        <v>19</v>
      </c>
      <c r="L697">
        <v>0.96</v>
      </c>
    </row>
    <row r="698" spans="1:12" x14ac:dyDescent="0.3">
      <c r="A698" s="1" t="s">
        <v>1482</v>
      </c>
      <c r="B698" s="1" t="s">
        <v>1483</v>
      </c>
      <c r="C698" s="1" t="s">
        <v>107</v>
      </c>
      <c r="D698">
        <v>29</v>
      </c>
      <c r="E698" s="1" t="s">
        <v>201</v>
      </c>
      <c r="F698" s="1" t="s">
        <v>81</v>
      </c>
      <c r="G698" s="1" t="s">
        <v>33</v>
      </c>
      <c r="I698" s="1" t="s">
        <v>151</v>
      </c>
      <c r="J698">
        <v>0</v>
      </c>
      <c r="K698" s="1" t="s">
        <v>19</v>
      </c>
      <c r="L698">
        <v>0.9</v>
      </c>
    </row>
    <row r="699" spans="1:12" x14ac:dyDescent="0.3">
      <c r="A699" s="1" t="s">
        <v>1484</v>
      </c>
      <c r="B699" s="1" t="s">
        <v>1485</v>
      </c>
      <c r="C699" s="1" t="s">
        <v>102</v>
      </c>
      <c r="D699">
        <v>42</v>
      </c>
      <c r="E699" s="1" t="s">
        <v>122</v>
      </c>
      <c r="F699" s="1" t="s">
        <v>123</v>
      </c>
      <c r="G699" s="1" t="s">
        <v>82</v>
      </c>
      <c r="H699">
        <v>0</v>
      </c>
      <c r="I699" s="1" t="s">
        <v>65</v>
      </c>
      <c r="J699">
        <v>3.9</v>
      </c>
      <c r="K699" s="1" t="s">
        <v>51</v>
      </c>
      <c r="L699">
        <v>0.62</v>
      </c>
    </row>
    <row r="700" spans="1:12" x14ac:dyDescent="0.3">
      <c r="A700" s="1" t="s">
        <v>1486</v>
      </c>
      <c r="B700" s="1" t="s">
        <v>1487</v>
      </c>
      <c r="C700" s="1" t="s">
        <v>14</v>
      </c>
      <c r="D700">
        <v>54</v>
      </c>
      <c r="E700" s="1" t="s">
        <v>64</v>
      </c>
      <c r="F700" s="1" t="s">
        <v>24</v>
      </c>
      <c r="G700" s="1" t="s">
        <v>124</v>
      </c>
      <c r="H700">
        <v>9</v>
      </c>
      <c r="I700" s="1" t="s">
        <v>18</v>
      </c>
      <c r="K700" s="1" t="s">
        <v>35</v>
      </c>
      <c r="L700">
        <v>0.72</v>
      </c>
    </row>
    <row r="701" spans="1:12" x14ac:dyDescent="0.3">
      <c r="A701" s="1" t="s">
        <v>1488</v>
      </c>
      <c r="B701" s="1" t="s">
        <v>1489</v>
      </c>
      <c r="C701" s="1" t="s">
        <v>69</v>
      </c>
      <c r="D701">
        <v>56</v>
      </c>
      <c r="E701" s="1" t="s">
        <v>186</v>
      </c>
      <c r="F701" s="1" t="s">
        <v>187</v>
      </c>
      <c r="G701" s="1" t="s">
        <v>82</v>
      </c>
      <c r="H701">
        <v>18</v>
      </c>
      <c r="I701" s="1" t="s">
        <v>108</v>
      </c>
      <c r="J701">
        <v>4.4000000000000004</v>
      </c>
      <c r="K701" s="1" t="s">
        <v>83</v>
      </c>
      <c r="L701">
        <v>0.83</v>
      </c>
    </row>
    <row r="702" spans="1:12" x14ac:dyDescent="0.3">
      <c r="A702" s="1" t="s">
        <v>1490</v>
      </c>
      <c r="B702" s="1" t="s">
        <v>1491</v>
      </c>
      <c r="C702" s="1" t="s">
        <v>14</v>
      </c>
      <c r="D702">
        <v>47</v>
      </c>
      <c r="E702" s="1" t="s">
        <v>70</v>
      </c>
      <c r="F702" s="1" t="s">
        <v>71</v>
      </c>
      <c r="G702" s="1" t="s">
        <v>33</v>
      </c>
      <c r="H702">
        <v>22</v>
      </c>
      <c r="I702" s="1" t="s">
        <v>18</v>
      </c>
      <c r="J702">
        <v>4.4000000000000004</v>
      </c>
      <c r="K702" s="1" t="s">
        <v>170</v>
      </c>
      <c r="L702">
        <v>0.7</v>
      </c>
    </row>
    <row r="703" spans="1:12" x14ac:dyDescent="0.3">
      <c r="A703" s="1" t="s">
        <v>1492</v>
      </c>
      <c r="B703" s="1" t="s">
        <v>1493</v>
      </c>
      <c r="C703" s="1" t="s">
        <v>54</v>
      </c>
      <c r="D703">
        <v>45</v>
      </c>
      <c r="E703" s="1" t="s">
        <v>134</v>
      </c>
      <c r="F703" s="1" t="s">
        <v>135</v>
      </c>
      <c r="G703" s="1" t="s">
        <v>17</v>
      </c>
      <c r="H703">
        <v>25</v>
      </c>
      <c r="I703" s="1" t="s">
        <v>34</v>
      </c>
      <c r="J703">
        <v>0</v>
      </c>
      <c r="K703" s="1" t="s">
        <v>170</v>
      </c>
      <c r="L703">
        <v>99</v>
      </c>
    </row>
    <row r="704" spans="1:12" x14ac:dyDescent="0.3">
      <c r="A704" s="1" t="s">
        <v>1494</v>
      </c>
      <c r="B704" s="1" t="s">
        <v>1495</v>
      </c>
      <c r="C704" s="1" t="s">
        <v>102</v>
      </c>
      <c r="D704">
        <v>45</v>
      </c>
      <c r="E704" s="1" t="s">
        <v>186</v>
      </c>
      <c r="F704" s="1" t="s">
        <v>187</v>
      </c>
      <c r="G704" s="1" t="s">
        <v>57</v>
      </c>
      <c r="H704">
        <v>6</v>
      </c>
      <c r="I704" s="1" t="s">
        <v>34</v>
      </c>
      <c r="J704">
        <v>1.4</v>
      </c>
      <c r="K704" s="1" t="s">
        <v>65</v>
      </c>
      <c r="L704">
        <v>97</v>
      </c>
    </row>
    <row r="705" spans="1:12" x14ac:dyDescent="0.3">
      <c r="A705" s="1" t="s">
        <v>1496</v>
      </c>
      <c r="B705" s="1" t="s">
        <v>1497</v>
      </c>
      <c r="C705" s="1" t="s">
        <v>102</v>
      </c>
      <c r="D705">
        <v>35</v>
      </c>
      <c r="E705" s="1" t="s">
        <v>138</v>
      </c>
      <c r="F705" s="1" t="s">
        <v>24</v>
      </c>
      <c r="G705" s="1" t="s">
        <v>124</v>
      </c>
      <c r="H705">
        <v>10</v>
      </c>
      <c r="I705" s="1" t="s">
        <v>151</v>
      </c>
      <c r="J705">
        <v>3.2</v>
      </c>
      <c r="K705" s="1" t="s">
        <v>66</v>
      </c>
      <c r="L705">
        <v>0.77</v>
      </c>
    </row>
    <row r="706" spans="1:12" x14ac:dyDescent="0.3">
      <c r="A706" s="1" t="s">
        <v>1498</v>
      </c>
      <c r="B706" s="1" t="s">
        <v>1499</v>
      </c>
      <c r="C706" s="1" t="s">
        <v>30</v>
      </c>
      <c r="D706">
        <v>51</v>
      </c>
      <c r="E706" s="1" t="s">
        <v>138</v>
      </c>
      <c r="F706" s="1" t="s">
        <v>24</v>
      </c>
      <c r="G706" s="1" t="s">
        <v>99</v>
      </c>
      <c r="H706">
        <v>4</v>
      </c>
      <c r="I706" s="1" t="s">
        <v>108</v>
      </c>
      <c r="J706">
        <v>2</v>
      </c>
      <c r="K706" s="1" t="s">
        <v>170</v>
      </c>
      <c r="L706">
        <v>0.92</v>
      </c>
    </row>
    <row r="707" spans="1:12" x14ac:dyDescent="0.3">
      <c r="A707" s="1" t="s">
        <v>1500</v>
      </c>
      <c r="B707" s="1" t="s">
        <v>1501</v>
      </c>
      <c r="C707" s="1" t="s">
        <v>38</v>
      </c>
      <c r="D707">
        <v>34</v>
      </c>
      <c r="E707" s="1" t="s">
        <v>201</v>
      </c>
      <c r="F707" s="1" t="s">
        <v>81</v>
      </c>
      <c r="G707" s="1" t="s">
        <v>25</v>
      </c>
      <c r="H707">
        <v>11</v>
      </c>
      <c r="I707" s="1" t="s">
        <v>34</v>
      </c>
      <c r="J707">
        <v>3.3</v>
      </c>
      <c r="K707" s="1" t="s">
        <v>77</v>
      </c>
      <c r="L707">
        <v>0.76</v>
      </c>
    </row>
    <row r="708" spans="1:12" x14ac:dyDescent="0.3">
      <c r="A708" s="1" t="s">
        <v>1502</v>
      </c>
      <c r="B708" s="1" t="s">
        <v>1503</v>
      </c>
      <c r="C708" s="1" t="s">
        <v>22</v>
      </c>
      <c r="D708">
        <v>51</v>
      </c>
      <c r="E708" s="1" t="s">
        <v>55</v>
      </c>
      <c r="F708" s="1" t="s">
        <v>56</v>
      </c>
      <c r="G708" s="1" t="s">
        <v>33</v>
      </c>
      <c r="H708">
        <v>1</v>
      </c>
      <c r="I708" s="1" t="s">
        <v>72</v>
      </c>
      <c r="J708">
        <v>0</v>
      </c>
      <c r="K708" s="1" t="s">
        <v>83</v>
      </c>
      <c r="L708">
        <v>0.97</v>
      </c>
    </row>
    <row r="709" spans="1:12" x14ac:dyDescent="0.3">
      <c r="A709" s="1" t="s">
        <v>1504</v>
      </c>
      <c r="B709" s="1" t="s">
        <v>1505</v>
      </c>
      <c r="C709" s="1" t="s">
        <v>102</v>
      </c>
      <c r="D709">
        <v>58</v>
      </c>
      <c r="E709" s="1" t="s">
        <v>149</v>
      </c>
      <c r="F709" s="1" t="s">
        <v>150</v>
      </c>
      <c r="G709" s="1" t="s">
        <v>33</v>
      </c>
      <c r="H709">
        <v>35</v>
      </c>
      <c r="I709" s="1" t="s">
        <v>26</v>
      </c>
      <c r="J709">
        <v>2.2999999999999998</v>
      </c>
      <c r="K709" s="1" t="s">
        <v>83</v>
      </c>
    </row>
    <row r="710" spans="1:12" x14ac:dyDescent="0.3">
      <c r="A710" s="1" t="s">
        <v>1506</v>
      </c>
      <c r="B710" s="1" t="s">
        <v>1507</v>
      </c>
      <c r="C710" s="1" t="s">
        <v>14</v>
      </c>
      <c r="D710">
        <v>36</v>
      </c>
      <c r="E710" s="1" t="s">
        <v>47</v>
      </c>
      <c r="F710" s="1" t="s">
        <v>48</v>
      </c>
      <c r="G710" s="1" t="s">
        <v>39</v>
      </c>
      <c r="H710">
        <v>17</v>
      </c>
      <c r="I710" s="1" t="s">
        <v>131</v>
      </c>
      <c r="J710">
        <v>0</v>
      </c>
      <c r="K710" s="1" t="s">
        <v>27</v>
      </c>
      <c r="L710">
        <v>99</v>
      </c>
    </row>
    <row r="711" spans="1:12" x14ac:dyDescent="0.3">
      <c r="A711" s="1" t="s">
        <v>1508</v>
      </c>
      <c r="B711" s="1" t="s">
        <v>1509</v>
      </c>
      <c r="C711" s="1" t="s">
        <v>69</v>
      </c>
      <c r="E711" s="1" t="s">
        <v>134</v>
      </c>
      <c r="F711" s="1" t="s">
        <v>135</v>
      </c>
      <c r="G711" s="1" t="s">
        <v>49</v>
      </c>
      <c r="H711">
        <v>12</v>
      </c>
      <c r="I711" s="1" t="s">
        <v>44</v>
      </c>
      <c r="J711">
        <v>2.6</v>
      </c>
      <c r="K711" s="1" t="s">
        <v>83</v>
      </c>
    </row>
    <row r="712" spans="1:12" x14ac:dyDescent="0.3">
      <c r="A712" s="1" t="s">
        <v>1510</v>
      </c>
      <c r="B712" s="1" t="s">
        <v>1511</v>
      </c>
      <c r="C712" s="1" t="s">
        <v>102</v>
      </c>
      <c r="D712">
        <v>56</v>
      </c>
      <c r="E712" s="1" t="s">
        <v>164</v>
      </c>
      <c r="F712" s="1" t="s">
        <v>165</v>
      </c>
      <c r="G712" s="1" t="s">
        <v>124</v>
      </c>
      <c r="H712">
        <v>30</v>
      </c>
      <c r="I712" s="1" t="s">
        <v>76</v>
      </c>
      <c r="J712">
        <v>3.3</v>
      </c>
      <c r="K712" s="1" t="s">
        <v>77</v>
      </c>
      <c r="L712">
        <v>0.82</v>
      </c>
    </row>
    <row r="713" spans="1:12" x14ac:dyDescent="0.3">
      <c r="A713" s="1" t="s">
        <v>1512</v>
      </c>
      <c r="B713" s="1" t="s">
        <v>1513</v>
      </c>
      <c r="C713" s="1" t="s">
        <v>14</v>
      </c>
      <c r="D713">
        <v>58</v>
      </c>
      <c r="E713" s="1" t="s">
        <v>138</v>
      </c>
      <c r="F713" s="1" t="s">
        <v>24</v>
      </c>
      <c r="G713" s="1" t="s">
        <v>87</v>
      </c>
      <c r="H713">
        <v>20</v>
      </c>
      <c r="I713" s="1" t="s">
        <v>92</v>
      </c>
      <c r="J713">
        <v>3.6</v>
      </c>
      <c r="K713" s="1" t="s">
        <v>77</v>
      </c>
      <c r="L713">
        <v>0.78</v>
      </c>
    </row>
    <row r="714" spans="1:12" x14ac:dyDescent="0.3">
      <c r="A714" s="1" t="s">
        <v>1514</v>
      </c>
      <c r="B714" s="1" t="s">
        <v>1515</v>
      </c>
      <c r="C714" s="1" t="s">
        <v>14</v>
      </c>
      <c r="D714">
        <v>58</v>
      </c>
      <c r="E714" s="1" t="s">
        <v>64</v>
      </c>
      <c r="F714" s="1" t="s">
        <v>24</v>
      </c>
      <c r="G714" s="1" t="s">
        <v>87</v>
      </c>
      <c r="H714">
        <v>22</v>
      </c>
      <c r="I714" s="1" t="s">
        <v>18</v>
      </c>
      <c r="J714">
        <v>3.7</v>
      </c>
      <c r="K714" s="1" t="s">
        <v>19</v>
      </c>
    </row>
    <row r="715" spans="1:12" x14ac:dyDescent="0.3">
      <c r="A715" s="1" t="s">
        <v>1516</v>
      </c>
      <c r="B715" s="1" t="s">
        <v>1517</v>
      </c>
      <c r="C715" s="1" t="s">
        <v>38</v>
      </c>
      <c r="D715">
        <v>54</v>
      </c>
      <c r="E715" s="1" t="s">
        <v>75</v>
      </c>
      <c r="F715" s="1" t="s">
        <v>24</v>
      </c>
      <c r="G715" s="1" t="s">
        <v>49</v>
      </c>
      <c r="H715">
        <v>32</v>
      </c>
      <c r="I715" s="1" t="s">
        <v>131</v>
      </c>
      <c r="J715">
        <v>3.4</v>
      </c>
      <c r="K715" s="1" t="s">
        <v>170</v>
      </c>
    </row>
    <row r="716" spans="1:12" x14ac:dyDescent="0.3">
      <c r="A716" s="1" t="s">
        <v>1518</v>
      </c>
      <c r="B716" s="1" t="s">
        <v>1519</v>
      </c>
      <c r="C716" s="1" t="s">
        <v>30</v>
      </c>
      <c r="D716">
        <v>53</v>
      </c>
      <c r="E716" s="1" t="s">
        <v>23</v>
      </c>
      <c r="F716" s="1" t="s">
        <v>24</v>
      </c>
      <c r="G716" s="1" t="s">
        <v>82</v>
      </c>
      <c r="H716">
        <v>9</v>
      </c>
      <c r="I716" s="1" t="s">
        <v>34</v>
      </c>
      <c r="J716">
        <v>4</v>
      </c>
      <c r="K716" s="1" t="s">
        <v>83</v>
      </c>
      <c r="L716">
        <v>0.72</v>
      </c>
    </row>
    <row r="717" spans="1:12" x14ac:dyDescent="0.3">
      <c r="A717" s="1" t="s">
        <v>1520</v>
      </c>
      <c r="B717" s="1" t="s">
        <v>1521</v>
      </c>
      <c r="C717" s="1" t="s">
        <v>86</v>
      </c>
      <c r="D717">
        <v>43</v>
      </c>
      <c r="E717" s="1" t="s">
        <v>23</v>
      </c>
      <c r="F717" s="1" t="s">
        <v>24</v>
      </c>
      <c r="G717" s="1" t="s">
        <v>39</v>
      </c>
      <c r="H717">
        <v>22</v>
      </c>
      <c r="I717" s="1" t="s">
        <v>76</v>
      </c>
      <c r="J717">
        <v>4.5</v>
      </c>
      <c r="K717" s="1" t="s">
        <v>65</v>
      </c>
    </row>
    <row r="718" spans="1:12" x14ac:dyDescent="0.3">
      <c r="A718" s="1" t="s">
        <v>1522</v>
      </c>
      <c r="B718" s="1" t="s">
        <v>1523</v>
      </c>
      <c r="C718" s="1" t="s">
        <v>102</v>
      </c>
      <c r="D718">
        <v>44</v>
      </c>
      <c r="E718" s="1" t="s">
        <v>122</v>
      </c>
      <c r="F718" s="1" t="s">
        <v>123</v>
      </c>
      <c r="G718" s="1" t="s">
        <v>124</v>
      </c>
      <c r="H718">
        <v>1</v>
      </c>
      <c r="I718" s="1" t="s">
        <v>92</v>
      </c>
      <c r="J718">
        <v>4.3</v>
      </c>
      <c r="K718" s="1" t="s">
        <v>27</v>
      </c>
    </row>
    <row r="719" spans="1:12" x14ac:dyDescent="0.3">
      <c r="A719" s="1" t="s">
        <v>1524</v>
      </c>
      <c r="B719" s="1" t="s">
        <v>1525</v>
      </c>
      <c r="C719" s="1" t="s">
        <v>102</v>
      </c>
      <c r="D719">
        <v>34</v>
      </c>
      <c r="E719" s="1" t="s">
        <v>138</v>
      </c>
      <c r="F719" s="1" t="s">
        <v>24</v>
      </c>
      <c r="G719" s="1" t="s">
        <v>87</v>
      </c>
      <c r="H719">
        <v>4</v>
      </c>
      <c r="I719" s="1" t="s">
        <v>92</v>
      </c>
      <c r="J719">
        <v>4</v>
      </c>
      <c r="K719" s="1" t="s">
        <v>27</v>
      </c>
    </row>
    <row r="720" spans="1:12" x14ac:dyDescent="0.3">
      <c r="A720" s="1" t="s">
        <v>1526</v>
      </c>
      <c r="B720" s="1" t="s">
        <v>1527</v>
      </c>
      <c r="C720" s="1" t="s">
        <v>43</v>
      </c>
      <c r="D720">
        <v>27</v>
      </c>
      <c r="E720" s="1" t="s">
        <v>117</v>
      </c>
      <c r="F720" s="1" t="s">
        <v>118</v>
      </c>
      <c r="G720" s="1" t="s">
        <v>25</v>
      </c>
      <c r="H720">
        <v>8</v>
      </c>
      <c r="I720" s="1" t="s">
        <v>72</v>
      </c>
      <c r="J720">
        <v>1.6</v>
      </c>
      <c r="K720" s="1" t="s">
        <v>77</v>
      </c>
    </row>
    <row r="721" spans="1:12" x14ac:dyDescent="0.3">
      <c r="A721" s="1" t="s">
        <v>1528</v>
      </c>
      <c r="B721" s="1" t="s">
        <v>1529</v>
      </c>
      <c r="C721" s="1" t="s">
        <v>54</v>
      </c>
      <c r="D721">
        <v>50</v>
      </c>
      <c r="E721" s="1" t="s">
        <v>95</v>
      </c>
      <c r="F721" s="1" t="s">
        <v>96</v>
      </c>
      <c r="G721" s="1" t="s">
        <v>57</v>
      </c>
      <c r="H721">
        <v>3</v>
      </c>
      <c r="I721" s="1" t="s">
        <v>18</v>
      </c>
      <c r="J721">
        <v>0</v>
      </c>
      <c r="K721" s="1" t="s">
        <v>83</v>
      </c>
    </row>
    <row r="722" spans="1:12" x14ac:dyDescent="0.3">
      <c r="A722" s="1" t="s">
        <v>1530</v>
      </c>
      <c r="B722" s="1" t="s">
        <v>1531</v>
      </c>
      <c r="C722" s="1" t="s">
        <v>43</v>
      </c>
      <c r="D722">
        <v>52</v>
      </c>
      <c r="E722" s="1" t="s">
        <v>122</v>
      </c>
      <c r="F722" s="1" t="s">
        <v>123</v>
      </c>
      <c r="G722" s="1" t="s">
        <v>82</v>
      </c>
      <c r="H722">
        <v>30</v>
      </c>
      <c r="I722" s="1" t="s">
        <v>92</v>
      </c>
      <c r="K722" s="1" t="s">
        <v>170</v>
      </c>
      <c r="L722">
        <v>0.94</v>
      </c>
    </row>
    <row r="723" spans="1:12" x14ac:dyDescent="0.3">
      <c r="A723" s="1" t="s">
        <v>1532</v>
      </c>
      <c r="B723" s="1" t="s">
        <v>1533</v>
      </c>
      <c r="C723" s="1" t="s">
        <v>69</v>
      </c>
      <c r="D723">
        <v>57</v>
      </c>
      <c r="E723" s="1" t="s">
        <v>201</v>
      </c>
      <c r="F723" s="1" t="s">
        <v>81</v>
      </c>
      <c r="G723" s="1" t="s">
        <v>17</v>
      </c>
      <c r="H723">
        <v>11</v>
      </c>
      <c r="I723" s="1" t="s">
        <v>325</v>
      </c>
      <c r="J723">
        <v>4.9000000000000004</v>
      </c>
      <c r="K723" s="1" t="s">
        <v>83</v>
      </c>
    </row>
    <row r="724" spans="1:12" x14ac:dyDescent="0.3">
      <c r="A724" s="1" t="s">
        <v>1534</v>
      </c>
      <c r="B724" s="1" t="s">
        <v>1535</v>
      </c>
      <c r="C724" s="1" t="s">
        <v>43</v>
      </c>
      <c r="D724">
        <v>53</v>
      </c>
      <c r="E724" s="1" t="s">
        <v>190</v>
      </c>
      <c r="F724" s="1" t="s">
        <v>81</v>
      </c>
      <c r="G724" s="1" t="s">
        <v>99</v>
      </c>
      <c r="H724">
        <v>8</v>
      </c>
      <c r="I724" s="1" t="s">
        <v>151</v>
      </c>
      <c r="J724">
        <v>2.8</v>
      </c>
      <c r="K724" s="1" t="s">
        <v>66</v>
      </c>
    </row>
    <row r="725" spans="1:12" x14ac:dyDescent="0.3">
      <c r="A725" s="1" t="s">
        <v>1536</v>
      </c>
      <c r="B725" s="1" t="s">
        <v>1537</v>
      </c>
      <c r="C725" s="1" t="s">
        <v>54</v>
      </c>
      <c r="D725">
        <v>51</v>
      </c>
      <c r="E725" s="1" t="s">
        <v>70</v>
      </c>
      <c r="F725" s="1" t="s">
        <v>71</v>
      </c>
      <c r="G725" s="1" t="s">
        <v>82</v>
      </c>
      <c r="H725">
        <v>11</v>
      </c>
      <c r="I725" s="1" t="s">
        <v>119</v>
      </c>
      <c r="J725">
        <v>3.6</v>
      </c>
      <c r="K725" s="1" t="s">
        <v>83</v>
      </c>
      <c r="L725">
        <v>0.77</v>
      </c>
    </row>
    <row r="726" spans="1:12" x14ac:dyDescent="0.3">
      <c r="A726" s="1" t="s">
        <v>1538</v>
      </c>
      <c r="B726" s="1" t="s">
        <v>1539</v>
      </c>
      <c r="C726" s="1" t="s">
        <v>22</v>
      </c>
      <c r="D726">
        <v>37</v>
      </c>
      <c r="E726" s="1" t="s">
        <v>138</v>
      </c>
      <c r="F726" s="1" t="s">
        <v>24</v>
      </c>
      <c r="G726" s="1" t="s">
        <v>87</v>
      </c>
      <c r="H726">
        <v>9</v>
      </c>
      <c r="I726" s="1" t="s">
        <v>72</v>
      </c>
      <c r="K726" s="1" t="s">
        <v>77</v>
      </c>
      <c r="L726">
        <v>84</v>
      </c>
    </row>
    <row r="727" spans="1:12" x14ac:dyDescent="0.3">
      <c r="A727" s="1" t="s">
        <v>1540</v>
      </c>
      <c r="B727" s="1" t="s">
        <v>1541</v>
      </c>
      <c r="C727" s="1" t="s">
        <v>69</v>
      </c>
      <c r="D727">
        <v>40</v>
      </c>
      <c r="E727" s="1" t="s">
        <v>201</v>
      </c>
      <c r="F727" s="1" t="s">
        <v>81</v>
      </c>
      <c r="G727" s="1" t="s">
        <v>39</v>
      </c>
      <c r="H727">
        <v>7</v>
      </c>
      <c r="I727" s="1" t="s">
        <v>76</v>
      </c>
      <c r="J727">
        <v>4.5</v>
      </c>
      <c r="K727" s="1" t="s">
        <v>65</v>
      </c>
      <c r="L727">
        <v>79</v>
      </c>
    </row>
    <row r="728" spans="1:12" x14ac:dyDescent="0.3">
      <c r="A728" s="1" t="s">
        <v>1542</v>
      </c>
      <c r="B728" s="1" t="s">
        <v>1543</v>
      </c>
      <c r="C728" s="1" t="s">
        <v>54</v>
      </c>
      <c r="D728">
        <v>60</v>
      </c>
      <c r="E728" s="1" t="s">
        <v>95</v>
      </c>
      <c r="F728" s="1" t="s">
        <v>96</v>
      </c>
      <c r="G728" s="1" t="s">
        <v>57</v>
      </c>
      <c r="H728">
        <v>24</v>
      </c>
      <c r="I728" s="1" t="s">
        <v>61</v>
      </c>
      <c r="J728">
        <v>3.1</v>
      </c>
      <c r="K728" s="1" t="s">
        <v>19</v>
      </c>
      <c r="L728">
        <v>0.69</v>
      </c>
    </row>
    <row r="729" spans="1:12" x14ac:dyDescent="0.3">
      <c r="A729" s="1" t="s">
        <v>1544</v>
      </c>
      <c r="B729" s="1" t="s">
        <v>1545</v>
      </c>
      <c r="C729" s="1" t="s">
        <v>102</v>
      </c>
      <c r="D729">
        <v>60</v>
      </c>
      <c r="E729" s="1" t="s">
        <v>145</v>
      </c>
      <c r="F729" s="1" t="s">
        <v>146</v>
      </c>
      <c r="G729" s="1" t="s">
        <v>82</v>
      </c>
      <c r="H729">
        <v>0</v>
      </c>
      <c r="I729" s="1" t="s">
        <v>76</v>
      </c>
      <c r="J729">
        <v>4.9000000000000004</v>
      </c>
      <c r="K729" s="1" t="s">
        <v>83</v>
      </c>
      <c r="L729">
        <v>0.68</v>
      </c>
    </row>
    <row r="730" spans="1:12" x14ac:dyDescent="0.3">
      <c r="A730" s="1" t="s">
        <v>1546</v>
      </c>
      <c r="B730" s="1" t="s">
        <v>1547</v>
      </c>
      <c r="C730" s="1" t="s">
        <v>86</v>
      </c>
      <c r="D730">
        <v>53</v>
      </c>
      <c r="E730" s="1" t="s">
        <v>122</v>
      </c>
      <c r="F730" s="1" t="s">
        <v>123</v>
      </c>
      <c r="G730" s="1" t="s">
        <v>82</v>
      </c>
      <c r="H730">
        <v>21</v>
      </c>
      <c r="I730" s="1" t="s">
        <v>50</v>
      </c>
      <c r="J730">
        <v>4.2</v>
      </c>
      <c r="K730" s="1" t="s">
        <v>27</v>
      </c>
      <c r="L730">
        <v>73</v>
      </c>
    </row>
    <row r="731" spans="1:12" x14ac:dyDescent="0.3">
      <c r="A731" s="1" t="s">
        <v>1548</v>
      </c>
      <c r="B731" s="1" t="s">
        <v>1549</v>
      </c>
      <c r="C731" s="1" t="s">
        <v>86</v>
      </c>
      <c r="D731">
        <v>20</v>
      </c>
      <c r="E731" s="1" t="s">
        <v>190</v>
      </c>
      <c r="F731" s="1" t="s">
        <v>81</v>
      </c>
      <c r="G731" s="1" t="s">
        <v>17</v>
      </c>
      <c r="H731">
        <v>0</v>
      </c>
      <c r="I731" s="1" t="s">
        <v>92</v>
      </c>
      <c r="J731">
        <v>3.2</v>
      </c>
      <c r="K731" s="1" t="s">
        <v>27</v>
      </c>
      <c r="L731">
        <v>0.74</v>
      </c>
    </row>
    <row r="732" spans="1:12" x14ac:dyDescent="0.3">
      <c r="A732" s="1" t="s">
        <v>1550</v>
      </c>
      <c r="B732" s="1" t="s">
        <v>1551</v>
      </c>
      <c r="C732" s="1" t="s">
        <v>69</v>
      </c>
      <c r="D732">
        <v>42</v>
      </c>
      <c r="E732" s="1" t="s">
        <v>134</v>
      </c>
      <c r="F732" s="1" t="s">
        <v>135</v>
      </c>
      <c r="G732" s="1" t="s">
        <v>39</v>
      </c>
      <c r="H732">
        <v>7</v>
      </c>
      <c r="I732" s="1" t="s">
        <v>325</v>
      </c>
      <c r="K732" s="1" t="s">
        <v>51</v>
      </c>
      <c r="L732">
        <v>1</v>
      </c>
    </row>
    <row r="733" spans="1:12" x14ac:dyDescent="0.3">
      <c r="A733" s="1" t="s">
        <v>1552</v>
      </c>
      <c r="B733" s="1" t="s">
        <v>1553</v>
      </c>
      <c r="C733" s="1" t="s">
        <v>102</v>
      </c>
      <c r="D733">
        <v>21</v>
      </c>
      <c r="E733" s="1" t="s">
        <v>75</v>
      </c>
      <c r="F733" s="1" t="s">
        <v>24</v>
      </c>
      <c r="G733" s="1" t="s">
        <v>25</v>
      </c>
      <c r="H733">
        <v>3</v>
      </c>
      <c r="I733" s="1" t="s">
        <v>76</v>
      </c>
      <c r="J733">
        <v>0</v>
      </c>
      <c r="K733" s="1" t="s">
        <v>19</v>
      </c>
      <c r="L733">
        <v>0.87</v>
      </c>
    </row>
    <row r="734" spans="1:12" x14ac:dyDescent="0.3">
      <c r="A734" s="1" t="s">
        <v>1554</v>
      </c>
      <c r="B734" s="1" t="s">
        <v>1555</v>
      </c>
      <c r="C734" s="1" t="s">
        <v>54</v>
      </c>
      <c r="D734">
        <v>39</v>
      </c>
      <c r="E734" s="1" t="s">
        <v>31</v>
      </c>
      <c r="F734" s="1" t="s">
        <v>32</v>
      </c>
      <c r="G734" s="1" t="s">
        <v>39</v>
      </c>
      <c r="H734">
        <v>21</v>
      </c>
      <c r="I734" s="1" t="s">
        <v>18</v>
      </c>
      <c r="J734">
        <v>2.2000000000000002</v>
      </c>
      <c r="K734" s="1" t="s">
        <v>19</v>
      </c>
      <c r="L734">
        <v>0.79</v>
      </c>
    </row>
    <row r="735" spans="1:12" x14ac:dyDescent="0.3">
      <c r="A735" s="1" t="s">
        <v>1556</v>
      </c>
      <c r="B735" s="1" t="s">
        <v>1557</v>
      </c>
      <c r="C735" s="1" t="s">
        <v>54</v>
      </c>
      <c r="D735">
        <v>32</v>
      </c>
      <c r="E735" s="1" t="s">
        <v>103</v>
      </c>
      <c r="F735" s="1" t="s">
        <v>104</v>
      </c>
      <c r="G735" s="1" t="s">
        <v>17</v>
      </c>
      <c r="I735" s="1" t="s">
        <v>44</v>
      </c>
      <c r="J735">
        <v>1.5</v>
      </c>
      <c r="K735" s="1" t="s">
        <v>19</v>
      </c>
      <c r="L735">
        <v>0.68</v>
      </c>
    </row>
    <row r="736" spans="1:12" x14ac:dyDescent="0.3">
      <c r="A736" s="1" t="s">
        <v>1558</v>
      </c>
      <c r="B736" s="1" t="s">
        <v>1559</v>
      </c>
      <c r="C736" s="1" t="s">
        <v>102</v>
      </c>
      <c r="D736">
        <v>35</v>
      </c>
      <c r="E736" s="1" t="s">
        <v>31</v>
      </c>
      <c r="F736" s="1" t="s">
        <v>32</v>
      </c>
      <c r="G736" s="1" t="s">
        <v>57</v>
      </c>
      <c r="I736" s="1" t="s">
        <v>26</v>
      </c>
      <c r="K736" s="1" t="s">
        <v>19</v>
      </c>
      <c r="L736">
        <v>0.84</v>
      </c>
    </row>
    <row r="737" spans="1:12" x14ac:dyDescent="0.3">
      <c r="A737" s="1" t="s">
        <v>1560</v>
      </c>
      <c r="B737" s="1" t="s">
        <v>1561</v>
      </c>
      <c r="C737" s="1" t="s">
        <v>14</v>
      </c>
      <c r="D737">
        <v>35</v>
      </c>
      <c r="E737" s="1" t="s">
        <v>145</v>
      </c>
      <c r="F737" s="1" t="s">
        <v>146</v>
      </c>
      <c r="G737" s="1" t="s">
        <v>82</v>
      </c>
      <c r="H737">
        <v>17</v>
      </c>
      <c r="I737" s="1" t="s">
        <v>34</v>
      </c>
      <c r="J737">
        <v>3.1</v>
      </c>
      <c r="K737" s="1" t="s">
        <v>19</v>
      </c>
      <c r="L737">
        <v>0.71</v>
      </c>
    </row>
    <row r="738" spans="1:12" x14ac:dyDescent="0.3">
      <c r="A738" s="1" t="s">
        <v>1562</v>
      </c>
      <c r="B738" s="1" t="s">
        <v>1563</v>
      </c>
      <c r="C738" s="1" t="s">
        <v>22</v>
      </c>
      <c r="D738">
        <v>23</v>
      </c>
      <c r="E738" s="1" t="s">
        <v>80</v>
      </c>
      <c r="F738" s="1" t="s">
        <v>81</v>
      </c>
      <c r="G738" s="1" t="s">
        <v>82</v>
      </c>
      <c r="H738">
        <v>0</v>
      </c>
      <c r="I738" s="1" t="s">
        <v>92</v>
      </c>
      <c r="J738">
        <v>0</v>
      </c>
      <c r="K738" s="1" t="s">
        <v>170</v>
      </c>
      <c r="L738">
        <v>0.92</v>
      </c>
    </row>
    <row r="739" spans="1:12" x14ac:dyDescent="0.3">
      <c r="A739" s="1" t="s">
        <v>1564</v>
      </c>
      <c r="B739" s="1" t="s">
        <v>1565</v>
      </c>
      <c r="C739" s="1" t="s">
        <v>102</v>
      </c>
      <c r="D739">
        <v>26</v>
      </c>
      <c r="E739" s="1" t="s">
        <v>47</v>
      </c>
      <c r="F739" s="1" t="s">
        <v>48</v>
      </c>
      <c r="G739" s="1" t="s">
        <v>49</v>
      </c>
      <c r="H739">
        <v>6</v>
      </c>
      <c r="I739" s="1" t="s">
        <v>26</v>
      </c>
      <c r="K739" s="1" t="s">
        <v>170</v>
      </c>
      <c r="L739">
        <v>0.69</v>
      </c>
    </row>
    <row r="740" spans="1:12" x14ac:dyDescent="0.3">
      <c r="A740" s="1" t="s">
        <v>1566</v>
      </c>
      <c r="B740" s="1" t="s">
        <v>1567</v>
      </c>
      <c r="C740" s="1" t="s">
        <v>38</v>
      </c>
      <c r="D740">
        <v>34</v>
      </c>
      <c r="E740" s="1" t="s">
        <v>138</v>
      </c>
      <c r="F740" s="1" t="s">
        <v>24</v>
      </c>
      <c r="G740" s="1" t="s">
        <v>124</v>
      </c>
      <c r="H740">
        <v>3</v>
      </c>
      <c r="I740" s="1" t="s">
        <v>65</v>
      </c>
      <c r="J740">
        <v>0</v>
      </c>
      <c r="K740" s="1" t="s">
        <v>27</v>
      </c>
      <c r="L740">
        <v>0.71</v>
      </c>
    </row>
    <row r="741" spans="1:12" x14ac:dyDescent="0.3">
      <c r="A741" s="1" t="s">
        <v>1568</v>
      </c>
      <c r="B741" s="1" t="s">
        <v>1569</v>
      </c>
      <c r="C741" s="1" t="s">
        <v>86</v>
      </c>
      <c r="D741">
        <v>34</v>
      </c>
      <c r="E741" s="1" t="s">
        <v>31</v>
      </c>
      <c r="F741" s="1" t="s">
        <v>32</v>
      </c>
      <c r="G741" s="1" t="s">
        <v>17</v>
      </c>
      <c r="H741">
        <v>3</v>
      </c>
      <c r="I741" s="1" t="s">
        <v>65</v>
      </c>
      <c r="K741" s="1" t="s">
        <v>51</v>
      </c>
      <c r="L741">
        <v>0.77</v>
      </c>
    </row>
    <row r="742" spans="1:12" x14ac:dyDescent="0.3">
      <c r="A742" s="1" t="s">
        <v>1570</v>
      </c>
      <c r="B742" s="1" t="s">
        <v>1571</v>
      </c>
      <c r="C742" s="1" t="s">
        <v>54</v>
      </c>
      <c r="D742">
        <v>57</v>
      </c>
      <c r="E742" s="1" t="s">
        <v>15</v>
      </c>
      <c r="F742" s="1" t="s">
        <v>16</v>
      </c>
      <c r="G742" s="1" t="s">
        <v>39</v>
      </c>
      <c r="H742">
        <v>31</v>
      </c>
      <c r="I742" s="1" t="s">
        <v>34</v>
      </c>
      <c r="J742">
        <v>3</v>
      </c>
      <c r="K742" s="1" t="s">
        <v>66</v>
      </c>
      <c r="L742">
        <v>0.87</v>
      </c>
    </row>
    <row r="743" spans="1:12" x14ac:dyDescent="0.3">
      <c r="A743" s="1" t="s">
        <v>1572</v>
      </c>
      <c r="B743" s="1" t="s">
        <v>1573</v>
      </c>
      <c r="C743" s="1" t="s">
        <v>69</v>
      </c>
      <c r="D743">
        <v>46</v>
      </c>
      <c r="E743" s="1" t="s">
        <v>138</v>
      </c>
      <c r="F743" s="1" t="s">
        <v>24</v>
      </c>
      <c r="G743" s="1" t="s">
        <v>39</v>
      </c>
      <c r="H743">
        <v>5</v>
      </c>
      <c r="I743" s="1" t="s">
        <v>50</v>
      </c>
      <c r="J743">
        <v>2.6</v>
      </c>
      <c r="K743" s="1" t="s">
        <v>170</v>
      </c>
      <c r="L743">
        <v>0.76</v>
      </c>
    </row>
    <row r="744" spans="1:12" x14ac:dyDescent="0.3">
      <c r="A744" s="1" t="s">
        <v>1574</v>
      </c>
      <c r="B744" s="1" t="s">
        <v>1575</v>
      </c>
      <c r="C744" s="1" t="s">
        <v>30</v>
      </c>
      <c r="D744">
        <v>55</v>
      </c>
      <c r="E744" s="1" t="s">
        <v>103</v>
      </c>
      <c r="F744" s="1" t="s">
        <v>104</v>
      </c>
      <c r="G744" s="1" t="s">
        <v>49</v>
      </c>
      <c r="H744">
        <v>37</v>
      </c>
      <c r="I744" s="1" t="s">
        <v>58</v>
      </c>
      <c r="J744">
        <v>4.0999999999999996</v>
      </c>
      <c r="K744" s="1" t="s">
        <v>170</v>
      </c>
    </row>
    <row r="745" spans="1:12" x14ac:dyDescent="0.3">
      <c r="A745" s="1" t="s">
        <v>1576</v>
      </c>
      <c r="B745" s="1" t="s">
        <v>1577</v>
      </c>
      <c r="C745" s="1" t="s">
        <v>22</v>
      </c>
      <c r="D745">
        <v>32</v>
      </c>
      <c r="E745" s="1" t="s">
        <v>23</v>
      </c>
      <c r="F745" s="1" t="s">
        <v>24</v>
      </c>
      <c r="G745" s="1" t="s">
        <v>99</v>
      </c>
      <c r="H745">
        <v>10</v>
      </c>
      <c r="I745" s="1" t="s">
        <v>108</v>
      </c>
      <c r="J745">
        <v>1.5</v>
      </c>
      <c r="K745" s="1" t="s">
        <v>51</v>
      </c>
      <c r="L745">
        <v>0.65</v>
      </c>
    </row>
    <row r="746" spans="1:12" x14ac:dyDescent="0.3">
      <c r="A746" s="1" t="s">
        <v>1578</v>
      </c>
      <c r="B746" s="1" t="s">
        <v>1579</v>
      </c>
      <c r="C746" s="1" t="s">
        <v>102</v>
      </c>
      <c r="D746">
        <v>53</v>
      </c>
      <c r="E746" s="1" t="s">
        <v>55</v>
      </c>
      <c r="F746" s="1" t="s">
        <v>56</v>
      </c>
      <c r="G746" s="1" t="s">
        <v>49</v>
      </c>
      <c r="H746">
        <v>28</v>
      </c>
      <c r="I746" s="1" t="s">
        <v>108</v>
      </c>
      <c r="J746">
        <v>2.9</v>
      </c>
      <c r="K746" s="1" t="s">
        <v>77</v>
      </c>
      <c r="L746">
        <v>0.82</v>
      </c>
    </row>
    <row r="747" spans="1:12" x14ac:dyDescent="0.3">
      <c r="A747" s="1" t="s">
        <v>1580</v>
      </c>
      <c r="B747" s="1" t="s">
        <v>1581</v>
      </c>
      <c r="C747" s="1" t="s">
        <v>30</v>
      </c>
      <c r="D747">
        <v>59</v>
      </c>
      <c r="E747" s="1" t="s">
        <v>190</v>
      </c>
      <c r="F747" s="1" t="s">
        <v>81</v>
      </c>
      <c r="G747" s="1" t="s">
        <v>49</v>
      </c>
      <c r="H747">
        <v>0</v>
      </c>
      <c r="I747" s="1" t="s">
        <v>18</v>
      </c>
      <c r="J747">
        <v>0</v>
      </c>
      <c r="K747" s="1" t="s">
        <v>83</v>
      </c>
      <c r="L747">
        <v>87</v>
      </c>
    </row>
    <row r="748" spans="1:12" x14ac:dyDescent="0.3">
      <c r="A748" s="1" t="s">
        <v>1582</v>
      </c>
      <c r="B748" s="1" t="s">
        <v>1583</v>
      </c>
      <c r="C748" s="1" t="s">
        <v>38</v>
      </c>
      <c r="D748">
        <v>44</v>
      </c>
      <c r="E748" s="1" t="s">
        <v>47</v>
      </c>
      <c r="F748" s="1" t="s">
        <v>48</v>
      </c>
      <c r="G748" s="1" t="s">
        <v>124</v>
      </c>
      <c r="H748">
        <v>19</v>
      </c>
      <c r="I748" s="1" t="s">
        <v>40</v>
      </c>
      <c r="J748">
        <v>4.9000000000000004</v>
      </c>
      <c r="K748" s="1" t="s">
        <v>35</v>
      </c>
      <c r="L748">
        <v>1</v>
      </c>
    </row>
    <row r="749" spans="1:12" x14ac:dyDescent="0.3">
      <c r="A749" s="1" t="s">
        <v>1584</v>
      </c>
      <c r="B749" s="1" t="s">
        <v>1585</v>
      </c>
      <c r="C749" s="1" t="s">
        <v>107</v>
      </c>
      <c r="D749">
        <v>35</v>
      </c>
      <c r="E749" s="1" t="s">
        <v>149</v>
      </c>
      <c r="F749" s="1" t="s">
        <v>150</v>
      </c>
      <c r="G749" s="1" t="s">
        <v>17</v>
      </c>
      <c r="H749">
        <v>9</v>
      </c>
      <c r="I749" s="1" t="s">
        <v>108</v>
      </c>
      <c r="J749">
        <v>3</v>
      </c>
      <c r="K749" s="1" t="s">
        <v>35</v>
      </c>
      <c r="L749">
        <v>71</v>
      </c>
    </row>
    <row r="750" spans="1:12" x14ac:dyDescent="0.3">
      <c r="A750" s="1" t="s">
        <v>1586</v>
      </c>
      <c r="B750" s="1" t="s">
        <v>1587</v>
      </c>
      <c r="C750" s="1" t="s">
        <v>14</v>
      </c>
      <c r="D750">
        <v>42</v>
      </c>
      <c r="E750" s="1" t="s">
        <v>186</v>
      </c>
      <c r="F750" s="1" t="s">
        <v>187</v>
      </c>
      <c r="G750" s="1" t="s">
        <v>124</v>
      </c>
      <c r="H750">
        <v>5</v>
      </c>
      <c r="I750" s="1" t="s">
        <v>44</v>
      </c>
      <c r="J750">
        <v>4.9000000000000004</v>
      </c>
      <c r="K750" s="1" t="s">
        <v>27</v>
      </c>
      <c r="L750">
        <v>87</v>
      </c>
    </row>
    <row r="751" spans="1:12" x14ac:dyDescent="0.3">
      <c r="A751" s="1" t="s">
        <v>1588</v>
      </c>
      <c r="B751" s="1" t="s">
        <v>1589</v>
      </c>
      <c r="C751" s="1" t="s">
        <v>14</v>
      </c>
      <c r="D751">
        <v>58</v>
      </c>
      <c r="E751" s="1" t="s">
        <v>122</v>
      </c>
      <c r="F751" s="1" t="s">
        <v>123</v>
      </c>
      <c r="G751" s="1" t="s">
        <v>17</v>
      </c>
      <c r="H751">
        <v>0</v>
      </c>
      <c r="I751" s="1" t="s">
        <v>119</v>
      </c>
      <c r="J751">
        <v>4.5999999999999996</v>
      </c>
      <c r="K751" s="1" t="s">
        <v>19</v>
      </c>
      <c r="L751">
        <v>70</v>
      </c>
    </row>
    <row r="752" spans="1:12" x14ac:dyDescent="0.3">
      <c r="A752" s="1" t="s">
        <v>1590</v>
      </c>
      <c r="B752" s="1" t="s">
        <v>1591</v>
      </c>
      <c r="C752" s="1" t="s">
        <v>69</v>
      </c>
      <c r="D752">
        <v>41</v>
      </c>
      <c r="E752" s="1" t="s">
        <v>47</v>
      </c>
      <c r="F752" s="1" t="s">
        <v>48</v>
      </c>
      <c r="G752" s="1" t="s">
        <v>49</v>
      </c>
      <c r="H752">
        <v>21</v>
      </c>
      <c r="I752" s="1" t="s">
        <v>26</v>
      </c>
      <c r="J752">
        <v>2.2000000000000002</v>
      </c>
      <c r="K752" s="1" t="s">
        <v>27</v>
      </c>
      <c r="L752">
        <v>0.83</v>
      </c>
    </row>
    <row r="753" spans="1:12" x14ac:dyDescent="0.3">
      <c r="A753" s="1" t="s">
        <v>1592</v>
      </c>
      <c r="B753" s="1" t="s">
        <v>1593</v>
      </c>
      <c r="C753" s="1" t="s">
        <v>43</v>
      </c>
      <c r="E753" s="1" t="s">
        <v>80</v>
      </c>
      <c r="F753" s="1" t="s">
        <v>81</v>
      </c>
      <c r="G753" s="1" t="s">
        <v>39</v>
      </c>
      <c r="H753">
        <v>0</v>
      </c>
      <c r="I753" s="1" t="s">
        <v>76</v>
      </c>
      <c r="K753" s="1" t="s">
        <v>83</v>
      </c>
      <c r="L753">
        <v>0.74</v>
      </c>
    </row>
    <row r="754" spans="1:12" x14ac:dyDescent="0.3">
      <c r="A754" s="1" t="s">
        <v>1594</v>
      </c>
      <c r="B754" s="1" t="s">
        <v>1595</v>
      </c>
      <c r="C754" s="1" t="s">
        <v>22</v>
      </c>
      <c r="D754">
        <v>23</v>
      </c>
      <c r="E754" s="1" t="s">
        <v>138</v>
      </c>
      <c r="F754" s="1" t="s">
        <v>24</v>
      </c>
      <c r="G754" s="1" t="s">
        <v>17</v>
      </c>
      <c r="H754">
        <v>0</v>
      </c>
      <c r="I754" s="1" t="s">
        <v>44</v>
      </c>
      <c r="J754">
        <v>1.1000000000000001</v>
      </c>
      <c r="K754" s="1" t="s">
        <v>77</v>
      </c>
      <c r="L754">
        <v>0.86</v>
      </c>
    </row>
    <row r="755" spans="1:12" x14ac:dyDescent="0.3">
      <c r="A755" s="1" t="s">
        <v>1596</v>
      </c>
      <c r="B755" s="1" t="s">
        <v>1597</v>
      </c>
      <c r="C755" s="1" t="s">
        <v>102</v>
      </c>
      <c r="D755">
        <v>51</v>
      </c>
      <c r="E755" s="1" t="s">
        <v>186</v>
      </c>
      <c r="F755" s="1" t="s">
        <v>187</v>
      </c>
      <c r="G755" s="1" t="s">
        <v>17</v>
      </c>
      <c r="H755">
        <v>17</v>
      </c>
      <c r="I755" s="1" t="s">
        <v>76</v>
      </c>
      <c r="J755">
        <v>4.5</v>
      </c>
      <c r="K755" s="1" t="s">
        <v>27</v>
      </c>
      <c r="L755">
        <v>0.72</v>
      </c>
    </row>
    <row r="756" spans="1:12" x14ac:dyDescent="0.3">
      <c r="A756" s="1" t="s">
        <v>1598</v>
      </c>
      <c r="B756" s="1" t="s">
        <v>1599</v>
      </c>
      <c r="C756" s="1" t="s">
        <v>22</v>
      </c>
      <c r="D756">
        <v>42</v>
      </c>
      <c r="E756" s="1" t="s">
        <v>145</v>
      </c>
      <c r="F756" s="1" t="s">
        <v>146</v>
      </c>
      <c r="G756" s="1" t="s">
        <v>49</v>
      </c>
      <c r="H756">
        <v>21</v>
      </c>
      <c r="I756" s="1" t="s">
        <v>65</v>
      </c>
      <c r="J756">
        <v>2.5</v>
      </c>
      <c r="K756" s="1" t="s">
        <v>66</v>
      </c>
      <c r="L756">
        <v>0.73</v>
      </c>
    </row>
    <row r="757" spans="1:12" x14ac:dyDescent="0.3">
      <c r="A757" s="1" t="s">
        <v>1600</v>
      </c>
      <c r="B757" s="1" t="s">
        <v>1601</v>
      </c>
      <c r="C757" s="1" t="s">
        <v>69</v>
      </c>
      <c r="D757">
        <v>26</v>
      </c>
      <c r="E757" s="1" t="s">
        <v>95</v>
      </c>
      <c r="F757" s="1" t="s">
        <v>96</v>
      </c>
      <c r="G757" s="1" t="s">
        <v>57</v>
      </c>
      <c r="H757">
        <v>7</v>
      </c>
      <c r="I757" s="1" t="s">
        <v>58</v>
      </c>
      <c r="J757">
        <v>2.9</v>
      </c>
      <c r="K757" s="1" t="s">
        <v>19</v>
      </c>
      <c r="L757">
        <v>0.78</v>
      </c>
    </row>
    <row r="758" spans="1:12" x14ac:dyDescent="0.3">
      <c r="A758" s="1" t="s">
        <v>1602</v>
      </c>
      <c r="B758" s="1" t="s">
        <v>1603</v>
      </c>
      <c r="C758" s="1" t="s">
        <v>14</v>
      </c>
      <c r="D758">
        <v>49</v>
      </c>
      <c r="E758" s="1" t="s">
        <v>55</v>
      </c>
      <c r="F758" s="1" t="s">
        <v>56</v>
      </c>
      <c r="G758" s="1" t="s">
        <v>49</v>
      </c>
      <c r="H758">
        <v>22</v>
      </c>
      <c r="I758" s="1" t="s">
        <v>92</v>
      </c>
      <c r="J758">
        <v>0</v>
      </c>
      <c r="K758" s="1" t="s">
        <v>66</v>
      </c>
    </row>
    <row r="759" spans="1:12" x14ac:dyDescent="0.3">
      <c r="A759" s="1" t="s">
        <v>1604</v>
      </c>
      <c r="B759" s="1" t="s">
        <v>1605</v>
      </c>
      <c r="C759" s="1" t="s">
        <v>43</v>
      </c>
      <c r="D759">
        <v>37</v>
      </c>
      <c r="E759" s="1" t="s">
        <v>15</v>
      </c>
      <c r="F759" s="1" t="s">
        <v>16</v>
      </c>
      <c r="G759" s="1" t="s">
        <v>99</v>
      </c>
      <c r="I759" s="1" t="s">
        <v>58</v>
      </c>
      <c r="J759">
        <v>3.5</v>
      </c>
      <c r="K759" s="1" t="s">
        <v>35</v>
      </c>
      <c r="L759">
        <v>0.75</v>
      </c>
    </row>
    <row r="760" spans="1:12" x14ac:dyDescent="0.3">
      <c r="A760" s="1" t="s">
        <v>1606</v>
      </c>
      <c r="B760" s="1" t="s">
        <v>1607</v>
      </c>
      <c r="C760" s="1" t="s">
        <v>102</v>
      </c>
      <c r="D760">
        <v>31</v>
      </c>
      <c r="E760" s="1" t="s">
        <v>23</v>
      </c>
      <c r="F760" s="1" t="s">
        <v>24</v>
      </c>
      <c r="G760" s="1" t="s">
        <v>49</v>
      </c>
      <c r="H760">
        <v>1</v>
      </c>
      <c r="I760" s="1" t="s">
        <v>76</v>
      </c>
      <c r="J760">
        <v>4.5</v>
      </c>
      <c r="K760" s="1" t="s">
        <v>19</v>
      </c>
      <c r="L760">
        <v>0.96</v>
      </c>
    </row>
    <row r="761" spans="1:12" x14ac:dyDescent="0.3">
      <c r="A761" s="1" t="s">
        <v>1608</v>
      </c>
      <c r="B761" s="1" t="s">
        <v>1609</v>
      </c>
      <c r="C761" s="1" t="s">
        <v>69</v>
      </c>
      <c r="D761">
        <v>51</v>
      </c>
      <c r="E761" s="1" t="s">
        <v>122</v>
      </c>
      <c r="F761" s="1" t="s">
        <v>123</v>
      </c>
      <c r="G761" s="1" t="s">
        <v>25</v>
      </c>
      <c r="H761">
        <v>5</v>
      </c>
      <c r="I761" s="1" t="s">
        <v>61</v>
      </c>
      <c r="J761">
        <v>1.7</v>
      </c>
      <c r="K761" s="1" t="s">
        <v>77</v>
      </c>
      <c r="L761">
        <v>0.61</v>
      </c>
    </row>
    <row r="762" spans="1:12" x14ac:dyDescent="0.3">
      <c r="A762" s="1" t="s">
        <v>1610</v>
      </c>
      <c r="B762" s="1" t="s">
        <v>1611</v>
      </c>
      <c r="C762" s="1" t="s">
        <v>54</v>
      </c>
      <c r="D762">
        <v>60</v>
      </c>
      <c r="E762" s="1" t="s">
        <v>186</v>
      </c>
      <c r="F762" s="1" t="s">
        <v>187</v>
      </c>
      <c r="G762" s="1" t="s">
        <v>99</v>
      </c>
      <c r="H762">
        <v>40</v>
      </c>
      <c r="I762" s="1" t="s">
        <v>34</v>
      </c>
      <c r="J762">
        <v>4.5999999999999996</v>
      </c>
      <c r="K762" s="1" t="s">
        <v>66</v>
      </c>
      <c r="L762">
        <v>1</v>
      </c>
    </row>
    <row r="763" spans="1:12" x14ac:dyDescent="0.3">
      <c r="A763" s="1" t="s">
        <v>1612</v>
      </c>
      <c r="B763" s="1" t="s">
        <v>1613</v>
      </c>
      <c r="C763" s="1" t="s">
        <v>102</v>
      </c>
      <c r="D763">
        <v>51</v>
      </c>
      <c r="E763" s="1" t="s">
        <v>138</v>
      </c>
      <c r="F763" s="1" t="s">
        <v>24</v>
      </c>
      <c r="G763" s="1" t="s">
        <v>17</v>
      </c>
      <c r="H763">
        <v>19</v>
      </c>
      <c r="I763" s="1" t="s">
        <v>34</v>
      </c>
      <c r="K763" s="1" t="s">
        <v>83</v>
      </c>
      <c r="L763">
        <v>0.82</v>
      </c>
    </row>
    <row r="764" spans="1:12" x14ac:dyDescent="0.3">
      <c r="A764" s="1" t="s">
        <v>1614</v>
      </c>
      <c r="B764" s="1" t="s">
        <v>1615</v>
      </c>
      <c r="C764" s="1" t="s">
        <v>54</v>
      </c>
      <c r="D764">
        <v>37</v>
      </c>
      <c r="E764" s="1" t="s">
        <v>31</v>
      </c>
      <c r="F764" s="1" t="s">
        <v>32</v>
      </c>
      <c r="G764" s="1" t="s">
        <v>33</v>
      </c>
      <c r="H764">
        <v>12</v>
      </c>
      <c r="I764" s="1" t="s">
        <v>65</v>
      </c>
      <c r="J764">
        <v>4.9000000000000004</v>
      </c>
      <c r="K764" s="1" t="s">
        <v>27</v>
      </c>
      <c r="L764">
        <v>0.8</v>
      </c>
    </row>
    <row r="765" spans="1:12" x14ac:dyDescent="0.3">
      <c r="A765" s="1" t="s">
        <v>1616</v>
      </c>
      <c r="B765" s="1" t="s">
        <v>1617</v>
      </c>
      <c r="C765" s="1" t="s">
        <v>30</v>
      </c>
      <c r="D765">
        <v>52</v>
      </c>
      <c r="E765" s="1" t="s">
        <v>103</v>
      </c>
      <c r="F765" s="1" t="s">
        <v>104</v>
      </c>
      <c r="G765" s="1" t="s">
        <v>17</v>
      </c>
      <c r="H765">
        <v>7</v>
      </c>
      <c r="I765" s="1" t="s">
        <v>76</v>
      </c>
      <c r="J765">
        <v>2.2000000000000002</v>
      </c>
      <c r="K765" s="1" t="s">
        <v>65</v>
      </c>
      <c r="L765">
        <v>0.96</v>
      </c>
    </row>
    <row r="766" spans="1:12" x14ac:dyDescent="0.3">
      <c r="A766" s="1" t="s">
        <v>1618</v>
      </c>
      <c r="B766" s="1" t="s">
        <v>1619</v>
      </c>
      <c r="C766" s="1" t="s">
        <v>54</v>
      </c>
      <c r="D766">
        <v>27</v>
      </c>
      <c r="E766" s="1" t="s">
        <v>55</v>
      </c>
      <c r="F766" s="1" t="s">
        <v>56</v>
      </c>
      <c r="G766" s="1" t="s">
        <v>17</v>
      </c>
      <c r="H766">
        <v>4</v>
      </c>
      <c r="I766" s="1" t="s">
        <v>151</v>
      </c>
      <c r="K766" s="1" t="s">
        <v>19</v>
      </c>
      <c r="L766">
        <v>0.63</v>
      </c>
    </row>
    <row r="767" spans="1:12" x14ac:dyDescent="0.3">
      <c r="A767" s="1" t="s">
        <v>1620</v>
      </c>
      <c r="B767" s="1" t="s">
        <v>1621</v>
      </c>
      <c r="C767" s="1" t="s">
        <v>54</v>
      </c>
      <c r="D767">
        <v>48</v>
      </c>
      <c r="E767" s="1" t="s">
        <v>23</v>
      </c>
      <c r="F767" s="1" t="s">
        <v>24</v>
      </c>
      <c r="G767" s="1" t="s">
        <v>33</v>
      </c>
      <c r="H767">
        <v>24</v>
      </c>
      <c r="I767" s="1" t="s">
        <v>40</v>
      </c>
      <c r="J767">
        <v>2.2000000000000002</v>
      </c>
      <c r="K767" s="1" t="s">
        <v>19</v>
      </c>
      <c r="L767">
        <v>0.67</v>
      </c>
    </row>
    <row r="768" spans="1:12" x14ac:dyDescent="0.3">
      <c r="A768" s="1" t="s">
        <v>1622</v>
      </c>
      <c r="B768" s="1" t="s">
        <v>1623</v>
      </c>
      <c r="C768" s="1" t="s">
        <v>38</v>
      </c>
      <c r="D768">
        <v>22</v>
      </c>
      <c r="E768" s="1" t="s">
        <v>95</v>
      </c>
      <c r="F768" s="1" t="s">
        <v>96</v>
      </c>
      <c r="G768" s="1" t="s">
        <v>57</v>
      </c>
      <c r="H768">
        <v>1</v>
      </c>
      <c r="I768" s="1" t="s">
        <v>119</v>
      </c>
      <c r="J768">
        <v>3.3</v>
      </c>
      <c r="K768" s="1" t="s">
        <v>27</v>
      </c>
      <c r="L768">
        <v>0.61</v>
      </c>
    </row>
    <row r="769" spans="1:12" x14ac:dyDescent="0.3">
      <c r="A769" s="1" t="s">
        <v>1624</v>
      </c>
      <c r="B769" s="1" t="s">
        <v>1625</v>
      </c>
      <c r="C769" s="1" t="s">
        <v>22</v>
      </c>
      <c r="D769">
        <v>48</v>
      </c>
      <c r="E769" s="1" t="s">
        <v>31</v>
      </c>
      <c r="F769" s="1" t="s">
        <v>32</v>
      </c>
      <c r="G769" s="1" t="s">
        <v>25</v>
      </c>
      <c r="H769">
        <v>28</v>
      </c>
      <c r="I769" s="1" t="s">
        <v>119</v>
      </c>
      <c r="J769">
        <v>4.9000000000000004</v>
      </c>
      <c r="K769" s="1" t="s">
        <v>19</v>
      </c>
      <c r="L769">
        <v>0.77</v>
      </c>
    </row>
    <row r="770" spans="1:12" x14ac:dyDescent="0.3">
      <c r="A770" s="1" t="s">
        <v>1626</v>
      </c>
      <c r="B770" s="1" t="s">
        <v>1627</v>
      </c>
      <c r="C770" s="1" t="s">
        <v>38</v>
      </c>
      <c r="D770">
        <v>54</v>
      </c>
      <c r="E770" s="1" t="s">
        <v>64</v>
      </c>
      <c r="F770" s="1" t="s">
        <v>24</v>
      </c>
      <c r="G770" s="1" t="s">
        <v>25</v>
      </c>
      <c r="H770">
        <v>19</v>
      </c>
      <c r="I770" s="1" t="s">
        <v>92</v>
      </c>
      <c r="J770">
        <v>0</v>
      </c>
      <c r="K770" s="1" t="s">
        <v>65</v>
      </c>
    </row>
    <row r="771" spans="1:12" x14ac:dyDescent="0.3">
      <c r="A771" s="1" t="s">
        <v>1628</v>
      </c>
      <c r="B771" s="1" t="s">
        <v>1629</v>
      </c>
      <c r="C771" s="1" t="s">
        <v>86</v>
      </c>
      <c r="D771">
        <v>52</v>
      </c>
      <c r="E771" s="1" t="s">
        <v>122</v>
      </c>
      <c r="F771" s="1" t="s">
        <v>123</v>
      </c>
      <c r="G771" s="1" t="s">
        <v>57</v>
      </c>
      <c r="H771">
        <v>4</v>
      </c>
      <c r="I771" s="1" t="s">
        <v>34</v>
      </c>
      <c r="K771" s="1" t="s">
        <v>35</v>
      </c>
      <c r="L771">
        <v>0.84</v>
      </c>
    </row>
    <row r="772" spans="1:12" x14ac:dyDescent="0.3">
      <c r="A772" s="1" t="s">
        <v>1630</v>
      </c>
      <c r="B772" s="1" t="s">
        <v>1631</v>
      </c>
      <c r="C772" s="1" t="s">
        <v>43</v>
      </c>
      <c r="D772">
        <v>39</v>
      </c>
      <c r="E772" s="1" t="s">
        <v>70</v>
      </c>
      <c r="F772" s="1" t="s">
        <v>71</v>
      </c>
      <c r="G772" s="1" t="s">
        <v>39</v>
      </c>
      <c r="H772">
        <v>20</v>
      </c>
      <c r="I772" s="1" t="s">
        <v>26</v>
      </c>
      <c r="K772" s="1" t="s">
        <v>83</v>
      </c>
      <c r="L772">
        <v>0.89</v>
      </c>
    </row>
    <row r="773" spans="1:12" x14ac:dyDescent="0.3">
      <c r="A773" s="1" t="s">
        <v>1632</v>
      </c>
      <c r="B773" s="1" t="s">
        <v>1633</v>
      </c>
      <c r="C773" s="1" t="s">
        <v>14</v>
      </c>
      <c r="D773">
        <v>54</v>
      </c>
      <c r="E773" s="1" t="s">
        <v>134</v>
      </c>
      <c r="F773" s="1" t="s">
        <v>135</v>
      </c>
      <c r="G773" s="1" t="s">
        <v>25</v>
      </c>
      <c r="H773">
        <v>19</v>
      </c>
      <c r="I773" s="1" t="s">
        <v>119</v>
      </c>
      <c r="J773">
        <v>4</v>
      </c>
      <c r="K773" s="1" t="s">
        <v>65</v>
      </c>
      <c r="L773">
        <v>0.9</v>
      </c>
    </row>
    <row r="774" spans="1:12" x14ac:dyDescent="0.3">
      <c r="A774" s="1" t="s">
        <v>1634</v>
      </c>
      <c r="B774" s="1" t="s">
        <v>1635</v>
      </c>
      <c r="C774" s="1" t="s">
        <v>86</v>
      </c>
      <c r="D774">
        <v>22</v>
      </c>
      <c r="E774" s="1" t="s">
        <v>64</v>
      </c>
      <c r="F774" s="1" t="s">
        <v>24</v>
      </c>
      <c r="G774" s="1" t="s">
        <v>87</v>
      </c>
      <c r="H774">
        <v>1</v>
      </c>
      <c r="I774" s="1" t="s">
        <v>151</v>
      </c>
      <c r="J774">
        <v>4.8</v>
      </c>
      <c r="K774" s="1" t="s">
        <v>51</v>
      </c>
      <c r="L774">
        <v>0.87</v>
      </c>
    </row>
    <row r="775" spans="1:12" x14ac:dyDescent="0.3">
      <c r="A775" s="1" t="s">
        <v>1636</v>
      </c>
      <c r="B775" s="1" t="s">
        <v>1637</v>
      </c>
      <c r="C775" s="1" t="s">
        <v>22</v>
      </c>
      <c r="D775">
        <v>29</v>
      </c>
      <c r="E775" s="1" t="s">
        <v>164</v>
      </c>
      <c r="F775" s="1" t="s">
        <v>165</v>
      </c>
      <c r="G775" s="1" t="s">
        <v>25</v>
      </c>
      <c r="H775">
        <v>8</v>
      </c>
      <c r="I775" s="1" t="s">
        <v>34</v>
      </c>
      <c r="J775">
        <v>0</v>
      </c>
      <c r="K775" s="1" t="s">
        <v>19</v>
      </c>
      <c r="L775">
        <v>0.77</v>
      </c>
    </row>
    <row r="776" spans="1:12" x14ac:dyDescent="0.3">
      <c r="A776" s="1" t="s">
        <v>1638</v>
      </c>
      <c r="B776" s="1" t="s">
        <v>1639</v>
      </c>
      <c r="C776" s="1" t="s">
        <v>102</v>
      </c>
      <c r="D776">
        <v>23</v>
      </c>
      <c r="E776" s="1" t="s">
        <v>201</v>
      </c>
      <c r="F776" s="1" t="s">
        <v>81</v>
      </c>
      <c r="G776" s="1" t="s">
        <v>99</v>
      </c>
      <c r="H776">
        <v>3</v>
      </c>
      <c r="I776" s="1" t="s">
        <v>119</v>
      </c>
      <c r="J776">
        <v>1.6</v>
      </c>
      <c r="K776" s="1" t="s">
        <v>83</v>
      </c>
      <c r="L776">
        <v>0.72</v>
      </c>
    </row>
    <row r="777" spans="1:12" x14ac:dyDescent="0.3">
      <c r="A777" s="1" t="s">
        <v>1640</v>
      </c>
      <c r="B777" s="1" t="s">
        <v>1641</v>
      </c>
      <c r="C777" s="1" t="s">
        <v>38</v>
      </c>
      <c r="D777">
        <v>58</v>
      </c>
      <c r="E777" s="1" t="s">
        <v>190</v>
      </c>
      <c r="F777" s="1" t="s">
        <v>81</v>
      </c>
      <c r="G777" s="1" t="s">
        <v>99</v>
      </c>
      <c r="H777">
        <v>30</v>
      </c>
      <c r="I777" s="1" t="s">
        <v>34</v>
      </c>
      <c r="J777">
        <v>1.3</v>
      </c>
      <c r="K777" s="1" t="s">
        <v>77</v>
      </c>
      <c r="L777">
        <v>0.87</v>
      </c>
    </row>
    <row r="778" spans="1:12" x14ac:dyDescent="0.3">
      <c r="A778" s="1" t="s">
        <v>1642</v>
      </c>
      <c r="B778" s="1" t="s">
        <v>1643</v>
      </c>
      <c r="C778" s="1" t="s">
        <v>14</v>
      </c>
      <c r="D778">
        <v>56</v>
      </c>
      <c r="E778" s="1" t="s">
        <v>186</v>
      </c>
      <c r="F778" s="1" t="s">
        <v>187</v>
      </c>
      <c r="G778" s="1" t="s">
        <v>17</v>
      </c>
      <c r="H778">
        <v>3</v>
      </c>
      <c r="I778" s="1" t="s">
        <v>76</v>
      </c>
      <c r="J778">
        <v>4.0999999999999996</v>
      </c>
      <c r="K778" s="1" t="s">
        <v>66</v>
      </c>
      <c r="L778">
        <v>0.89</v>
      </c>
    </row>
    <row r="779" spans="1:12" x14ac:dyDescent="0.3">
      <c r="A779" s="1" t="s">
        <v>1644</v>
      </c>
      <c r="B779" s="1" t="s">
        <v>1645</v>
      </c>
      <c r="C779" s="1" t="s">
        <v>102</v>
      </c>
      <c r="D779">
        <v>48</v>
      </c>
      <c r="E779" s="1" t="s">
        <v>70</v>
      </c>
      <c r="F779" s="1" t="s">
        <v>71</v>
      </c>
      <c r="G779" s="1" t="s">
        <v>39</v>
      </c>
      <c r="H779">
        <v>19</v>
      </c>
      <c r="I779" s="1" t="s">
        <v>76</v>
      </c>
      <c r="J779">
        <v>1.5</v>
      </c>
      <c r="K779" s="1" t="s">
        <v>19</v>
      </c>
      <c r="L779">
        <v>0.87</v>
      </c>
    </row>
    <row r="780" spans="1:12" x14ac:dyDescent="0.3">
      <c r="A780" s="1" t="s">
        <v>1646</v>
      </c>
      <c r="B780" s="1" t="s">
        <v>1647</v>
      </c>
      <c r="C780" s="1" t="s">
        <v>86</v>
      </c>
      <c r="D780">
        <v>31</v>
      </c>
      <c r="E780" s="1" t="s">
        <v>134</v>
      </c>
      <c r="F780" s="1" t="s">
        <v>135</v>
      </c>
      <c r="G780" s="1" t="s">
        <v>25</v>
      </c>
      <c r="H780">
        <v>11</v>
      </c>
      <c r="I780" s="1" t="s">
        <v>61</v>
      </c>
      <c r="J780">
        <v>4.3</v>
      </c>
      <c r="K780" s="1" t="s">
        <v>83</v>
      </c>
      <c r="L780">
        <v>0.76</v>
      </c>
    </row>
    <row r="781" spans="1:12" x14ac:dyDescent="0.3">
      <c r="A781" s="1" t="s">
        <v>1648</v>
      </c>
      <c r="B781" s="1" t="s">
        <v>1649</v>
      </c>
      <c r="C781" s="1" t="s">
        <v>102</v>
      </c>
      <c r="D781">
        <v>44</v>
      </c>
      <c r="E781" s="1" t="s">
        <v>23</v>
      </c>
      <c r="F781" s="1" t="s">
        <v>24</v>
      </c>
      <c r="G781" s="1" t="s">
        <v>124</v>
      </c>
      <c r="H781">
        <v>26</v>
      </c>
      <c r="I781" s="1" t="s">
        <v>34</v>
      </c>
      <c r="J781">
        <v>1.6</v>
      </c>
      <c r="K781" s="1" t="s">
        <v>65</v>
      </c>
      <c r="L781">
        <v>1</v>
      </c>
    </row>
    <row r="782" spans="1:12" x14ac:dyDescent="0.3">
      <c r="A782" s="1" t="s">
        <v>1650</v>
      </c>
      <c r="B782" s="1" t="s">
        <v>1651</v>
      </c>
      <c r="C782" s="1" t="s">
        <v>38</v>
      </c>
      <c r="D782">
        <v>42</v>
      </c>
      <c r="E782" s="1" t="s">
        <v>149</v>
      </c>
      <c r="F782" s="1" t="s">
        <v>150</v>
      </c>
      <c r="G782" s="1" t="s">
        <v>25</v>
      </c>
      <c r="H782">
        <v>10</v>
      </c>
      <c r="I782" s="1" t="s">
        <v>18</v>
      </c>
      <c r="J782">
        <v>3.7</v>
      </c>
      <c r="K782" s="1" t="s">
        <v>83</v>
      </c>
      <c r="L782">
        <v>0.94</v>
      </c>
    </row>
    <row r="783" spans="1:12" x14ac:dyDescent="0.3">
      <c r="A783" s="1" t="s">
        <v>1652</v>
      </c>
      <c r="B783" s="1" t="s">
        <v>1653</v>
      </c>
      <c r="C783" s="1" t="s">
        <v>107</v>
      </c>
      <c r="D783">
        <v>59</v>
      </c>
      <c r="E783" s="1" t="s">
        <v>64</v>
      </c>
      <c r="F783" s="1" t="s">
        <v>24</v>
      </c>
      <c r="G783" s="1" t="s">
        <v>87</v>
      </c>
      <c r="H783">
        <v>17</v>
      </c>
      <c r="I783" s="1" t="s">
        <v>34</v>
      </c>
      <c r="J783">
        <v>1.4</v>
      </c>
      <c r="K783" s="1" t="s">
        <v>77</v>
      </c>
    </row>
    <row r="784" spans="1:12" x14ac:dyDescent="0.3">
      <c r="A784" s="1" t="s">
        <v>1654</v>
      </c>
      <c r="B784" s="1" t="s">
        <v>1655</v>
      </c>
      <c r="C784" s="1" t="s">
        <v>38</v>
      </c>
      <c r="E784" s="1" t="s">
        <v>80</v>
      </c>
      <c r="F784" s="1" t="s">
        <v>81</v>
      </c>
      <c r="G784" s="1" t="s">
        <v>17</v>
      </c>
      <c r="H784">
        <v>9</v>
      </c>
      <c r="I784" s="1" t="s">
        <v>240</v>
      </c>
      <c r="J784">
        <v>4.5</v>
      </c>
      <c r="K784" s="1" t="s">
        <v>83</v>
      </c>
      <c r="L784">
        <v>83</v>
      </c>
    </row>
    <row r="785" spans="1:12" x14ac:dyDescent="0.3">
      <c r="A785" s="1" t="s">
        <v>1656</v>
      </c>
      <c r="B785" s="1" t="s">
        <v>1657</v>
      </c>
      <c r="C785" s="1" t="s">
        <v>102</v>
      </c>
      <c r="D785">
        <v>21</v>
      </c>
      <c r="E785" s="1" t="s">
        <v>186</v>
      </c>
      <c r="F785" s="1" t="s">
        <v>187</v>
      </c>
      <c r="G785" s="1" t="s">
        <v>57</v>
      </c>
      <c r="H785">
        <v>0</v>
      </c>
      <c r="I785" s="1" t="s">
        <v>61</v>
      </c>
      <c r="J785">
        <v>3.7</v>
      </c>
      <c r="K785" s="1" t="s">
        <v>19</v>
      </c>
      <c r="L785">
        <v>0.74</v>
      </c>
    </row>
    <row r="786" spans="1:12" x14ac:dyDescent="0.3">
      <c r="A786" s="1" t="s">
        <v>1658</v>
      </c>
      <c r="B786" s="1" t="s">
        <v>1659</v>
      </c>
      <c r="C786" s="1" t="s">
        <v>107</v>
      </c>
      <c r="D786">
        <v>53</v>
      </c>
      <c r="E786" s="1" t="s">
        <v>75</v>
      </c>
      <c r="F786" s="1" t="s">
        <v>24</v>
      </c>
      <c r="G786" s="1" t="s">
        <v>99</v>
      </c>
      <c r="H786">
        <v>5</v>
      </c>
      <c r="I786" s="1" t="s">
        <v>92</v>
      </c>
      <c r="J786">
        <v>1.1000000000000001</v>
      </c>
      <c r="K786" s="1" t="s">
        <v>19</v>
      </c>
      <c r="L786">
        <v>92</v>
      </c>
    </row>
    <row r="787" spans="1:12" x14ac:dyDescent="0.3">
      <c r="A787" s="1" t="s">
        <v>1660</v>
      </c>
      <c r="B787" s="1" t="s">
        <v>1661</v>
      </c>
      <c r="C787" s="1" t="s">
        <v>102</v>
      </c>
      <c r="D787">
        <v>35</v>
      </c>
      <c r="E787" s="1" t="s">
        <v>80</v>
      </c>
      <c r="F787" s="1" t="s">
        <v>81</v>
      </c>
      <c r="G787" s="1" t="s">
        <v>25</v>
      </c>
      <c r="H787">
        <v>15</v>
      </c>
      <c r="I787" s="1" t="s">
        <v>65</v>
      </c>
      <c r="J787">
        <v>3.7</v>
      </c>
      <c r="K787" s="1" t="s">
        <v>51</v>
      </c>
      <c r="L787">
        <v>0.66</v>
      </c>
    </row>
    <row r="788" spans="1:12" x14ac:dyDescent="0.3">
      <c r="A788" s="1" t="s">
        <v>1662</v>
      </c>
      <c r="B788" s="1" t="s">
        <v>1663</v>
      </c>
      <c r="C788" s="1" t="s">
        <v>86</v>
      </c>
      <c r="D788">
        <v>25</v>
      </c>
      <c r="E788" s="1" t="s">
        <v>117</v>
      </c>
      <c r="F788" s="1" t="s">
        <v>118</v>
      </c>
      <c r="G788" s="1" t="s">
        <v>124</v>
      </c>
      <c r="H788">
        <v>3</v>
      </c>
      <c r="I788" s="1" t="s">
        <v>72</v>
      </c>
      <c r="J788">
        <v>3.2</v>
      </c>
      <c r="K788" s="1" t="s">
        <v>66</v>
      </c>
      <c r="L788">
        <v>0.74</v>
      </c>
    </row>
    <row r="789" spans="1:12" x14ac:dyDescent="0.3">
      <c r="A789" s="1" t="s">
        <v>1664</v>
      </c>
      <c r="B789" s="1" t="s">
        <v>1665</v>
      </c>
      <c r="C789" s="1" t="s">
        <v>43</v>
      </c>
      <c r="D789">
        <v>23</v>
      </c>
      <c r="E789" s="1" t="s">
        <v>15</v>
      </c>
      <c r="F789" s="1" t="s">
        <v>16</v>
      </c>
      <c r="G789" s="1" t="s">
        <v>82</v>
      </c>
      <c r="H789">
        <v>1</v>
      </c>
      <c r="I789" s="1" t="s">
        <v>44</v>
      </c>
      <c r="J789">
        <v>5</v>
      </c>
      <c r="K789" s="1" t="s">
        <v>35</v>
      </c>
      <c r="L789">
        <v>0.97</v>
      </c>
    </row>
    <row r="790" spans="1:12" x14ac:dyDescent="0.3">
      <c r="A790" s="1" t="s">
        <v>1666</v>
      </c>
      <c r="B790" s="1" t="s">
        <v>1667</v>
      </c>
      <c r="C790" s="1" t="s">
        <v>38</v>
      </c>
      <c r="D790">
        <v>56</v>
      </c>
      <c r="E790" s="1" t="s">
        <v>149</v>
      </c>
      <c r="F790" s="1" t="s">
        <v>150</v>
      </c>
      <c r="G790" s="1" t="s">
        <v>33</v>
      </c>
      <c r="H790">
        <v>13</v>
      </c>
      <c r="I790" s="1" t="s">
        <v>44</v>
      </c>
      <c r="J790">
        <v>0</v>
      </c>
      <c r="K790" s="1" t="s">
        <v>65</v>
      </c>
      <c r="L790">
        <v>77</v>
      </c>
    </row>
    <row r="791" spans="1:12" x14ac:dyDescent="0.3">
      <c r="A791" s="1" t="s">
        <v>1668</v>
      </c>
      <c r="B791" s="1" t="s">
        <v>1669</v>
      </c>
      <c r="C791" s="1" t="s">
        <v>43</v>
      </c>
      <c r="D791">
        <v>31</v>
      </c>
      <c r="E791" s="1" t="s">
        <v>190</v>
      </c>
      <c r="F791" s="1" t="s">
        <v>81</v>
      </c>
      <c r="G791" s="1" t="s">
        <v>82</v>
      </c>
      <c r="H791">
        <v>6</v>
      </c>
      <c r="I791" s="1" t="s">
        <v>65</v>
      </c>
      <c r="J791">
        <v>3.5</v>
      </c>
      <c r="K791" s="1" t="s">
        <v>170</v>
      </c>
      <c r="L791">
        <v>0.86</v>
      </c>
    </row>
    <row r="792" spans="1:12" x14ac:dyDescent="0.3">
      <c r="A792" s="1" t="s">
        <v>1670</v>
      </c>
      <c r="B792" s="1" t="s">
        <v>1671</v>
      </c>
      <c r="C792" s="1" t="s">
        <v>102</v>
      </c>
      <c r="D792">
        <v>24</v>
      </c>
      <c r="E792" s="1" t="s">
        <v>64</v>
      </c>
      <c r="F792" s="1" t="s">
        <v>24</v>
      </c>
      <c r="G792" s="1" t="s">
        <v>87</v>
      </c>
      <c r="H792">
        <v>4</v>
      </c>
      <c r="I792" s="1" t="s">
        <v>34</v>
      </c>
      <c r="J792">
        <v>3.1</v>
      </c>
      <c r="K792" s="1" t="s">
        <v>51</v>
      </c>
      <c r="L792">
        <v>0.95</v>
      </c>
    </row>
    <row r="793" spans="1:12" x14ac:dyDescent="0.3">
      <c r="A793" s="1" t="s">
        <v>1672</v>
      </c>
      <c r="B793" s="1" t="s">
        <v>1673</v>
      </c>
      <c r="C793" s="1" t="s">
        <v>22</v>
      </c>
      <c r="D793">
        <v>35</v>
      </c>
      <c r="E793" s="1" t="s">
        <v>117</v>
      </c>
      <c r="F793" s="1" t="s">
        <v>118</v>
      </c>
      <c r="G793" s="1" t="s">
        <v>87</v>
      </c>
      <c r="H793">
        <v>7</v>
      </c>
      <c r="I793" s="1" t="s">
        <v>65</v>
      </c>
      <c r="J793">
        <v>3.9</v>
      </c>
      <c r="K793" s="1" t="s">
        <v>19</v>
      </c>
      <c r="L793">
        <v>0.72</v>
      </c>
    </row>
    <row r="794" spans="1:12" x14ac:dyDescent="0.3">
      <c r="A794" s="1" t="s">
        <v>1674</v>
      </c>
      <c r="B794" s="1" t="s">
        <v>1675</v>
      </c>
      <c r="C794" s="1" t="s">
        <v>22</v>
      </c>
      <c r="D794">
        <v>20</v>
      </c>
      <c r="E794" s="1" t="s">
        <v>201</v>
      </c>
      <c r="F794" s="1" t="s">
        <v>81</v>
      </c>
      <c r="G794" s="1" t="s">
        <v>49</v>
      </c>
      <c r="H794">
        <v>1</v>
      </c>
      <c r="I794" s="1" t="s">
        <v>65</v>
      </c>
      <c r="J794">
        <v>3.5</v>
      </c>
      <c r="K794" s="1" t="s">
        <v>19</v>
      </c>
      <c r="L794">
        <v>0.71</v>
      </c>
    </row>
    <row r="795" spans="1:12" x14ac:dyDescent="0.3">
      <c r="A795" s="1" t="s">
        <v>1676</v>
      </c>
      <c r="B795" s="1" t="s">
        <v>1677</v>
      </c>
      <c r="C795" s="1" t="s">
        <v>107</v>
      </c>
      <c r="D795">
        <v>26</v>
      </c>
      <c r="E795" s="1" t="s">
        <v>23</v>
      </c>
      <c r="F795" s="1" t="s">
        <v>24</v>
      </c>
      <c r="G795" s="1" t="s">
        <v>57</v>
      </c>
      <c r="H795">
        <v>5</v>
      </c>
      <c r="I795" s="1" t="s">
        <v>240</v>
      </c>
      <c r="J795">
        <v>2.5</v>
      </c>
      <c r="K795" s="1" t="s">
        <v>66</v>
      </c>
      <c r="L795">
        <v>0.93</v>
      </c>
    </row>
    <row r="796" spans="1:12" x14ac:dyDescent="0.3">
      <c r="A796" s="1" t="s">
        <v>1678</v>
      </c>
      <c r="B796" s="1" t="s">
        <v>1679</v>
      </c>
      <c r="C796" s="1" t="s">
        <v>102</v>
      </c>
      <c r="D796">
        <v>54</v>
      </c>
      <c r="E796" s="1" t="s">
        <v>75</v>
      </c>
      <c r="F796" s="1" t="s">
        <v>24</v>
      </c>
      <c r="G796" s="1" t="s">
        <v>99</v>
      </c>
      <c r="H796">
        <v>29</v>
      </c>
      <c r="I796" s="1" t="s">
        <v>61</v>
      </c>
      <c r="J796">
        <v>3.1</v>
      </c>
      <c r="K796" s="1" t="s">
        <v>27</v>
      </c>
    </row>
    <row r="797" spans="1:12" x14ac:dyDescent="0.3">
      <c r="A797" s="1" t="s">
        <v>1680</v>
      </c>
      <c r="B797" s="1" t="s">
        <v>1681</v>
      </c>
      <c r="C797" s="1" t="s">
        <v>54</v>
      </c>
      <c r="D797">
        <v>53</v>
      </c>
      <c r="E797" s="1" t="s">
        <v>134</v>
      </c>
      <c r="F797" s="1" t="s">
        <v>135</v>
      </c>
      <c r="G797" s="1" t="s">
        <v>87</v>
      </c>
      <c r="H797">
        <v>12</v>
      </c>
      <c r="I797" s="1" t="s">
        <v>18</v>
      </c>
      <c r="J797">
        <v>4.7</v>
      </c>
      <c r="K797" s="1" t="s">
        <v>27</v>
      </c>
      <c r="L797">
        <v>0.87</v>
      </c>
    </row>
    <row r="798" spans="1:12" x14ac:dyDescent="0.3">
      <c r="A798" s="1" t="s">
        <v>1682</v>
      </c>
      <c r="B798" s="1" t="s">
        <v>1683</v>
      </c>
      <c r="C798" s="1" t="s">
        <v>86</v>
      </c>
      <c r="D798">
        <v>33</v>
      </c>
      <c r="E798" s="1" t="s">
        <v>138</v>
      </c>
      <c r="F798" s="1" t="s">
        <v>24</v>
      </c>
      <c r="G798" s="1" t="s">
        <v>99</v>
      </c>
      <c r="H798">
        <v>4</v>
      </c>
      <c r="I798" s="1" t="s">
        <v>65</v>
      </c>
      <c r="J798">
        <v>1.9</v>
      </c>
      <c r="K798" s="1" t="s">
        <v>51</v>
      </c>
      <c r="L798">
        <v>73</v>
      </c>
    </row>
    <row r="799" spans="1:12" x14ac:dyDescent="0.3">
      <c r="A799" s="1" t="s">
        <v>1684</v>
      </c>
      <c r="B799" s="1" t="s">
        <v>1685</v>
      </c>
      <c r="C799" s="1" t="s">
        <v>54</v>
      </c>
      <c r="D799">
        <v>43</v>
      </c>
      <c r="E799" s="1" t="s">
        <v>47</v>
      </c>
      <c r="F799" s="1" t="s">
        <v>48</v>
      </c>
      <c r="G799" s="1" t="s">
        <v>39</v>
      </c>
      <c r="H799">
        <v>12</v>
      </c>
      <c r="I799" s="1" t="s">
        <v>65</v>
      </c>
      <c r="J799">
        <v>1.6</v>
      </c>
      <c r="K799" s="1" t="s">
        <v>27</v>
      </c>
      <c r="L799">
        <v>0.74</v>
      </c>
    </row>
    <row r="800" spans="1:12" x14ac:dyDescent="0.3">
      <c r="A800" s="1" t="s">
        <v>1686</v>
      </c>
      <c r="B800" s="1" t="s">
        <v>1687</v>
      </c>
      <c r="C800" s="1" t="s">
        <v>102</v>
      </c>
      <c r="D800">
        <v>37</v>
      </c>
      <c r="E800" s="1" t="s">
        <v>138</v>
      </c>
      <c r="F800" s="1" t="s">
        <v>24</v>
      </c>
      <c r="G800" s="1" t="s">
        <v>99</v>
      </c>
      <c r="H800">
        <v>3</v>
      </c>
      <c r="I800" s="1" t="s">
        <v>151</v>
      </c>
      <c r="J800">
        <v>2.5</v>
      </c>
      <c r="K800" s="1" t="s">
        <v>35</v>
      </c>
      <c r="L800">
        <v>0.62</v>
      </c>
    </row>
    <row r="801" spans="1:12" x14ac:dyDescent="0.3">
      <c r="A801" s="1" t="s">
        <v>1688</v>
      </c>
      <c r="B801" s="1" t="s">
        <v>1689</v>
      </c>
      <c r="C801" s="1" t="s">
        <v>43</v>
      </c>
      <c r="D801">
        <v>58</v>
      </c>
      <c r="E801" s="1" t="s">
        <v>145</v>
      </c>
      <c r="F801" s="1" t="s">
        <v>146</v>
      </c>
      <c r="G801" s="1" t="s">
        <v>57</v>
      </c>
      <c r="H801">
        <v>15</v>
      </c>
      <c r="I801" s="1" t="s">
        <v>151</v>
      </c>
      <c r="J801">
        <v>3.5</v>
      </c>
      <c r="K801" s="1" t="s">
        <v>65</v>
      </c>
      <c r="L801">
        <v>0.98</v>
      </c>
    </row>
    <row r="802" spans="1:12" x14ac:dyDescent="0.3">
      <c r="A802" s="1" t="s">
        <v>1690</v>
      </c>
      <c r="B802" s="1" t="s">
        <v>1691</v>
      </c>
      <c r="C802" s="1" t="s">
        <v>22</v>
      </c>
      <c r="D802">
        <v>39</v>
      </c>
      <c r="E802" s="1" t="s">
        <v>201</v>
      </c>
      <c r="F802" s="1" t="s">
        <v>81</v>
      </c>
      <c r="G802" s="1" t="s">
        <v>25</v>
      </c>
      <c r="H802">
        <v>15</v>
      </c>
      <c r="I802" s="1" t="s">
        <v>34</v>
      </c>
      <c r="K802" s="1" t="s">
        <v>19</v>
      </c>
      <c r="L802">
        <v>0.8</v>
      </c>
    </row>
    <row r="803" spans="1:12" x14ac:dyDescent="0.3">
      <c r="A803" s="1" t="s">
        <v>1692</v>
      </c>
      <c r="B803" s="1" t="s">
        <v>1693</v>
      </c>
      <c r="C803" s="1" t="s">
        <v>30</v>
      </c>
      <c r="D803">
        <v>43</v>
      </c>
      <c r="E803" s="1" t="s">
        <v>70</v>
      </c>
      <c r="F803" s="1" t="s">
        <v>71</v>
      </c>
      <c r="G803" s="1" t="s">
        <v>33</v>
      </c>
      <c r="H803">
        <v>13</v>
      </c>
      <c r="I803" s="1" t="s">
        <v>325</v>
      </c>
      <c r="J803">
        <v>1.2</v>
      </c>
      <c r="K803" s="1" t="s">
        <v>83</v>
      </c>
      <c r="L803">
        <v>69</v>
      </c>
    </row>
    <row r="804" spans="1:12" x14ac:dyDescent="0.3">
      <c r="A804" s="1" t="s">
        <v>1694</v>
      </c>
      <c r="B804" s="1" t="s">
        <v>1695</v>
      </c>
      <c r="C804" s="1" t="s">
        <v>86</v>
      </c>
      <c r="D804">
        <v>40</v>
      </c>
      <c r="E804" s="1" t="s">
        <v>201</v>
      </c>
      <c r="F804" s="1" t="s">
        <v>81</v>
      </c>
      <c r="G804" s="1" t="s">
        <v>17</v>
      </c>
      <c r="H804">
        <v>20</v>
      </c>
      <c r="I804" s="1" t="s">
        <v>119</v>
      </c>
      <c r="K804" s="1" t="s">
        <v>51</v>
      </c>
      <c r="L804">
        <v>90</v>
      </c>
    </row>
    <row r="805" spans="1:12" x14ac:dyDescent="0.3">
      <c r="A805" s="1" t="s">
        <v>1696</v>
      </c>
      <c r="B805" s="1" t="s">
        <v>1697</v>
      </c>
      <c r="C805" s="1" t="s">
        <v>14</v>
      </c>
      <c r="D805">
        <v>51</v>
      </c>
      <c r="E805" s="1" t="s">
        <v>75</v>
      </c>
      <c r="F805" s="1" t="s">
        <v>24</v>
      </c>
      <c r="G805" s="1" t="s">
        <v>124</v>
      </c>
      <c r="H805">
        <v>30</v>
      </c>
      <c r="I805" s="1" t="s">
        <v>92</v>
      </c>
      <c r="K805" s="1" t="s">
        <v>66</v>
      </c>
      <c r="L805">
        <v>0.74</v>
      </c>
    </row>
    <row r="806" spans="1:12" x14ac:dyDescent="0.3">
      <c r="A806" s="1" t="s">
        <v>1698</v>
      </c>
      <c r="B806" s="1" t="s">
        <v>1699</v>
      </c>
      <c r="C806" s="1" t="s">
        <v>30</v>
      </c>
      <c r="D806">
        <v>23</v>
      </c>
      <c r="E806" s="1" t="s">
        <v>31</v>
      </c>
      <c r="F806" s="1" t="s">
        <v>32</v>
      </c>
      <c r="G806" s="1" t="s">
        <v>49</v>
      </c>
      <c r="H806">
        <v>4</v>
      </c>
      <c r="I806" s="1" t="s">
        <v>34</v>
      </c>
      <c r="J806">
        <v>4.5</v>
      </c>
      <c r="K806" s="1" t="s">
        <v>35</v>
      </c>
      <c r="L806">
        <v>0.98</v>
      </c>
    </row>
    <row r="807" spans="1:12" x14ac:dyDescent="0.3">
      <c r="A807" s="1" t="s">
        <v>1700</v>
      </c>
      <c r="B807" s="1" t="s">
        <v>1701</v>
      </c>
      <c r="C807" s="1" t="s">
        <v>14</v>
      </c>
      <c r="D807">
        <v>31</v>
      </c>
      <c r="E807" s="1" t="s">
        <v>55</v>
      </c>
      <c r="F807" s="1" t="s">
        <v>56</v>
      </c>
      <c r="G807" s="1" t="s">
        <v>33</v>
      </c>
      <c r="I807" s="1" t="s">
        <v>325</v>
      </c>
      <c r="K807" s="1" t="s">
        <v>83</v>
      </c>
      <c r="L807">
        <v>0.84</v>
      </c>
    </row>
    <row r="808" spans="1:12" x14ac:dyDescent="0.3">
      <c r="A808" s="1" t="s">
        <v>1702</v>
      </c>
      <c r="B808" s="1" t="s">
        <v>1703</v>
      </c>
      <c r="C808" s="1" t="s">
        <v>22</v>
      </c>
      <c r="D808">
        <v>44</v>
      </c>
      <c r="E808" s="1" t="s">
        <v>134</v>
      </c>
      <c r="F808" s="1" t="s">
        <v>135</v>
      </c>
      <c r="G808" s="1" t="s">
        <v>39</v>
      </c>
      <c r="H808">
        <v>3</v>
      </c>
      <c r="I808" s="1" t="s">
        <v>131</v>
      </c>
      <c r="J808">
        <v>5</v>
      </c>
      <c r="K808" s="1" t="s">
        <v>77</v>
      </c>
      <c r="L808">
        <v>0.75</v>
      </c>
    </row>
    <row r="809" spans="1:12" x14ac:dyDescent="0.3">
      <c r="A809" s="1" t="s">
        <v>1704</v>
      </c>
      <c r="B809" s="1" t="s">
        <v>1705</v>
      </c>
      <c r="C809" s="1" t="s">
        <v>107</v>
      </c>
      <c r="D809">
        <v>56</v>
      </c>
      <c r="E809" s="1" t="s">
        <v>31</v>
      </c>
      <c r="F809" s="1" t="s">
        <v>32</v>
      </c>
      <c r="G809" s="1" t="s">
        <v>25</v>
      </c>
      <c r="H809">
        <v>23</v>
      </c>
      <c r="I809" s="1" t="s">
        <v>92</v>
      </c>
      <c r="J809">
        <v>3.9</v>
      </c>
      <c r="K809" s="1" t="s">
        <v>27</v>
      </c>
    </row>
    <row r="810" spans="1:12" x14ac:dyDescent="0.3">
      <c r="A810" s="1" t="s">
        <v>1706</v>
      </c>
      <c r="B810" s="1" t="s">
        <v>1707</v>
      </c>
      <c r="C810" s="1" t="s">
        <v>22</v>
      </c>
      <c r="D810">
        <v>48</v>
      </c>
      <c r="E810" s="1" t="s">
        <v>23</v>
      </c>
      <c r="F810" s="1" t="s">
        <v>24</v>
      </c>
      <c r="G810" s="1" t="s">
        <v>87</v>
      </c>
      <c r="H810">
        <v>5</v>
      </c>
      <c r="I810" s="1" t="s">
        <v>240</v>
      </c>
      <c r="J810">
        <v>1.8</v>
      </c>
      <c r="K810" s="1" t="s">
        <v>66</v>
      </c>
      <c r="L810">
        <v>0.97</v>
      </c>
    </row>
    <row r="811" spans="1:12" x14ac:dyDescent="0.3">
      <c r="A811" s="1" t="s">
        <v>1708</v>
      </c>
      <c r="B811" s="1" t="s">
        <v>1709</v>
      </c>
      <c r="C811" s="1" t="s">
        <v>14</v>
      </c>
      <c r="D811">
        <v>46</v>
      </c>
      <c r="E811" s="1" t="s">
        <v>134</v>
      </c>
      <c r="F811" s="1" t="s">
        <v>135</v>
      </c>
      <c r="G811" s="1" t="s">
        <v>39</v>
      </c>
      <c r="H811">
        <v>28</v>
      </c>
      <c r="I811" s="1" t="s">
        <v>44</v>
      </c>
      <c r="J811">
        <v>4.2</v>
      </c>
      <c r="K811" s="1" t="s">
        <v>66</v>
      </c>
    </row>
    <row r="812" spans="1:12" x14ac:dyDescent="0.3">
      <c r="A812" s="1" t="s">
        <v>1710</v>
      </c>
      <c r="B812" s="1" t="s">
        <v>1711</v>
      </c>
      <c r="C812" s="1" t="s">
        <v>102</v>
      </c>
      <c r="D812">
        <v>21</v>
      </c>
      <c r="E812" s="1" t="s">
        <v>149</v>
      </c>
      <c r="F812" s="1" t="s">
        <v>150</v>
      </c>
      <c r="G812" s="1" t="s">
        <v>49</v>
      </c>
      <c r="H812">
        <v>0</v>
      </c>
      <c r="I812" s="1" t="s">
        <v>151</v>
      </c>
      <c r="J812">
        <v>2.6</v>
      </c>
      <c r="K812" s="1" t="s">
        <v>170</v>
      </c>
      <c r="L812">
        <v>0.64</v>
      </c>
    </row>
    <row r="813" spans="1:12" x14ac:dyDescent="0.3">
      <c r="A813" s="1" t="s">
        <v>1712</v>
      </c>
      <c r="B813" s="1" t="s">
        <v>1713</v>
      </c>
      <c r="C813" s="1" t="s">
        <v>54</v>
      </c>
      <c r="D813">
        <v>52</v>
      </c>
      <c r="E813" s="1" t="s">
        <v>134</v>
      </c>
      <c r="F813" s="1" t="s">
        <v>135</v>
      </c>
      <c r="G813" s="1" t="s">
        <v>57</v>
      </c>
      <c r="H813">
        <v>30</v>
      </c>
      <c r="I813" s="1" t="s">
        <v>44</v>
      </c>
      <c r="J813">
        <v>2</v>
      </c>
      <c r="K813" s="1" t="s">
        <v>27</v>
      </c>
      <c r="L813">
        <v>0.68</v>
      </c>
    </row>
    <row r="814" spans="1:12" x14ac:dyDescent="0.3">
      <c r="A814" s="1" t="s">
        <v>1714</v>
      </c>
      <c r="B814" s="1" t="s">
        <v>1715</v>
      </c>
      <c r="C814" s="1" t="s">
        <v>14</v>
      </c>
      <c r="D814">
        <v>39</v>
      </c>
      <c r="E814" s="1" t="s">
        <v>134</v>
      </c>
      <c r="F814" s="1" t="s">
        <v>135</v>
      </c>
      <c r="G814" s="1" t="s">
        <v>33</v>
      </c>
      <c r="H814">
        <v>20</v>
      </c>
      <c r="I814" s="1" t="s">
        <v>181</v>
      </c>
      <c r="J814">
        <v>2.7</v>
      </c>
      <c r="K814" s="1" t="s">
        <v>27</v>
      </c>
      <c r="L814">
        <v>0.67</v>
      </c>
    </row>
    <row r="815" spans="1:12" x14ac:dyDescent="0.3">
      <c r="A815" s="1" t="s">
        <v>1716</v>
      </c>
      <c r="B815" s="1" t="s">
        <v>1717</v>
      </c>
      <c r="C815" s="1" t="s">
        <v>14</v>
      </c>
      <c r="D815">
        <v>31</v>
      </c>
      <c r="E815" s="1" t="s">
        <v>23</v>
      </c>
      <c r="F815" s="1" t="s">
        <v>24</v>
      </c>
      <c r="G815" s="1" t="s">
        <v>25</v>
      </c>
      <c r="H815">
        <v>0</v>
      </c>
      <c r="I815" s="1" t="s">
        <v>44</v>
      </c>
      <c r="J815">
        <v>2.2999999999999998</v>
      </c>
      <c r="K815" s="1" t="s">
        <v>170</v>
      </c>
      <c r="L815">
        <v>0.79</v>
      </c>
    </row>
    <row r="816" spans="1:12" x14ac:dyDescent="0.3">
      <c r="A816" s="1" t="s">
        <v>1718</v>
      </c>
      <c r="B816" s="1" t="s">
        <v>1719</v>
      </c>
      <c r="C816" s="1" t="s">
        <v>54</v>
      </c>
      <c r="D816">
        <v>22</v>
      </c>
      <c r="E816" s="1" t="s">
        <v>122</v>
      </c>
      <c r="F816" s="1" t="s">
        <v>123</v>
      </c>
      <c r="G816" s="1" t="s">
        <v>82</v>
      </c>
      <c r="H816">
        <v>4</v>
      </c>
      <c r="I816" s="1" t="s">
        <v>40</v>
      </c>
      <c r="J816">
        <v>3.8</v>
      </c>
      <c r="K816" s="1" t="s">
        <v>66</v>
      </c>
      <c r="L816">
        <v>1</v>
      </c>
    </row>
    <row r="817" spans="1:12" x14ac:dyDescent="0.3">
      <c r="A817" s="1" t="s">
        <v>1720</v>
      </c>
      <c r="B817" s="1" t="s">
        <v>1721</v>
      </c>
      <c r="C817" s="1" t="s">
        <v>14</v>
      </c>
      <c r="D817">
        <v>38</v>
      </c>
      <c r="E817" s="1" t="s">
        <v>75</v>
      </c>
      <c r="F817" s="1" t="s">
        <v>24</v>
      </c>
      <c r="G817" s="1" t="s">
        <v>82</v>
      </c>
      <c r="H817">
        <v>10</v>
      </c>
      <c r="I817" s="1" t="s">
        <v>76</v>
      </c>
      <c r="K817" s="1" t="s">
        <v>35</v>
      </c>
      <c r="L817">
        <v>0.66</v>
      </c>
    </row>
    <row r="818" spans="1:12" x14ac:dyDescent="0.3">
      <c r="A818" s="1" t="s">
        <v>1722</v>
      </c>
      <c r="B818" s="1" t="s">
        <v>1723</v>
      </c>
      <c r="C818" s="1" t="s">
        <v>107</v>
      </c>
      <c r="D818">
        <v>44</v>
      </c>
      <c r="E818" s="1" t="s">
        <v>80</v>
      </c>
      <c r="F818" s="1" t="s">
        <v>81</v>
      </c>
      <c r="G818" s="1" t="s">
        <v>33</v>
      </c>
      <c r="H818">
        <v>24</v>
      </c>
      <c r="I818" s="1" t="s">
        <v>58</v>
      </c>
      <c r="J818">
        <v>4.5999999999999996</v>
      </c>
      <c r="K818" s="1" t="s">
        <v>170</v>
      </c>
      <c r="L818">
        <v>0.97</v>
      </c>
    </row>
    <row r="819" spans="1:12" x14ac:dyDescent="0.3">
      <c r="A819" s="1" t="s">
        <v>1724</v>
      </c>
      <c r="B819" s="1" t="s">
        <v>1725</v>
      </c>
      <c r="C819" s="1" t="s">
        <v>102</v>
      </c>
      <c r="D819">
        <v>53</v>
      </c>
      <c r="E819" s="1" t="s">
        <v>55</v>
      </c>
      <c r="F819" s="1" t="s">
        <v>56</v>
      </c>
      <c r="G819" s="1" t="s">
        <v>124</v>
      </c>
      <c r="H819">
        <v>21</v>
      </c>
      <c r="I819" s="1" t="s">
        <v>18</v>
      </c>
      <c r="J819">
        <v>3.4</v>
      </c>
      <c r="K819" s="1" t="s">
        <v>19</v>
      </c>
      <c r="L819">
        <v>0.62</v>
      </c>
    </row>
    <row r="820" spans="1:12" x14ac:dyDescent="0.3">
      <c r="A820" s="1" t="s">
        <v>1726</v>
      </c>
      <c r="B820" s="1" t="s">
        <v>1727</v>
      </c>
      <c r="C820" s="1" t="s">
        <v>107</v>
      </c>
      <c r="D820">
        <v>22</v>
      </c>
      <c r="E820" s="1" t="s">
        <v>186</v>
      </c>
      <c r="F820" s="1" t="s">
        <v>187</v>
      </c>
      <c r="G820" s="1" t="s">
        <v>57</v>
      </c>
      <c r="H820">
        <v>2</v>
      </c>
      <c r="I820" s="1" t="s">
        <v>325</v>
      </c>
      <c r="K820" s="1" t="s">
        <v>170</v>
      </c>
    </row>
    <row r="821" spans="1:12" x14ac:dyDescent="0.3">
      <c r="A821" s="1" t="s">
        <v>1728</v>
      </c>
      <c r="B821" s="1" t="s">
        <v>1729</v>
      </c>
      <c r="C821" s="1" t="s">
        <v>86</v>
      </c>
      <c r="D821">
        <v>40</v>
      </c>
      <c r="E821" s="1" t="s">
        <v>103</v>
      </c>
      <c r="F821" s="1" t="s">
        <v>104</v>
      </c>
      <c r="G821" s="1" t="s">
        <v>17</v>
      </c>
      <c r="H821">
        <v>14</v>
      </c>
      <c r="I821" s="1" t="s">
        <v>92</v>
      </c>
      <c r="J821">
        <v>0</v>
      </c>
      <c r="K821" s="1" t="s">
        <v>27</v>
      </c>
      <c r="L821">
        <v>0.79</v>
      </c>
    </row>
    <row r="822" spans="1:12" x14ac:dyDescent="0.3">
      <c r="A822" s="1" t="s">
        <v>1730</v>
      </c>
      <c r="B822" s="1" t="s">
        <v>1731</v>
      </c>
      <c r="C822" s="1" t="s">
        <v>43</v>
      </c>
      <c r="D822">
        <v>49</v>
      </c>
      <c r="E822" s="1" t="s">
        <v>186</v>
      </c>
      <c r="F822" s="1" t="s">
        <v>187</v>
      </c>
      <c r="G822" s="1" t="s">
        <v>25</v>
      </c>
      <c r="H822">
        <v>15</v>
      </c>
      <c r="I822" s="1" t="s">
        <v>76</v>
      </c>
      <c r="J822">
        <v>3.9</v>
      </c>
      <c r="K822" s="1" t="s">
        <v>51</v>
      </c>
      <c r="L822">
        <v>0.86</v>
      </c>
    </row>
    <row r="823" spans="1:12" x14ac:dyDescent="0.3">
      <c r="A823" s="1" t="s">
        <v>1732</v>
      </c>
      <c r="B823" s="1" t="s">
        <v>1733</v>
      </c>
      <c r="C823" s="1" t="s">
        <v>69</v>
      </c>
      <c r="D823">
        <v>30</v>
      </c>
      <c r="E823" s="1" t="s">
        <v>23</v>
      </c>
      <c r="F823" s="1" t="s">
        <v>24</v>
      </c>
      <c r="G823" s="1" t="s">
        <v>82</v>
      </c>
      <c r="H823">
        <v>11</v>
      </c>
      <c r="I823" s="1" t="s">
        <v>50</v>
      </c>
      <c r="J823">
        <v>4.2</v>
      </c>
      <c r="K823" s="1" t="s">
        <v>19</v>
      </c>
      <c r="L823">
        <v>0.65</v>
      </c>
    </row>
    <row r="824" spans="1:12" x14ac:dyDescent="0.3">
      <c r="A824" s="1" t="s">
        <v>1734</v>
      </c>
      <c r="B824" s="1" t="s">
        <v>1735</v>
      </c>
      <c r="C824" s="1" t="s">
        <v>43</v>
      </c>
      <c r="D824">
        <v>37</v>
      </c>
      <c r="E824" s="1" t="s">
        <v>95</v>
      </c>
      <c r="F824" s="1" t="s">
        <v>96</v>
      </c>
      <c r="G824" s="1" t="s">
        <v>49</v>
      </c>
      <c r="H824">
        <v>6</v>
      </c>
      <c r="I824" s="1" t="s">
        <v>151</v>
      </c>
      <c r="K824" s="1" t="s">
        <v>65</v>
      </c>
      <c r="L824">
        <v>0.99</v>
      </c>
    </row>
    <row r="825" spans="1:12" x14ac:dyDescent="0.3">
      <c r="A825" s="1" t="s">
        <v>1736</v>
      </c>
      <c r="B825" s="1" t="s">
        <v>1737</v>
      </c>
      <c r="C825" s="1" t="s">
        <v>30</v>
      </c>
      <c r="D825">
        <v>21</v>
      </c>
      <c r="E825" s="1" t="s">
        <v>149</v>
      </c>
      <c r="F825" s="1" t="s">
        <v>150</v>
      </c>
      <c r="G825" s="1" t="s">
        <v>33</v>
      </c>
      <c r="H825">
        <v>2</v>
      </c>
      <c r="I825" s="1" t="s">
        <v>18</v>
      </c>
      <c r="J825">
        <v>3.6</v>
      </c>
      <c r="K825" s="1" t="s">
        <v>51</v>
      </c>
      <c r="L825">
        <v>85</v>
      </c>
    </row>
    <row r="826" spans="1:12" x14ac:dyDescent="0.3">
      <c r="A826" s="1" t="s">
        <v>1738</v>
      </c>
      <c r="B826" s="1" t="s">
        <v>1739</v>
      </c>
      <c r="C826" s="1" t="s">
        <v>107</v>
      </c>
      <c r="D826">
        <v>20</v>
      </c>
      <c r="E826" s="1" t="s">
        <v>122</v>
      </c>
      <c r="F826" s="1" t="s">
        <v>123</v>
      </c>
      <c r="G826" s="1" t="s">
        <v>49</v>
      </c>
      <c r="H826">
        <v>1</v>
      </c>
      <c r="I826" s="1" t="s">
        <v>108</v>
      </c>
      <c r="K826" s="1" t="s">
        <v>77</v>
      </c>
      <c r="L826">
        <v>0.81</v>
      </c>
    </row>
    <row r="827" spans="1:12" x14ac:dyDescent="0.3">
      <c r="A827" s="1" t="s">
        <v>1740</v>
      </c>
      <c r="B827" s="1" t="s">
        <v>1741</v>
      </c>
      <c r="C827" s="1" t="s">
        <v>30</v>
      </c>
      <c r="D827">
        <v>20</v>
      </c>
      <c r="E827" s="1" t="s">
        <v>186</v>
      </c>
      <c r="F827" s="1" t="s">
        <v>187</v>
      </c>
      <c r="G827" s="1" t="s">
        <v>57</v>
      </c>
      <c r="H827">
        <v>2</v>
      </c>
      <c r="I827" s="1" t="s">
        <v>40</v>
      </c>
      <c r="J827">
        <v>2.1</v>
      </c>
      <c r="K827" s="1" t="s">
        <v>35</v>
      </c>
      <c r="L827">
        <v>0.64</v>
      </c>
    </row>
    <row r="828" spans="1:12" x14ac:dyDescent="0.3">
      <c r="A828" s="1" t="s">
        <v>1742</v>
      </c>
      <c r="B828" s="1" t="s">
        <v>1743</v>
      </c>
      <c r="C828" s="1" t="s">
        <v>69</v>
      </c>
      <c r="D828">
        <v>20</v>
      </c>
      <c r="E828" s="1" t="s">
        <v>80</v>
      </c>
      <c r="F828" s="1" t="s">
        <v>81</v>
      </c>
      <c r="G828" s="1" t="s">
        <v>124</v>
      </c>
      <c r="H828">
        <v>2</v>
      </c>
      <c r="I828" s="1" t="s">
        <v>151</v>
      </c>
      <c r="J828">
        <v>3.9</v>
      </c>
      <c r="K828" s="1" t="s">
        <v>51</v>
      </c>
      <c r="L828">
        <v>0.84</v>
      </c>
    </row>
    <row r="829" spans="1:12" x14ac:dyDescent="0.3">
      <c r="A829" s="1" t="s">
        <v>1744</v>
      </c>
      <c r="B829" s="1" t="s">
        <v>1745</v>
      </c>
      <c r="C829" s="1" t="s">
        <v>14</v>
      </c>
      <c r="D829">
        <v>26</v>
      </c>
      <c r="E829" s="1" t="s">
        <v>134</v>
      </c>
      <c r="F829" s="1" t="s">
        <v>135</v>
      </c>
      <c r="G829" s="1" t="s">
        <v>124</v>
      </c>
      <c r="H829">
        <v>2</v>
      </c>
      <c r="I829" s="1" t="s">
        <v>76</v>
      </c>
      <c r="J829">
        <v>0</v>
      </c>
      <c r="K829" s="1" t="s">
        <v>65</v>
      </c>
      <c r="L829">
        <v>0.66</v>
      </c>
    </row>
    <row r="830" spans="1:12" x14ac:dyDescent="0.3">
      <c r="A830" s="1" t="s">
        <v>1746</v>
      </c>
      <c r="B830" s="1" t="s">
        <v>1747</v>
      </c>
      <c r="C830" s="1" t="s">
        <v>43</v>
      </c>
      <c r="D830">
        <v>50</v>
      </c>
      <c r="E830" s="1" t="s">
        <v>122</v>
      </c>
      <c r="F830" s="1" t="s">
        <v>123</v>
      </c>
      <c r="G830" s="1" t="s">
        <v>39</v>
      </c>
      <c r="H830">
        <v>12</v>
      </c>
      <c r="I830" s="1" t="s">
        <v>181</v>
      </c>
      <c r="J830">
        <v>0</v>
      </c>
      <c r="K830" s="1" t="s">
        <v>51</v>
      </c>
      <c r="L830">
        <v>75</v>
      </c>
    </row>
    <row r="831" spans="1:12" x14ac:dyDescent="0.3">
      <c r="A831" s="1" t="s">
        <v>1748</v>
      </c>
      <c r="B831" s="1" t="s">
        <v>1749</v>
      </c>
      <c r="C831" s="1" t="s">
        <v>107</v>
      </c>
      <c r="D831">
        <v>50</v>
      </c>
      <c r="E831" s="1" t="s">
        <v>201</v>
      </c>
      <c r="F831" s="1" t="s">
        <v>81</v>
      </c>
      <c r="G831" s="1" t="s">
        <v>49</v>
      </c>
      <c r="H831">
        <v>28</v>
      </c>
      <c r="I831" s="1" t="s">
        <v>44</v>
      </c>
      <c r="J831">
        <v>1.8</v>
      </c>
      <c r="K831" s="1" t="s">
        <v>65</v>
      </c>
    </row>
    <row r="832" spans="1:12" x14ac:dyDescent="0.3">
      <c r="A832" s="1" t="s">
        <v>1750</v>
      </c>
      <c r="B832" s="1" t="s">
        <v>1751</v>
      </c>
      <c r="C832" s="1" t="s">
        <v>86</v>
      </c>
      <c r="D832">
        <v>54</v>
      </c>
      <c r="E832" s="1" t="s">
        <v>55</v>
      </c>
      <c r="F832" s="1" t="s">
        <v>56</v>
      </c>
      <c r="G832" s="1" t="s">
        <v>49</v>
      </c>
      <c r="H832">
        <v>4</v>
      </c>
      <c r="I832" s="1" t="s">
        <v>151</v>
      </c>
      <c r="J832">
        <v>1.1000000000000001</v>
      </c>
      <c r="K832" s="1" t="s">
        <v>27</v>
      </c>
      <c r="L832">
        <v>0.63</v>
      </c>
    </row>
    <row r="833" spans="1:12" x14ac:dyDescent="0.3">
      <c r="A833" s="1" t="s">
        <v>1752</v>
      </c>
      <c r="B833" s="1" t="s">
        <v>1753</v>
      </c>
      <c r="C833" s="1" t="s">
        <v>30</v>
      </c>
      <c r="D833">
        <v>54</v>
      </c>
      <c r="E833" s="1" t="s">
        <v>201</v>
      </c>
      <c r="F833" s="1" t="s">
        <v>81</v>
      </c>
      <c r="G833" s="1" t="s">
        <v>17</v>
      </c>
      <c r="H833">
        <v>3</v>
      </c>
      <c r="I833" s="1" t="s">
        <v>151</v>
      </c>
      <c r="J833">
        <v>1.6</v>
      </c>
      <c r="K833" s="1" t="s">
        <v>83</v>
      </c>
      <c r="L833">
        <v>0.7</v>
      </c>
    </row>
    <row r="834" spans="1:12" x14ac:dyDescent="0.3">
      <c r="A834" s="1" t="s">
        <v>1754</v>
      </c>
      <c r="B834" s="1" t="s">
        <v>1755</v>
      </c>
      <c r="C834" s="1" t="s">
        <v>86</v>
      </c>
      <c r="D834">
        <v>34</v>
      </c>
      <c r="E834" s="1" t="s">
        <v>149</v>
      </c>
      <c r="F834" s="1" t="s">
        <v>150</v>
      </c>
      <c r="G834" s="1" t="s">
        <v>124</v>
      </c>
      <c r="H834">
        <v>4</v>
      </c>
      <c r="I834" s="1" t="s">
        <v>50</v>
      </c>
      <c r="J834">
        <v>3.1</v>
      </c>
      <c r="K834" s="1" t="s">
        <v>65</v>
      </c>
      <c r="L834">
        <v>0.9</v>
      </c>
    </row>
    <row r="835" spans="1:12" x14ac:dyDescent="0.3">
      <c r="A835" s="1" t="s">
        <v>1756</v>
      </c>
      <c r="B835" s="1" t="s">
        <v>1757</v>
      </c>
      <c r="C835" s="1" t="s">
        <v>86</v>
      </c>
      <c r="D835">
        <v>20</v>
      </c>
      <c r="E835" s="1" t="s">
        <v>15</v>
      </c>
      <c r="F835" s="1" t="s">
        <v>16</v>
      </c>
      <c r="G835" s="1" t="s">
        <v>99</v>
      </c>
      <c r="H835">
        <v>1</v>
      </c>
      <c r="I835" s="1" t="s">
        <v>34</v>
      </c>
      <c r="J835">
        <v>3.4</v>
      </c>
      <c r="K835" s="1" t="s">
        <v>27</v>
      </c>
      <c r="L835">
        <v>79</v>
      </c>
    </row>
    <row r="836" spans="1:12" x14ac:dyDescent="0.3">
      <c r="A836" s="1" t="s">
        <v>1758</v>
      </c>
      <c r="B836" s="1" t="s">
        <v>1759</v>
      </c>
      <c r="C836" s="1" t="s">
        <v>30</v>
      </c>
      <c r="D836">
        <v>29</v>
      </c>
      <c r="E836" s="1" t="s">
        <v>31</v>
      </c>
      <c r="F836" s="1" t="s">
        <v>32</v>
      </c>
      <c r="G836" s="1" t="s">
        <v>49</v>
      </c>
      <c r="H836">
        <v>8</v>
      </c>
      <c r="I836" s="1" t="s">
        <v>76</v>
      </c>
      <c r="J836">
        <v>3.1</v>
      </c>
      <c r="K836" s="1" t="s">
        <v>35</v>
      </c>
      <c r="L836">
        <v>0.6</v>
      </c>
    </row>
    <row r="837" spans="1:12" x14ac:dyDescent="0.3">
      <c r="A837" s="1" t="s">
        <v>1760</v>
      </c>
      <c r="B837" s="1" t="s">
        <v>1761</v>
      </c>
      <c r="C837" s="1" t="s">
        <v>43</v>
      </c>
      <c r="D837">
        <v>57</v>
      </c>
      <c r="E837" s="1" t="s">
        <v>75</v>
      </c>
      <c r="F837" s="1" t="s">
        <v>24</v>
      </c>
      <c r="G837" s="1" t="s">
        <v>99</v>
      </c>
      <c r="H837">
        <v>11</v>
      </c>
      <c r="I837" s="1" t="s">
        <v>58</v>
      </c>
      <c r="J837">
        <v>2.2999999999999998</v>
      </c>
      <c r="K837" s="1" t="s">
        <v>19</v>
      </c>
    </row>
    <row r="838" spans="1:12" x14ac:dyDescent="0.3">
      <c r="A838" s="1" t="s">
        <v>1762</v>
      </c>
      <c r="B838" s="1" t="s">
        <v>1763</v>
      </c>
      <c r="C838" s="1" t="s">
        <v>38</v>
      </c>
      <c r="D838">
        <v>36</v>
      </c>
      <c r="E838" s="1" t="s">
        <v>47</v>
      </c>
      <c r="F838" s="1" t="s">
        <v>48</v>
      </c>
      <c r="G838" s="1" t="s">
        <v>49</v>
      </c>
      <c r="H838">
        <v>8</v>
      </c>
      <c r="I838" s="1" t="s">
        <v>61</v>
      </c>
      <c r="K838" s="1" t="s">
        <v>35</v>
      </c>
      <c r="L838">
        <v>0.8</v>
      </c>
    </row>
    <row r="839" spans="1:12" x14ac:dyDescent="0.3">
      <c r="A839" s="1" t="s">
        <v>1764</v>
      </c>
      <c r="B839" s="1" t="s">
        <v>1765</v>
      </c>
      <c r="C839" s="1" t="s">
        <v>107</v>
      </c>
      <c r="D839">
        <v>51</v>
      </c>
      <c r="E839" s="1" t="s">
        <v>122</v>
      </c>
      <c r="F839" s="1" t="s">
        <v>123</v>
      </c>
      <c r="G839" s="1" t="s">
        <v>39</v>
      </c>
      <c r="H839">
        <v>32</v>
      </c>
      <c r="I839" s="1" t="s">
        <v>72</v>
      </c>
      <c r="J839">
        <v>3.2</v>
      </c>
      <c r="K839" s="1" t="s">
        <v>19</v>
      </c>
      <c r="L839">
        <v>88</v>
      </c>
    </row>
    <row r="840" spans="1:12" x14ac:dyDescent="0.3">
      <c r="A840" s="1" t="s">
        <v>1766</v>
      </c>
      <c r="B840" s="1" t="s">
        <v>1767</v>
      </c>
      <c r="C840" s="1" t="s">
        <v>54</v>
      </c>
      <c r="D840">
        <v>44</v>
      </c>
      <c r="E840" s="1" t="s">
        <v>103</v>
      </c>
      <c r="F840" s="1" t="s">
        <v>104</v>
      </c>
      <c r="G840" s="1" t="s">
        <v>82</v>
      </c>
      <c r="H840">
        <v>4</v>
      </c>
      <c r="I840" s="1" t="s">
        <v>119</v>
      </c>
      <c r="J840">
        <v>0</v>
      </c>
      <c r="K840" s="1" t="s">
        <v>35</v>
      </c>
      <c r="L840">
        <v>0.8</v>
      </c>
    </row>
    <row r="841" spans="1:12" x14ac:dyDescent="0.3">
      <c r="A841" s="1" t="s">
        <v>1768</v>
      </c>
      <c r="B841" s="1" t="s">
        <v>1769</v>
      </c>
      <c r="C841" s="1" t="s">
        <v>107</v>
      </c>
      <c r="D841">
        <v>58</v>
      </c>
      <c r="E841" s="1" t="s">
        <v>201</v>
      </c>
      <c r="F841" s="1" t="s">
        <v>81</v>
      </c>
      <c r="G841" s="1" t="s">
        <v>87</v>
      </c>
      <c r="H841">
        <v>33</v>
      </c>
      <c r="I841" s="1" t="s">
        <v>44</v>
      </c>
      <c r="J841">
        <v>3.3</v>
      </c>
      <c r="K841" s="1" t="s">
        <v>83</v>
      </c>
      <c r="L841">
        <v>0.71</v>
      </c>
    </row>
    <row r="842" spans="1:12" x14ac:dyDescent="0.3">
      <c r="A842" s="1" t="s">
        <v>1770</v>
      </c>
      <c r="B842" s="1" t="s">
        <v>1771</v>
      </c>
      <c r="C842" s="1" t="s">
        <v>14</v>
      </c>
      <c r="D842">
        <v>38</v>
      </c>
      <c r="E842" s="1" t="s">
        <v>164</v>
      </c>
      <c r="F842" s="1" t="s">
        <v>165</v>
      </c>
      <c r="G842" s="1" t="s">
        <v>25</v>
      </c>
      <c r="H842">
        <v>14</v>
      </c>
      <c r="I842" s="1" t="s">
        <v>65</v>
      </c>
      <c r="J842">
        <v>1.1000000000000001</v>
      </c>
      <c r="K842" s="1" t="s">
        <v>27</v>
      </c>
      <c r="L842">
        <v>0.76</v>
      </c>
    </row>
    <row r="843" spans="1:12" x14ac:dyDescent="0.3">
      <c r="A843" s="1" t="s">
        <v>1772</v>
      </c>
      <c r="B843" s="1" t="s">
        <v>1773</v>
      </c>
      <c r="C843" s="1" t="s">
        <v>102</v>
      </c>
      <c r="D843">
        <v>24</v>
      </c>
      <c r="E843" s="1" t="s">
        <v>64</v>
      </c>
      <c r="F843" s="1" t="s">
        <v>24</v>
      </c>
      <c r="G843" s="1" t="s">
        <v>82</v>
      </c>
      <c r="H843">
        <v>6</v>
      </c>
      <c r="I843" s="1" t="s">
        <v>119</v>
      </c>
      <c r="J843">
        <v>4.5999999999999996</v>
      </c>
      <c r="K843" s="1" t="s">
        <v>27</v>
      </c>
      <c r="L843">
        <v>0.93</v>
      </c>
    </row>
    <row r="844" spans="1:12" x14ac:dyDescent="0.3">
      <c r="A844" s="1" t="s">
        <v>1774</v>
      </c>
      <c r="B844" s="1" t="s">
        <v>1775</v>
      </c>
      <c r="C844" s="1" t="s">
        <v>38</v>
      </c>
      <c r="D844">
        <v>30</v>
      </c>
      <c r="E844" s="1" t="s">
        <v>70</v>
      </c>
      <c r="F844" s="1" t="s">
        <v>71</v>
      </c>
      <c r="G844" s="1" t="s">
        <v>17</v>
      </c>
      <c r="H844">
        <v>5</v>
      </c>
      <c r="I844" s="1" t="s">
        <v>119</v>
      </c>
      <c r="K844" s="1" t="s">
        <v>19</v>
      </c>
    </row>
    <row r="845" spans="1:12" x14ac:dyDescent="0.3">
      <c r="A845" s="1" t="s">
        <v>1776</v>
      </c>
      <c r="B845" s="1" t="s">
        <v>1777</v>
      </c>
      <c r="C845" s="1" t="s">
        <v>69</v>
      </c>
      <c r="D845">
        <v>25</v>
      </c>
      <c r="E845" s="1" t="s">
        <v>55</v>
      </c>
      <c r="F845" s="1" t="s">
        <v>56</v>
      </c>
      <c r="G845" s="1" t="s">
        <v>87</v>
      </c>
      <c r="H845">
        <v>3</v>
      </c>
      <c r="I845" s="1" t="s">
        <v>92</v>
      </c>
      <c r="K845" s="1" t="s">
        <v>19</v>
      </c>
      <c r="L845">
        <v>0.83</v>
      </c>
    </row>
    <row r="846" spans="1:12" x14ac:dyDescent="0.3">
      <c r="A846" s="1" t="s">
        <v>1778</v>
      </c>
      <c r="B846" s="1" t="s">
        <v>1779</v>
      </c>
      <c r="C846" s="1" t="s">
        <v>102</v>
      </c>
      <c r="D846">
        <v>54</v>
      </c>
      <c r="E846" s="1" t="s">
        <v>55</v>
      </c>
      <c r="F846" s="1" t="s">
        <v>56</v>
      </c>
      <c r="G846" s="1" t="s">
        <v>25</v>
      </c>
      <c r="H846">
        <v>17</v>
      </c>
      <c r="I846" s="1" t="s">
        <v>240</v>
      </c>
      <c r="J846">
        <v>0</v>
      </c>
      <c r="K846" s="1" t="s">
        <v>19</v>
      </c>
      <c r="L846">
        <v>0.71</v>
      </c>
    </row>
    <row r="847" spans="1:12" x14ac:dyDescent="0.3">
      <c r="A847" s="1" t="s">
        <v>1780</v>
      </c>
      <c r="B847" s="1" t="s">
        <v>1781</v>
      </c>
      <c r="C847" s="1" t="s">
        <v>30</v>
      </c>
      <c r="D847">
        <v>54</v>
      </c>
      <c r="E847" s="1" t="s">
        <v>15</v>
      </c>
      <c r="F847" s="1" t="s">
        <v>16</v>
      </c>
      <c r="G847" s="1" t="s">
        <v>87</v>
      </c>
      <c r="H847">
        <v>9</v>
      </c>
      <c r="I847" s="1" t="s">
        <v>325</v>
      </c>
      <c r="J847">
        <v>0</v>
      </c>
      <c r="K847" s="1" t="s">
        <v>77</v>
      </c>
      <c r="L847">
        <v>0.96</v>
      </c>
    </row>
    <row r="848" spans="1:12" x14ac:dyDescent="0.3">
      <c r="A848" s="1" t="s">
        <v>1782</v>
      </c>
      <c r="B848" s="1" t="s">
        <v>1783</v>
      </c>
      <c r="C848" s="1" t="s">
        <v>38</v>
      </c>
      <c r="D848">
        <v>53</v>
      </c>
      <c r="E848" s="1" t="s">
        <v>145</v>
      </c>
      <c r="F848" s="1" t="s">
        <v>146</v>
      </c>
      <c r="G848" s="1" t="s">
        <v>33</v>
      </c>
      <c r="H848">
        <v>16</v>
      </c>
      <c r="I848" s="1" t="s">
        <v>76</v>
      </c>
      <c r="J848">
        <v>0</v>
      </c>
      <c r="K848" s="1" t="s">
        <v>170</v>
      </c>
    </row>
    <row r="849" spans="1:12" x14ac:dyDescent="0.3">
      <c r="A849" s="1" t="s">
        <v>1784</v>
      </c>
      <c r="B849" s="1" t="s">
        <v>1785</v>
      </c>
      <c r="C849" s="1" t="s">
        <v>30</v>
      </c>
      <c r="D849">
        <v>22</v>
      </c>
      <c r="E849" s="1" t="s">
        <v>134</v>
      </c>
      <c r="F849" s="1" t="s">
        <v>135</v>
      </c>
      <c r="G849" s="1" t="s">
        <v>49</v>
      </c>
      <c r="H849">
        <v>3</v>
      </c>
      <c r="I849" s="1" t="s">
        <v>92</v>
      </c>
      <c r="J849">
        <v>3.4</v>
      </c>
      <c r="K849" s="1" t="s">
        <v>83</v>
      </c>
      <c r="L849">
        <v>0.65</v>
      </c>
    </row>
    <row r="850" spans="1:12" x14ac:dyDescent="0.3">
      <c r="A850" s="1" t="s">
        <v>1786</v>
      </c>
      <c r="B850" s="1" t="s">
        <v>1787</v>
      </c>
      <c r="C850" s="1" t="s">
        <v>43</v>
      </c>
      <c r="D850">
        <v>23</v>
      </c>
      <c r="E850" s="1" t="s">
        <v>190</v>
      </c>
      <c r="F850" s="1" t="s">
        <v>81</v>
      </c>
      <c r="G850" s="1" t="s">
        <v>57</v>
      </c>
      <c r="H850">
        <v>2</v>
      </c>
      <c r="I850" s="1" t="s">
        <v>325</v>
      </c>
      <c r="J850">
        <v>1.3</v>
      </c>
      <c r="K850" s="1" t="s">
        <v>35</v>
      </c>
    </row>
    <row r="851" spans="1:12" x14ac:dyDescent="0.3">
      <c r="A851" s="1" t="s">
        <v>1788</v>
      </c>
      <c r="B851" s="1" t="s">
        <v>1789</v>
      </c>
      <c r="C851" s="1" t="s">
        <v>22</v>
      </c>
      <c r="D851">
        <v>47</v>
      </c>
      <c r="E851" s="1" t="s">
        <v>145</v>
      </c>
      <c r="F851" s="1" t="s">
        <v>146</v>
      </c>
      <c r="G851" s="1" t="s">
        <v>87</v>
      </c>
      <c r="H851">
        <v>16</v>
      </c>
      <c r="I851" s="1" t="s">
        <v>34</v>
      </c>
      <c r="J851">
        <v>1.9</v>
      </c>
      <c r="K851" s="1" t="s">
        <v>19</v>
      </c>
      <c r="L851">
        <v>0.71</v>
      </c>
    </row>
    <row r="852" spans="1:12" x14ac:dyDescent="0.3">
      <c r="A852" s="1" t="s">
        <v>1790</v>
      </c>
      <c r="B852" s="1" t="s">
        <v>1791</v>
      </c>
      <c r="C852" s="1" t="s">
        <v>107</v>
      </c>
      <c r="D852">
        <v>24</v>
      </c>
      <c r="E852" s="1" t="s">
        <v>145</v>
      </c>
      <c r="F852" s="1" t="s">
        <v>146</v>
      </c>
      <c r="G852" s="1" t="s">
        <v>39</v>
      </c>
      <c r="H852">
        <v>6</v>
      </c>
      <c r="I852" s="1" t="s">
        <v>34</v>
      </c>
      <c r="J852">
        <v>1.4</v>
      </c>
      <c r="K852" s="1" t="s">
        <v>83</v>
      </c>
      <c r="L852">
        <v>63</v>
      </c>
    </row>
    <row r="853" spans="1:12" x14ac:dyDescent="0.3">
      <c r="A853" s="1" t="s">
        <v>1792</v>
      </c>
      <c r="B853" s="1" t="s">
        <v>1793</v>
      </c>
      <c r="C853" s="1" t="s">
        <v>14</v>
      </c>
      <c r="D853">
        <v>57</v>
      </c>
      <c r="E853" s="1" t="s">
        <v>103</v>
      </c>
      <c r="F853" s="1" t="s">
        <v>104</v>
      </c>
      <c r="G853" s="1" t="s">
        <v>82</v>
      </c>
      <c r="H853">
        <v>10</v>
      </c>
      <c r="I853" s="1" t="s">
        <v>240</v>
      </c>
      <c r="J853">
        <v>4.3</v>
      </c>
      <c r="K853" s="1" t="s">
        <v>51</v>
      </c>
    </row>
    <row r="854" spans="1:12" x14ac:dyDescent="0.3">
      <c r="A854" s="1" t="s">
        <v>1794</v>
      </c>
      <c r="B854" s="1" t="s">
        <v>1795</v>
      </c>
      <c r="C854" s="1" t="s">
        <v>107</v>
      </c>
      <c r="D854">
        <v>48</v>
      </c>
      <c r="E854" s="1" t="s">
        <v>201</v>
      </c>
      <c r="F854" s="1" t="s">
        <v>81</v>
      </c>
      <c r="G854" s="1" t="s">
        <v>33</v>
      </c>
      <c r="H854">
        <v>16</v>
      </c>
      <c r="I854" s="1" t="s">
        <v>50</v>
      </c>
      <c r="K854" s="1" t="s">
        <v>170</v>
      </c>
      <c r="L854">
        <v>0.97</v>
      </c>
    </row>
    <row r="855" spans="1:12" x14ac:dyDescent="0.3">
      <c r="A855" s="1" t="s">
        <v>1796</v>
      </c>
      <c r="B855" s="1" t="s">
        <v>1797</v>
      </c>
      <c r="C855" s="1" t="s">
        <v>86</v>
      </c>
      <c r="D855">
        <v>21</v>
      </c>
      <c r="E855" s="1" t="s">
        <v>70</v>
      </c>
      <c r="F855" s="1" t="s">
        <v>71</v>
      </c>
      <c r="G855" s="1" t="s">
        <v>82</v>
      </c>
      <c r="H855">
        <v>0</v>
      </c>
      <c r="I855" s="1" t="s">
        <v>240</v>
      </c>
      <c r="J855">
        <v>4.3</v>
      </c>
      <c r="K855" s="1" t="s">
        <v>19</v>
      </c>
    </row>
    <row r="856" spans="1:12" x14ac:dyDescent="0.3">
      <c r="A856" s="1" t="s">
        <v>1798</v>
      </c>
      <c r="B856" s="1" t="s">
        <v>1799</v>
      </c>
      <c r="C856" s="1" t="s">
        <v>54</v>
      </c>
      <c r="D856">
        <v>33</v>
      </c>
      <c r="E856" s="1" t="s">
        <v>95</v>
      </c>
      <c r="F856" s="1" t="s">
        <v>96</v>
      </c>
      <c r="G856" s="1" t="s">
        <v>49</v>
      </c>
      <c r="H856">
        <v>13</v>
      </c>
      <c r="I856" s="1" t="s">
        <v>58</v>
      </c>
      <c r="J856">
        <v>0</v>
      </c>
      <c r="K856" s="1" t="s">
        <v>66</v>
      </c>
    </row>
    <row r="857" spans="1:12" x14ac:dyDescent="0.3">
      <c r="A857" s="1" t="s">
        <v>1800</v>
      </c>
      <c r="B857" s="1" t="s">
        <v>1801</v>
      </c>
      <c r="C857" s="1" t="s">
        <v>107</v>
      </c>
      <c r="D857">
        <v>41</v>
      </c>
      <c r="E857" s="1" t="s">
        <v>70</v>
      </c>
      <c r="F857" s="1" t="s">
        <v>71</v>
      </c>
      <c r="G857" s="1" t="s">
        <v>99</v>
      </c>
      <c r="H857">
        <v>12</v>
      </c>
      <c r="I857" s="1" t="s">
        <v>65</v>
      </c>
      <c r="J857">
        <v>1.3</v>
      </c>
      <c r="K857" s="1" t="s">
        <v>19</v>
      </c>
      <c r="L857">
        <v>0.85</v>
      </c>
    </row>
    <row r="858" spans="1:12" x14ac:dyDescent="0.3">
      <c r="A858" s="1" t="s">
        <v>1802</v>
      </c>
      <c r="B858" s="1" t="s">
        <v>1803</v>
      </c>
      <c r="C858" s="1" t="s">
        <v>69</v>
      </c>
      <c r="D858">
        <v>40</v>
      </c>
      <c r="E858" s="1" t="s">
        <v>23</v>
      </c>
      <c r="F858" s="1" t="s">
        <v>24</v>
      </c>
      <c r="G858" s="1" t="s">
        <v>87</v>
      </c>
      <c r="H858">
        <v>13</v>
      </c>
      <c r="I858" s="1" t="s">
        <v>108</v>
      </c>
      <c r="J858">
        <v>2.9</v>
      </c>
      <c r="K858" s="1" t="s">
        <v>170</v>
      </c>
      <c r="L858">
        <v>0.82</v>
      </c>
    </row>
    <row r="859" spans="1:12" x14ac:dyDescent="0.3">
      <c r="A859" s="1" t="s">
        <v>1804</v>
      </c>
      <c r="B859" s="1" t="s">
        <v>1805</v>
      </c>
      <c r="C859" s="1" t="s">
        <v>14</v>
      </c>
      <c r="D859">
        <v>40</v>
      </c>
      <c r="E859" s="1" t="s">
        <v>190</v>
      </c>
      <c r="F859" s="1" t="s">
        <v>81</v>
      </c>
      <c r="G859" s="1" t="s">
        <v>33</v>
      </c>
      <c r="H859">
        <v>22</v>
      </c>
      <c r="I859" s="1" t="s">
        <v>61</v>
      </c>
      <c r="J859">
        <v>4.3</v>
      </c>
      <c r="K859" s="1" t="s">
        <v>19</v>
      </c>
      <c r="L859">
        <v>0.95</v>
      </c>
    </row>
    <row r="860" spans="1:12" x14ac:dyDescent="0.3">
      <c r="A860" s="1" t="s">
        <v>1806</v>
      </c>
      <c r="B860" s="1" t="s">
        <v>1807</v>
      </c>
      <c r="C860" s="1" t="s">
        <v>86</v>
      </c>
      <c r="D860">
        <v>20</v>
      </c>
      <c r="E860" s="1" t="s">
        <v>64</v>
      </c>
      <c r="F860" s="1" t="s">
        <v>24</v>
      </c>
      <c r="G860" s="1" t="s">
        <v>33</v>
      </c>
      <c r="H860">
        <v>1</v>
      </c>
      <c r="I860" s="1" t="s">
        <v>65</v>
      </c>
      <c r="J860">
        <v>2.7</v>
      </c>
      <c r="K860" s="1" t="s">
        <v>19</v>
      </c>
      <c r="L860">
        <v>94</v>
      </c>
    </row>
    <row r="861" spans="1:12" x14ac:dyDescent="0.3">
      <c r="A861" s="1" t="s">
        <v>1808</v>
      </c>
      <c r="B861" s="1" t="s">
        <v>1809</v>
      </c>
      <c r="C861" s="1" t="s">
        <v>38</v>
      </c>
      <c r="D861">
        <v>42</v>
      </c>
      <c r="E861" s="1" t="s">
        <v>190</v>
      </c>
      <c r="F861" s="1" t="s">
        <v>81</v>
      </c>
      <c r="G861" s="1" t="s">
        <v>39</v>
      </c>
      <c r="I861" s="1" t="s">
        <v>72</v>
      </c>
      <c r="J861">
        <v>4.2</v>
      </c>
      <c r="K861" s="1" t="s">
        <v>65</v>
      </c>
      <c r="L861">
        <v>0.96</v>
      </c>
    </row>
    <row r="862" spans="1:12" x14ac:dyDescent="0.3">
      <c r="A862" s="1" t="s">
        <v>1810</v>
      </c>
      <c r="B862" s="1" t="s">
        <v>1811</v>
      </c>
      <c r="C862" s="1" t="s">
        <v>54</v>
      </c>
      <c r="D862">
        <v>32</v>
      </c>
      <c r="E862" s="1" t="s">
        <v>138</v>
      </c>
      <c r="F862" s="1" t="s">
        <v>24</v>
      </c>
      <c r="G862" s="1" t="s">
        <v>17</v>
      </c>
      <c r="H862">
        <v>12</v>
      </c>
      <c r="I862" s="1" t="s">
        <v>76</v>
      </c>
      <c r="J862">
        <v>0</v>
      </c>
      <c r="K862" s="1" t="s">
        <v>77</v>
      </c>
      <c r="L862">
        <v>0.63</v>
      </c>
    </row>
    <row r="863" spans="1:12" x14ac:dyDescent="0.3">
      <c r="A863" s="1" t="s">
        <v>1812</v>
      </c>
      <c r="B863" s="1" t="s">
        <v>1813</v>
      </c>
      <c r="C863" s="1" t="s">
        <v>107</v>
      </c>
      <c r="D863">
        <v>60</v>
      </c>
      <c r="E863" s="1" t="s">
        <v>95</v>
      </c>
      <c r="F863" s="1" t="s">
        <v>96</v>
      </c>
      <c r="G863" s="1" t="s">
        <v>49</v>
      </c>
      <c r="I863" s="1" t="s">
        <v>151</v>
      </c>
      <c r="J863">
        <v>2.2000000000000002</v>
      </c>
      <c r="K863" s="1" t="s">
        <v>51</v>
      </c>
      <c r="L863">
        <v>0.6</v>
      </c>
    </row>
    <row r="864" spans="1:12" x14ac:dyDescent="0.3">
      <c r="A864" s="1" t="s">
        <v>1814</v>
      </c>
      <c r="B864" s="1" t="s">
        <v>1815</v>
      </c>
      <c r="C864" s="1" t="s">
        <v>102</v>
      </c>
      <c r="D864">
        <v>46</v>
      </c>
      <c r="E864" s="1" t="s">
        <v>149</v>
      </c>
      <c r="F864" s="1" t="s">
        <v>150</v>
      </c>
      <c r="G864" s="1" t="s">
        <v>124</v>
      </c>
      <c r="H864">
        <v>12</v>
      </c>
      <c r="I864" s="1" t="s">
        <v>34</v>
      </c>
      <c r="J864">
        <v>4.7</v>
      </c>
      <c r="K864" s="1" t="s">
        <v>77</v>
      </c>
      <c r="L864">
        <v>0.77</v>
      </c>
    </row>
    <row r="865" spans="1:12" x14ac:dyDescent="0.3">
      <c r="A865" s="1" t="s">
        <v>1816</v>
      </c>
      <c r="B865" s="1" t="s">
        <v>1817</v>
      </c>
      <c r="C865" s="1" t="s">
        <v>30</v>
      </c>
      <c r="D865">
        <v>29</v>
      </c>
      <c r="E865" s="1" t="s">
        <v>186</v>
      </c>
      <c r="F865" s="1" t="s">
        <v>187</v>
      </c>
      <c r="G865" s="1" t="s">
        <v>99</v>
      </c>
      <c r="H865">
        <v>0</v>
      </c>
      <c r="I865" s="1" t="s">
        <v>44</v>
      </c>
      <c r="J865">
        <v>0</v>
      </c>
      <c r="K865" s="1" t="s">
        <v>19</v>
      </c>
      <c r="L865">
        <v>0.63</v>
      </c>
    </row>
    <row r="866" spans="1:12" x14ac:dyDescent="0.3">
      <c r="A866" s="1" t="s">
        <v>1818</v>
      </c>
      <c r="B866" s="1" t="s">
        <v>1819</v>
      </c>
      <c r="C866" s="1" t="s">
        <v>22</v>
      </c>
      <c r="D866">
        <v>39</v>
      </c>
      <c r="E866" s="1" t="s">
        <v>117</v>
      </c>
      <c r="F866" s="1" t="s">
        <v>118</v>
      </c>
      <c r="G866" s="1" t="s">
        <v>25</v>
      </c>
      <c r="H866">
        <v>18</v>
      </c>
      <c r="I866" s="1" t="s">
        <v>151</v>
      </c>
      <c r="J866">
        <v>2.5</v>
      </c>
      <c r="K866" s="1" t="s">
        <v>77</v>
      </c>
      <c r="L866">
        <v>0.61</v>
      </c>
    </row>
    <row r="867" spans="1:12" x14ac:dyDescent="0.3">
      <c r="A867" s="1" t="s">
        <v>1820</v>
      </c>
      <c r="B867" s="1" t="s">
        <v>1821</v>
      </c>
      <c r="C867" s="1" t="s">
        <v>69</v>
      </c>
      <c r="D867">
        <v>55</v>
      </c>
      <c r="E867" s="1" t="s">
        <v>134</v>
      </c>
      <c r="F867" s="1" t="s">
        <v>135</v>
      </c>
      <c r="G867" s="1" t="s">
        <v>25</v>
      </c>
      <c r="H867">
        <v>2</v>
      </c>
      <c r="I867" s="1" t="s">
        <v>72</v>
      </c>
      <c r="J867">
        <v>3.9</v>
      </c>
      <c r="K867" s="1" t="s">
        <v>77</v>
      </c>
      <c r="L867">
        <v>0.88</v>
      </c>
    </row>
    <row r="868" spans="1:12" x14ac:dyDescent="0.3">
      <c r="A868" s="1" t="s">
        <v>1822</v>
      </c>
      <c r="B868" s="1" t="s">
        <v>1823</v>
      </c>
      <c r="C868" s="1" t="s">
        <v>54</v>
      </c>
      <c r="D868">
        <v>55</v>
      </c>
      <c r="E868" s="1" t="s">
        <v>70</v>
      </c>
      <c r="F868" s="1" t="s">
        <v>71</v>
      </c>
      <c r="G868" s="1" t="s">
        <v>87</v>
      </c>
      <c r="I868" s="1" t="s">
        <v>26</v>
      </c>
      <c r="J868">
        <v>1.2</v>
      </c>
      <c r="K868" s="1" t="s">
        <v>27</v>
      </c>
      <c r="L868">
        <v>0.69</v>
      </c>
    </row>
    <row r="869" spans="1:12" x14ac:dyDescent="0.3">
      <c r="A869" s="1" t="s">
        <v>1824</v>
      </c>
      <c r="B869" s="1" t="s">
        <v>1825</v>
      </c>
      <c r="C869" s="1" t="s">
        <v>107</v>
      </c>
      <c r="D869">
        <v>40</v>
      </c>
      <c r="E869" s="1" t="s">
        <v>55</v>
      </c>
      <c r="F869" s="1" t="s">
        <v>56</v>
      </c>
      <c r="G869" s="1" t="s">
        <v>57</v>
      </c>
      <c r="H869">
        <v>2</v>
      </c>
      <c r="I869" s="1" t="s">
        <v>92</v>
      </c>
      <c r="J869">
        <v>4.5</v>
      </c>
      <c r="K869" s="1" t="s">
        <v>77</v>
      </c>
    </row>
    <row r="870" spans="1:12" x14ac:dyDescent="0.3">
      <c r="A870" s="1" t="s">
        <v>1826</v>
      </c>
      <c r="B870" s="1" t="s">
        <v>1827</v>
      </c>
      <c r="C870" s="1" t="s">
        <v>14</v>
      </c>
      <c r="D870">
        <v>56</v>
      </c>
      <c r="E870" s="1" t="s">
        <v>186</v>
      </c>
      <c r="F870" s="1" t="s">
        <v>187</v>
      </c>
      <c r="G870" s="1" t="s">
        <v>82</v>
      </c>
      <c r="H870">
        <v>35</v>
      </c>
      <c r="I870" s="1" t="s">
        <v>40</v>
      </c>
      <c r="J870">
        <v>2.7</v>
      </c>
      <c r="K870" s="1" t="s">
        <v>66</v>
      </c>
      <c r="L870">
        <v>0.82</v>
      </c>
    </row>
    <row r="871" spans="1:12" x14ac:dyDescent="0.3">
      <c r="A871" s="1" t="s">
        <v>1828</v>
      </c>
      <c r="B871" s="1" t="s">
        <v>1829</v>
      </c>
      <c r="C871" s="1" t="s">
        <v>69</v>
      </c>
      <c r="D871">
        <v>57</v>
      </c>
      <c r="E871" s="1" t="s">
        <v>190</v>
      </c>
      <c r="F871" s="1" t="s">
        <v>81</v>
      </c>
      <c r="G871" s="1" t="s">
        <v>25</v>
      </c>
      <c r="H871">
        <v>21</v>
      </c>
      <c r="I871" s="1" t="s">
        <v>92</v>
      </c>
      <c r="J871">
        <v>2</v>
      </c>
      <c r="K871" s="1" t="s">
        <v>35</v>
      </c>
      <c r="L871">
        <v>0.96</v>
      </c>
    </row>
    <row r="872" spans="1:12" x14ac:dyDescent="0.3">
      <c r="A872" s="1" t="s">
        <v>1830</v>
      </c>
      <c r="B872" s="1" t="s">
        <v>1831</v>
      </c>
      <c r="C872" s="1" t="s">
        <v>38</v>
      </c>
      <c r="D872">
        <v>56</v>
      </c>
      <c r="E872" s="1" t="s">
        <v>134</v>
      </c>
      <c r="F872" s="1" t="s">
        <v>135</v>
      </c>
      <c r="G872" s="1" t="s">
        <v>99</v>
      </c>
      <c r="H872">
        <v>3</v>
      </c>
      <c r="I872" s="1" t="s">
        <v>40</v>
      </c>
      <c r="J872">
        <v>1.7</v>
      </c>
      <c r="K872" s="1" t="s">
        <v>35</v>
      </c>
      <c r="L872">
        <v>0.71</v>
      </c>
    </row>
    <row r="873" spans="1:12" x14ac:dyDescent="0.3">
      <c r="A873" s="1" t="s">
        <v>1832</v>
      </c>
      <c r="B873" s="1" t="s">
        <v>1833</v>
      </c>
      <c r="C873" s="1" t="s">
        <v>14</v>
      </c>
      <c r="D873">
        <v>49</v>
      </c>
      <c r="E873" s="1" t="s">
        <v>31</v>
      </c>
      <c r="F873" s="1" t="s">
        <v>32</v>
      </c>
      <c r="G873" s="1" t="s">
        <v>25</v>
      </c>
      <c r="H873">
        <v>24</v>
      </c>
      <c r="I873" s="1" t="s">
        <v>181</v>
      </c>
      <c r="J873">
        <v>3</v>
      </c>
      <c r="K873" s="1" t="s">
        <v>27</v>
      </c>
      <c r="L873">
        <v>0.77</v>
      </c>
    </row>
    <row r="874" spans="1:12" x14ac:dyDescent="0.3">
      <c r="A874" s="1" t="s">
        <v>1834</v>
      </c>
      <c r="B874" s="1" t="s">
        <v>1835</v>
      </c>
      <c r="C874" s="1" t="s">
        <v>69</v>
      </c>
      <c r="D874">
        <v>26</v>
      </c>
      <c r="E874" s="1" t="s">
        <v>201</v>
      </c>
      <c r="F874" s="1" t="s">
        <v>81</v>
      </c>
      <c r="G874" s="1" t="s">
        <v>17</v>
      </c>
      <c r="I874" s="1" t="s">
        <v>181</v>
      </c>
      <c r="J874">
        <v>2.1</v>
      </c>
      <c r="K874" s="1" t="s">
        <v>77</v>
      </c>
    </row>
    <row r="875" spans="1:12" x14ac:dyDescent="0.3">
      <c r="A875" s="1" t="s">
        <v>1836</v>
      </c>
      <c r="B875" s="1" t="s">
        <v>1837</v>
      </c>
      <c r="C875" s="1" t="s">
        <v>86</v>
      </c>
      <c r="D875">
        <v>36</v>
      </c>
      <c r="E875" s="1" t="s">
        <v>122</v>
      </c>
      <c r="F875" s="1" t="s">
        <v>123</v>
      </c>
      <c r="G875" s="1" t="s">
        <v>82</v>
      </c>
      <c r="H875">
        <v>0</v>
      </c>
      <c r="I875" s="1" t="s">
        <v>92</v>
      </c>
      <c r="J875">
        <v>1.5</v>
      </c>
      <c r="K875" s="1" t="s">
        <v>65</v>
      </c>
      <c r="L875">
        <v>0.73</v>
      </c>
    </row>
    <row r="876" spans="1:12" x14ac:dyDescent="0.3">
      <c r="A876" s="1" t="s">
        <v>1838</v>
      </c>
      <c r="B876" s="1" t="s">
        <v>1839</v>
      </c>
      <c r="C876" s="1" t="s">
        <v>102</v>
      </c>
      <c r="D876">
        <v>20</v>
      </c>
      <c r="E876" s="1" t="s">
        <v>134</v>
      </c>
      <c r="F876" s="1" t="s">
        <v>135</v>
      </c>
      <c r="G876" s="1" t="s">
        <v>39</v>
      </c>
      <c r="H876">
        <v>2</v>
      </c>
      <c r="I876" s="1" t="s">
        <v>119</v>
      </c>
      <c r="J876">
        <v>1.7</v>
      </c>
      <c r="K876" s="1" t="s">
        <v>66</v>
      </c>
      <c r="L876">
        <v>0.6</v>
      </c>
    </row>
    <row r="877" spans="1:12" x14ac:dyDescent="0.3">
      <c r="A877" s="1" t="s">
        <v>1840</v>
      </c>
      <c r="B877" s="1" t="s">
        <v>1841</v>
      </c>
      <c r="C877" s="1" t="s">
        <v>14</v>
      </c>
      <c r="D877">
        <v>40</v>
      </c>
      <c r="E877" s="1" t="s">
        <v>201</v>
      </c>
      <c r="F877" s="1" t="s">
        <v>81</v>
      </c>
      <c r="G877" s="1" t="s">
        <v>49</v>
      </c>
      <c r="I877" s="1" t="s">
        <v>65</v>
      </c>
      <c r="J877">
        <v>1.2</v>
      </c>
      <c r="K877" s="1" t="s">
        <v>27</v>
      </c>
      <c r="L877">
        <v>0.67</v>
      </c>
    </row>
    <row r="878" spans="1:12" x14ac:dyDescent="0.3">
      <c r="A878" s="1" t="s">
        <v>1842</v>
      </c>
      <c r="B878" s="1" t="s">
        <v>1843</v>
      </c>
      <c r="C878" s="1" t="s">
        <v>43</v>
      </c>
      <c r="D878">
        <v>30</v>
      </c>
      <c r="E878" s="1" t="s">
        <v>103</v>
      </c>
      <c r="F878" s="1" t="s">
        <v>104</v>
      </c>
      <c r="G878" s="1" t="s">
        <v>25</v>
      </c>
      <c r="H878">
        <v>6</v>
      </c>
      <c r="I878" s="1" t="s">
        <v>92</v>
      </c>
      <c r="J878">
        <v>0</v>
      </c>
      <c r="K878" s="1" t="s">
        <v>51</v>
      </c>
      <c r="L878">
        <v>0.8</v>
      </c>
    </row>
    <row r="879" spans="1:12" x14ac:dyDescent="0.3">
      <c r="A879" s="1" t="s">
        <v>1844</v>
      </c>
      <c r="B879" s="1" t="s">
        <v>1845</v>
      </c>
      <c r="C879" s="1" t="s">
        <v>107</v>
      </c>
      <c r="D879">
        <v>51</v>
      </c>
      <c r="E879" s="1" t="s">
        <v>23</v>
      </c>
      <c r="F879" s="1" t="s">
        <v>24</v>
      </c>
      <c r="G879" s="1" t="s">
        <v>33</v>
      </c>
      <c r="H879">
        <v>21</v>
      </c>
      <c r="I879" s="1" t="s">
        <v>151</v>
      </c>
      <c r="K879" s="1" t="s">
        <v>83</v>
      </c>
    </row>
    <row r="880" spans="1:12" x14ac:dyDescent="0.3">
      <c r="A880" s="1" t="s">
        <v>1846</v>
      </c>
      <c r="B880" s="1" t="s">
        <v>1847</v>
      </c>
      <c r="C880" s="1" t="s">
        <v>107</v>
      </c>
      <c r="D880">
        <v>46</v>
      </c>
      <c r="E880" s="1" t="s">
        <v>64</v>
      </c>
      <c r="F880" s="1" t="s">
        <v>24</v>
      </c>
      <c r="G880" s="1" t="s">
        <v>82</v>
      </c>
      <c r="H880">
        <v>24</v>
      </c>
      <c r="I880" s="1" t="s">
        <v>76</v>
      </c>
      <c r="J880">
        <v>3.3</v>
      </c>
      <c r="K880" s="1" t="s">
        <v>27</v>
      </c>
      <c r="L880">
        <v>0.87</v>
      </c>
    </row>
    <row r="881" spans="1:12" x14ac:dyDescent="0.3">
      <c r="A881" s="1" t="s">
        <v>1848</v>
      </c>
      <c r="B881" s="1" t="s">
        <v>1849</v>
      </c>
      <c r="C881" s="1" t="s">
        <v>22</v>
      </c>
      <c r="D881">
        <v>25</v>
      </c>
      <c r="E881" s="1" t="s">
        <v>122</v>
      </c>
      <c r="F881" s="1" t="s">
        <v>123</v>
      </c>
      <c r="G881" s="1" t="s">
        <v>49</v>
      </c>
      <c r="H881">
        <v>6</v>
      </c>
      <c r="I881" s="1" t="s">
        <v>151</v>
      </c>
      <c r="J881">
        <v>2.1</v>
      </c>
      <c r="K881" s="1" t="s">
        <v>170</v>
      </c>
    </row>
    <row r="882" spans="1:12" x14ac:dyDescent="0.3">
      <c r="A882" s="1" t="s">
        <v>1850</v>
      </c>
      <c r="B882" s="1" t="s">
        <v>1851</v>
      </c>
      <c r="C882" s="1" t="s">
        <v>30</v>
      </c>
      <c r="D882">
        <v>53</v>
      </c>
      <c r="E882" s="1" t="s">
        <v>47</v>
      </c>
      <c r="F882" s="1" t="s">
        <v>48</v>
      </c>
      <c r="G882" s="1" t="s">
        <v>39</v>
      </c>
      <c r="H882">
        <v>32</v>
      </c>
      <c r="I882" s="1" t="s">
        <v>34</v>
      </c>
      <c r="K882" s="1" t="s">
        <v>27</v>
      </c>
    </row>
    <row r="883" spans="1:12" x14ac:dyDescent="0.3">
      <c r="A883" s="1" t="s">
        <v>1852</v>
      </c>
      <c r="B883" s="1" t="s">
        <v>1853</v>
      </c>
      <c r="C883" s="1" t="s">
        <v>22</v>
      </c>
      <c r="D883">
        <v>50</v>
      </c>
      <c r="E883" s="1" t="s">
        <v>149</v>
      </c>
      <c r="F883" s="1" t="s">
        <v>150</v>
      </c>
      <c r="G883" s="1" t="s">
        <v>25</v>
      </c>
      <c r="H883">
        <v>31</v>
      </c>
      <c r="I883" s="1" t="s">
        <v>26</v>
      </c>
      <c r="J883">
        <v>2.9</v>
      </c>
      <c r="K883" s="1" t="s">
        <v>83</v>
      </c>
      <c r="L883">
        <v>0.89</v>
      </c>
    </row>
    <row r="884" spans="1:12" x14ac:dyDescent="0.3">
      <c r="A884" s="1" t="s">
        <v>1854</v>
      </c>
      <c r="B884" s="1" t="s">
        <v>1855</v>
      </c>
      <c r="C884" s="1" t="s">
        <v>30</v>
      </c>
      <c r="D884">
        <v>45</v>
      </c>
      <c r="E884" s="1" t="s">
        <v>122</v>
      </c>
      <c r="F884" s="1" t="s">
        <v>123</v>
      </c>
      <c r="G884" s="1" t="s">
        <v>49</v>
      </c>
      <c r="I884" s="1" t="s">
        <v>325</v>
      </c>
      <c r="J884">
        <v>3.3</v>
      </c>
      <c r="K884" s="1" t="s">
        <v>66</v>
      </c>
      <c r="L884">
        <v>0.93</v>
      </c>
    </row>
    <row r="885" spans="1:12" x14ac:dyDescent="0.3">
      <c r="A885" s="1" t="s">
        <v>1856</v>
      </c>
      <c r="B885" s="1" t="s">
        <v>1857</v>
      </c>
      <c r="C885" s="1" t="s">
        <v>38</v>
      </c>
      <c r="D885">
        <v>48</v>
      </c>
      <c r="E885" s="1" t="s">
        <v>138</v>
      </c>
      <c r="F885" s="1" t="s">
        <v>24</v>
      </c>
      <c r="G885" s="1" t="s">
        <v>87</v>
      </c>
      <c r="H885">
        <v>24</v>
      </c>
      <c r="I885" s="1" t="s">
        <v>18</v>
      </c>
      <c r="J885">
        <v>4.8</v>
      </c>
      <c r="K885" s="1" t="s">
        <v>27</v>
      </c>
      <c r="L885">
        <v>0.84</v>
      </c>
    </row>
    <row r="886" spans="1:12" x14ac:dyDescent="0.3">
      <c r="A886" s="1" t="s">
        <v>1858</v>
      </c>
      <c r="B886" s="1" t="s">
        <v>1859</v>
      </c>
      <c r="C886" s="1" t="s">
        <v>69</v>
      </c>
      <c r="D886">
        <v>30</v>
      </c>
      <c r="E886" s="1" t="s">
        <v>55</v>
      </c>
      <c r="F886" s="1" t="s">
        <v>56</v>
      </c>
      <c r="G886" s="1" t="s">
        <v>99</v>
      </c>
      <c r="I886" s="1" t="s">
        <v>240</v>
      </c>
      <c r="J886">
        <v>4.5</v>
      </c>
      <c r="K886" s="1" t="s">
        <v>65</v>
      </c>
      <c r="L886">
        <v>0.78</v>
      </c>
    </row>
    <row r="887" spans="1:12" x14ac:dyDescent="0.3">
      <c r="A887" s="1" t="s">
        <v>1860</v>
      </c>
      <c r="B887" s="1" t="s">
        <v>578</v>
      </c>
      <c r="C887" s="1" t="s">
        <v>38</v>
      </c>
      <c r="D887">
        <v>33</v>
      </c>
      <c r="E887" s="1" t="s">
        <v>47</v>
      </c>
      <c r="F887" s="1" t="s">
        <v>48</v>
      </c>
      <c r="G887" s="1" t="s">
        <v>82</v>
      </c>
      <c r="H887">
        <v>6</v>
      </c>
      <c r="I887" s="1" t="s">
        <v>72</v>
      </c>
      <c r="J887">
        <v>3.1</v>
      </c>
      <c r="K887" s="1" t="s">
        <v>170</v>
      </c>
      <c r="L887">
        <v>0.9</v>
      </c>
    </row>
    <row r="888" spans="1:12" x14ac:dyDescent="0.3">
      <c r="A888" s="1" t="s">
        <v>1861</v>
      </c>
      <c r="B888" s="1" t="s">
        <v>1862</v>
      </c>
      <c r="C888" s="1" t="s">
        <v>38</v>
      </c>
      <c r="D888">
        <v>50</v>
      </c>
      <c r="E888" s="1" t="s">
        <v>75</v>
      </c>
      <c r="F888" s="1" t="s">
        <v>24</v>
      </c>
      <c r="G888" s="1" t="s">
        <v>99</v>
      </c>
      <c r="H888">
        <v>11</v>
      </c>
      <c r="I888" s="1" t="s">
        <v>65</v>
      </c>
      <c r="J888">
        <v>4.9000000000000004</v>
      </c>
      <c r="K888" s="1" t="s">
        <v>27</v>
      </c>
      <c r="L888">
        <v>0.88</v>
      </c>
    </row>
    <row r="889" spans="1:12" x14ac:dyDescent="0.3">
      <c r="A889" s="1" t="s">
        <v>1863</v>
      </c>
      <c r="B889" s="1" t="s">
        <v>1864</v>
      </c>
      <c r="C889" s="1" t="s">
        <v>86</v>
      </c>
      <c r="D889">
        <v>24</v>
      </c>
      <c r="E889" s="1" t="s">
        <v>55</v>
      </c>
      <c r="F889" s="1" t="s">
        <v>56</v>
      </c>
      <c r="G889" s="1" t="s">
        <v>57</v>
      </c>
      <c r="I889" s="1" t="s">
        <v>131</v>
      </c>
      <c r="J889">
        <v>0</v>
      </c>
      <c r="K889" s="1" t="s">
        <v>19</v>
      </c>
      <c r="L889">
        <v>0.76</v>
      </c>
    </row>
    <row r="890" spans="1:12" x14ac:dyDescent="0.3">
      <c r="A890" s="1" t="s">
        <v>1865</v>
      </c>
      <c r="B890" s="1" t="s">
        <v>1866</v>
      </c>
      <c r="C890" s="1" t="s">
        <v>30</v>
      </c>
      <c r="D890">
        <v>38</v>
      </c>
      <c r="E890" s="1" t="s">
        <v>15</v>
      </c>
      <c r="F890" s="1" t="s">
        <v>16</v>
      </c>
      <c r="G890" s="1" t="s">
        <v>39</v>
      </c>
      <c r="H890">
        <v>14</v>
      </c>
      <c r="I890" s="1" t="s">
        <v>92</v>
      </c>
      <c r="J890">
        <v>1.5</v>
      </c>
      <c r="K890" s="1" t="s">
        <v>35</v>
      </c>
      <c r="L890">
        <v>0.62</v>
      </c>
    </row>
    <row r="891" spans="1:12" x14ac:dyDescent="0.3">
      <c r="A891" s="1" t="s">
        <v>1867</v>
      </c>
      <c r="B891" s="1" t="s">
        <v>1868</v>
      </c>
      <c r="C891" s="1" t="s">
        <v>69</v>
      </c>
      <c r="D891">
        <v>56</v>
      </c>
      <c r="E891" s="1" t="s">
        <v>95</v>
      </c>
      <c r="F891" s="1" t="s">
        <v>96</v>
      </c>
      <c r="G891" s="1" t="s">
        <v>99</v>
      </c>
      <c r="H891">
        <v>2</v>
      </c>
      <c r="I891" s="1" t="s">
        <v>181</v>
      </c>
      <c r="J891">
        <v>2.4</v>
      </c>
      <c r="K891" s="1" t="s">
        <v>35</v>
      </c>
    </row>
    <row r="892" spans="1:12" x14ac:dyDescent="0.3">
      <c r="A892" s="1" t="s">
        <v>1869</v>
      </c>
      <c r="B892" s="1" t="s">
        <v>1870</v>
      </c>
      <c r="C892" s="1" t="s">
        <v>14</v>
      </c>
      <c r="D892">
        <v>41</v>
      </c>
      <c r="E892" s="1" t="s">
        <v>134</v>
      </c>
      <c r="F892" s="1" t="s">
        <v>135</v>
      </c>
      <c r="G892" s="1" t="s">
        <v>99</v>
      </c>
      <c r="H892">
        <v>2</v>
      </c>
      <c r="I892" s="1" t="s">
        <v>26</v>
      </c>
      <c r="J892">
        <v>4.5</v>
      </c>
      <c r="K892" s="1" t="s">
        <v>35</v>
      </c>
      <c r="L892">
        <v>75</v>
      </c>
    </row>
    <row r="893" spans="1:12" x14ac:dyDescent="0.3">
      <c r="A893" s="1" t="s">
        <v>1871</v>
      </c>
      <c r="B893" s="1" t="s">
        <v>1872</v>
      </c>
      <c r="C893" s="1" t="s">
        <v>107</v>
      </c>
      <c r="E893" s="1" t="s">
        <v>15</v>
      </c>
      <c r="F893" s="1" t="s">
        <v>16</v>
      </c>
      <c r="G893" s="1" t="s">
        <v>82</v>
      </c>
      <c r="H893">
        <v>11</v>
      </c>
      <c r="I893" s="1" t="s">
        <v>26</v>
      </c>
      <c r="J893">
        <v>2.5</v>
      </c>
      <c r="K893" s="1" t="s">
        <v>77</v>
      </c>
      <c r="L893">
        <v>80</v>
      </c>
    </row>
    <row r="894" spans="1:12" x14ac:dyDescent="0.3">
      <c r="A894" s="1" t="s">
        <v>1873</v>
      </c>
      <c r="B894" s="1" t="s">
        <v>1874</v>
      </c>
      <c r="C894" s="1" t="s">
        <v>14</v>
      </c>
      <c r="D894">
        <v>42</v>
      </c>
      <c r="E894" s="1" t="s">
        <v>31</v>
      </c>
      <c r="F894" s="1" t="s">
        <v>32</v>
      </c>
      <c r="G894" s="1" t="s">
        <v>33</v>
      </c>
      <c r="H894">
        <v>13</v>
      </c>
      <c r="I894" s="1" t="s">
        <v>44</v>
      </c>
      <c r="J894">
        <v>3.3</v>
      </c>
      <c r="K894" s="1" t="s">
        <v>65</v>
      </c>
      <c r="L894">
        <v>0.63</v>
      </c>
    </row>
    <row r="895" spans="1:12" x14ac:dyDescent="0.3">
      <c r="A895" s="1" t="s">
        <v>1875</v>
      </c>
      <c r="B895" s="1" t="s">
        <v>1876</v>
      </c>
      <c r="C895" s="1" t="s">
        <v>107</v>
      </c>
      <c r="D895">
        <v>26</v>
      </c>
      <c r="E895" s="1" t="s">
        <v>103</v>
      </c>
      <c r="F895" s="1" t="s">
        <v>104</v>
      </c>
      <c r="G895" s="1" t="s">
        <v>17</v>
      </c>
      <c r="H895">
        <v>7</v>
      </c>
      <c r="I895" s="1" t="s">
        <v>92</v>
      </c>
      <c r="J895">
        <v>3</v>
      </c>
      <c r="K895" s="1" t="s">
        <v>65</v>
      </c>
      <c r="L895">
        <v>0.84</v>
      </c>
    </row>
    <row r="896" spans="1:12" x14ac:dyDescent="0.3">
      <c r="A896" s="1" t="s">
        <v>1877</v>
      </c>
      <c r="B896" s="1" t="s">
        <v>1878</v>
      </c>
      <c r="C896" s="1" t="s">
        <v>14</v>
      </c>
      <c r="D896">
        <v>44</v>
      </c>
      <c r="E896" s="1" t="s">
        <v>138</v>
      </c>
      <c r="F896" s="1" t="s">
        <v>24</v>
      </c>
      <c r="G896" s="1" t="s">
        <v>87</v>
      </c>
      <c r="H896">
        <v>25</v>
      </c>
      <c r="I896" s="1" t="s">
        <v>92</v>
      </c>
      <c r="J896">
        <v>2.7</v>
      </c>
      <c r="K896" s="1" t="s">
        <v>27</v>
      </c>
      <c r="L896">
        <v>78</v>
      </c>
    </row>
    <row r="897" spans="1:12" x14ac:dyDescent="0.3">
      <c r="A897" s="1" t="s">
        <v>1879</v>
      </c>
      <c r="B897" s="1" t="s">
        <v>1880</v>
      </c>
      <c r="C897" s="1" t="s">
        <v>69</v>
      </c>
      <c r="D897">
        <v>46</v>
      </c>
      <c r="E897" s="1" t="s">
        <v>138</v>
      </c>
      <c r="F897" s="1" t="s">
        <v>24</v>
      </c>
      <c r="G897" s="1" t="s">
        <v>33</v>
      </c>
      <c r="H897">
        <v>20</v>
      </c>
      <c r="I897" s="1" t="s">
        <v>131</v>
      </c>
      <c r="J897">
        <v>1.2</v>
      </c>
      <c r="K897" s="1" t="s">
        <v>51</v>
      </c>
      <c r="L897">
        <v>0.74</v>
      </c>
    </row>
    <row r="898" spans="1:12" x14ac:dyDescent="0.3">
      <c r="A898" s="1" t="s">
        <v>1881</v>
      </c>
      <c r="B898" s="1" t="s">
        <v>1882</v>
      </c>
      <c r="C898" s="1" t="s">
        <v>43</v>
      </c>
      <c r="D898">
        <v>36</v>
      </c>
      <c r="E898" s="1" t="s">
        <v>64</v>
      </c>
      <c r="F898" s="1" t="s">
        <v>24</v>
      </c>
      <c r="G898" s="1" t="s">
        <v>82</v>
      </c>
      <c r="H898">
        <v>8</v>
      </c>
      <c r="I898" s="1" t="s">
        <v>34</v>
      </c>
      <c r="J898">
        <v>4.3</v>
      </c>
      <c r="K898" s="1" t="s">
        <v>19</v>
      </c>
      <c r="L898">
        <v>0.9</v>
      </c>
    </row>
    <row r="899" spans="1:12" x14ac:dyDescent="0.3">
      <c r="A899" s="1" t="s">
        <v>1883</v>
      </c>
      <c r="B899" s="1" t="s">
        <v>1884</v>
      </c>
      <c r="C899" s="1" t="s">
        <v>107</v>
      </c>
      <c r="D899">
        <v>26</v>
      </c>
      <c r="E899" s="1" t="s">
        <v>47</v>
      </c>
      <c r="F899" s="1" t="s">
        <v>48</v>
      </c>
      <c r="G899" s="1" t="s">
        <v>49</v>
      </c>
      <c r="H899">
        <v>6</v>
      </c>
      <c r="I899" s="1" t="s">
        <v>40</v>
      </c>
      <c r="J899">
        <v>1.3</v>
      </c>
      <c r="K899" s="1" t="s">
        <v>19</v>
      </c>
    </row>
    <row r="900" spans="1:12" x14ac:dyDescent="0.3">
      <c r="A900" s="1" t="s">
        <v>1885</v>
      </c>
      <c r="B900" s="1" t="s">
        <v>1886</v>
      </c>
      <c r="C900" s="1" t="s">
        <v>30</v>
      </c>
      <c r="D900">
        <v>21</v>
      </c>
      <c r="E900" s="1" t="s">
        <v>31</v>
      </c>
      <c r="F900" s="1" t="s">
        <v>32</v>
      </c>
      <c r="G900" s="1" t="s">
        <v>82</v>
      </c>
      <c r="H900">
        <v>3</v>
      </c>
      <c r="I900" s="1" t="s">
        <v>34</v>
      </c>
      <c r="J900">
        <v>4.5999999999999996</v>
      </c>
      <c r="K900" s="1" t="s">
        <v>83</v>
      </c>
    </row>
    <row r="901" spans="1:12" x14ac:dyDescent="0.3">
      <c r="A901" s="1" t="s">
        <v>1887</v>
      </c>
      <c r="B901" s="1" t="s">
        <v>1888</v>
      </c>
      <c r="C901" s="1" t="s">
        <v>14</v>
      </c>
      <c r="D901">
        <v>39</v>
      </c>
      <c r="E901" s="1" t="s">
        <v>55</v>
      </c>
      <c r="F901" s="1" t="s">
        <v>56</v>
      </c>
      <c r="G901" s="1" t="s">
        <v>82</v>
      </c>
      <c r="H901">
        <v>18</v>
      </c>
      <c r="I901" s="1" t="s">
        <v>34</v>
      </c>
      <c r="J901">
        <v>2.1</v>
      </c>
      <c r="K901" s="1" t="s">
        <v>19</v>
      </c>
      <c r="L901">
        <v>75</v>
      </c>
    </row>
    <row r="902" spans="1:12" x14ac:dyDescent="0.3">
      <c r="A902" s="1" t="s">
        <v>1889</v>
      </c>
      <c r="B902" s="1" t="s">
        <v>1890</v>
      </c>
      <c r="C902" s="1" t="s">
        <v>86</v>
      </c>
      <c r="D902">
        <v>37</v>
      </c>
      <c r="E902" s="1" t="s">
        <v>64</v>
      </c>
      <c r="F902" s="1" t="s">
        <v>24</v>
      </c>
      <c r="G902" s="1" t="s">
        <v>17</v>
      </c>
      <c r="H902">
        <v>18</v>
      </c>
      <c r="I902" s="1" t="s">
        <v>76</v>
      </c>
      <c r="J902">
        <v>4.5</v>
      </c>
      <c r="K902" s="1" t="s">
        <v>170</v>
      </c>
      <c r="L902">
        <v>0.72</v>
      </c>
    </row>
    <row r="903" spans="1:12" x14ac:dyDescent="0.3">
      <c r="A903" s="1" t="s">
        <v>1891</v>
      </c>
      <c r="B903" s="1" t="s">
        <v>1892</v>
      </c>
      <c r="C903" s="1" t="s">
        <v>86</v>
      </c>
      <c r="D903">
        <v>47</v>
      </c>
      <c r="E903" s="1" t="s">
        <v>134</v>
      </c>
      <c r="F903" s="1" t="s">
        <v>135</v>
      </c>
      <c r="G903" s="1" t="s">
        <v>82</v>
      </c>
      <c r="H903">
        <v>3</v>
      </c>
      <c r="I903" s="1" t="s">
        <v>76</v>
      </c>
      <c r="J903">
        <v>4.4000000000000004</v>
      </c>
      <c r="K903" s="1" t="s">
        <v>77</v>
      </c>
      <c r="L903">
        <v>0.92</v>
      </c>
    </row>
    <row r="904" spans="1:12" x14ac:dyDescent="0.3">
      <c r="A904" s="1" t="s">
        <v>1893</v>
      </c>
      <c r="B904" s="1" t="s">
        <v>1894</v>
      </c>
      <c r="C904" s="1" t="s">
        <v>22</v>
      </c>
      <c r="D904">
        <v>53</v>
      </c>
      <c r="E904" s="1" t="s">
        <v>134</v>
      </c>
      <c r="F904" s="1" t="s">
        <v>135</v>
      </c>
      <c r="G904" s="1" t="s">
        <v>33</v>
      </c>
      <c r="H904">
        <v>32</v>
      </c>
      <c r="I904" s="1" t="s">
        <v>325</v>
      </c>
      <c r="J904">
        <v>0</v>
      </c>
      <c r="K904" s="1" t="s">
        <v>35</v>
      </c>
    </row>
    <row r="905" spans="1:12" x14ac:dyDescent="0.3">
      <c r="A905" s="1" t="s">
        <v>1895</v>
      </c>
      <c r="B905" s="1" t="s">
        <v>1896</v>
      </c>
      <c r="C905" s="1" t="s">
        <v>43</v>
      </c>
      <c r="D905">
        <v>53</v>
      </c>
      <c r="E905" s="1" t="s">
        <v>80</v>
      </c>
      <c r="F905" s="1" t="s">
        <v>81</v>
      </c>
      <c r="G905" s="1" t="s">
        <v>25</v>
      </c>
      <c r="H905">
        <v>19</v>
      </c>
      <c r="I905" s="1" t="s">
        <v>325</v>
      </c>
      <c r="J905">
        <v>1.3</v>
      </c>
      <c r="K905" s="1" t="s">
        <v>19</v>
      </c>
    </row>
    <row r="906" spans="1:12" x14ac:dyDescent="0.3">
      <c r="A906" s="1" t="s">
        <v>1897</v>
      </c>
      <c r="B906" s="1" t="s">
        <v>1898</v>
      </c>
      <c r="C906" s="1" t="s">
        <v>30</v>
      </c>
      <c r="D906">
        <v>21</v>
      </c>
      <c r="E906" s="1" t="s">
        <v>103</v>
      </c>
      <c r="F906" s="1" t="s">
        <v>104</v>
      </c>
      <c r="G906" s="1" t="s">
        <v>57</v>
      </c>
      <c r="H906">
        <v>2</v>
      </c>
      <c r="I906" s="1" t="s">
        <v>34</v>
      </c>
      <c r="J906">
        <v>2.6</v>
      </c>
      <c r="K906" s="1" t="s">
        <v>51</v>
      </c>
      <c r="L906">
        <v>0.86</v>
      </c>
    </row>
    <row r="907" spans="1:12" x14ac:dyDescent="0.3">
      <c r="A907" s="1" t="s">
        <v>1899</v>
      </c>
      <c r="B907" s="1" t="s">
        <v>1900</v>
      </c>
      <c r="C907" s="1" t="s">
        <v>43</v>
      </c>
      <c r="D907">
        <v>35</v>
      </c>
      <c r="E907" s="1" t="s">
        <v>75</v>
      </c>
      <c r="F907" s="1" t="s">
        <v>24</v>
      </c>
      <c r="G907" s="1" t="s">
        <v>17</v>
      </c>
      <c r="H907">
        <v>0</v>
      </c>
      <c r="I907" s="1" t="s">
        <v>65</v>
      </c>
      <c r="K907" s="1" t="s">
        <v>83</v>
      </c>
      <c r="L907">
        <v>85</v>
      </c>
    </row>
    <row r="908" spans="1:12" x14ac:dyDescent="0.3">
      <c r="A908" s="1" t="s">
        <v>1901</v>
      </c>
      <c r="B908" s="1" t="s">
        <v>1902</v>
      </c>
      <c r="C908" s="1" t="s">
        <v>107</v>
      </c>
      <c r="D908">
        <v>31</v>
      </c>
      <c r="E908" s="1" t="s">
        <v>80</v>
      </c>
      <c r="F908" s="1" t="s">
        <v>81</v>
      </c>
      <c r="G908" s="1" t="s">
        <v>124</v>
      </c>
      <c r="H908">
        <v>13</v>
      </c>
      <c r="I908" s="1" t="s">
        <v>40</v>
      </c>
      <c r="J908">
        <v>1.2</v>
      </c>
      <c r="K908" s="1" t="s">
        <v>51</v>
      </c>
      <c r="L908">
        <v>62</v>
      </c>
    </row>
    <row r="909" spans="1:12" x14ac:dyDescent="0.3">
      <c r="A909" s="1" t="s">
        <v>1903</v>
      </c>
      <c r="B909" s="1" t="s">
        <v>1904</v>
      </c>
      <c r="C909" s="1" t="s">
        <v>86</v>
      </c>
      <c r="D909">
        <v>55</v>
      </c>
      <c r="E909" s="1" t="s">
        <v>122</v>
      </c>
      <c r="F909" s="1" t="s">
        <v>123</v>
      </c>
      <c r="G909" s="1" t="s">
        <v>49</v>
      </c>
      <c r="H909">
        <v>2</v>
      </c>
      <c r="I909" s="1" t="s">
        <v>119</v>
      </c>
      <c r="J909">
        <v>3.1</v>
      </c>
      <c r="K909" s="1" t="s">
        <v>83</v>
      </c>
      <c r="L909">
        <v>0.91</v>
      </c>
    </row>
    <row r="910" spans="1:12" x14ac:dyDescent="0.3">
      <c r="A910" s="1" t="s">
        <v>1905</v>
      </c>
      <c r="B910" s="1" t="s">
        <v>1906</v>
      </c>
      <c r="C910" s="1" t="s">
        <v>14</v>
      </c>
      <c r="D910">
        <v>59</v>
      </c>
      <c r="E910" s="1" t="s">
        <v>70</v>
      </c>
      <c r="F910" s="1" t="s">
        <v>71</v>
      </c>
      <c r="G910" s="1" t="s">
        <v>39</v>
      </c>
      <c r="H910">
        <v>11</v>
      </c>
      <c r="I910" s="1" t="s">
        <v>181</v>
      </c>
      <c r="J910">
        <v>2.2999999999999998</v>
      </c>
      <c r="K910" s="1" t="s">
        <v>83</v>
      </c>
      <c r="L910">
        <v>0.8</v>
      </c>
    </row>
    <row r="911" spans="1:12" x14ac:dyDescent="0.3">
      <c r="A911" s="1" t="s">
        <v>1907</v>
      </c>
      <c r="B911" s="1" t="s">
        <v>1908</v>
      </c>
      <c r="C911" s="1" t="s">
        <v>69</v>
      </c>
      <c r="D911">
        <v>59</v>
      </c>
      <c r="E911" s="1" t="s">
        <v>145</v>
      </c>
      <c r="F911" s="1" t="s">
        <v>146</v>
      </c>
      <c r="G911" s="1" t="s">
        <v>87</v>
      </c>
      <c r="H911">
        <v>17</v>
      </c>
      <c r="I911" s="1" t="s">
        <v>18</v>
      </c>
      <c r="J911">
        <v>4</v>
      </c>
      <c r="K911" s="1" t="s">
        <v>170</v>
      </c>
      <c r="L911">
        <v>0.72</v>
      </c>
    </row>
    <row r="912" spans="1:12" x14ac:dyDescent="0.3">
      <c r="A912" s="1" t="s">
        <v>1909</v>
      </c>
      <c r="B912" s="1" t="s">
        <v>1910</v>
      </c>
      <c r="C912" s="1" t="s">
        <v>102</v>
      </c>
      <c r="D912">
        <v>47</v>
      </c>
      <c r="E912" s="1" t="s">
        <v>103</v>
      </c>
      <c r="F912" s="1" t="s">
        <v>104</v>
      </c>
      <c r="G912" s="1" t="s">
        <v>17</v>
      </c>
      <c r="H912">
        <v>10</v>
      </c>
      <c r="I912" s="1" t="s">
        <v>181</v>
      </c>
      <c r="J912">
        <v>1.9</v>
      </c>
      <c r="K912" s="1" t="s">
        <v>65</v>
      </c>
    </row>
    <row r="913" spans="1:12" x14ac:dyDescent="0.3">
      <c r="A913" s="1" t="s">
        <v>1911</v>
      </c>
      <c r="B913" s="1" t="s">
        <v>1912</v>
      </c>
      <c r="C913" s="1" t="s">
        <v>43</v>
      </c>
      <c r="D913">
        <v>53</v>
      </c>
      <c r="E913" s="1" t="s">
        <v>164</v>
      </c>
      <c r="F913" s="1" t="s">
        <v>165</v>
      </c>
      <c r="G913" s="1" t="s">
        <v>124</v>
      </c>
      <c r="H913">
        <v>26</v>
      </c>
      <c r="I913" s="1" t="s">
        <v>92</v>
      </c>
      <c r="J913">
        <v>2.4</v>
      </c>
      <c r="K913" s="1" t="s">
        <v>77</v>
      </c>
    </row>
    <row r="914" spans="1:12" x14ac:dyDescent="0.3">
      <c r="A914" s="1" t="s">
        <v>1913</v>
      </c>
      <c r="B914" s="1" t="s">
        <v>530</v>
      </c>
      <c r="C914" s="1" t="s">
        <v>69</v>
      </c>
      <c r="D914">
        <v>49</v>
      </c>
      <c r="E914" s="1" t="s">
        <v>164</v>
      </c>
      <c r="F914" s="1" t="s">
        <v>165</v>
      </c>
      <c r="G914" s="1" t="s">
        <v>57</v>
      </c>
      <c r="I914" s="1" t="s">
        <v>50</v>
      </c>
      <c r="K914" s="1" t="s">
        <v>77</v>
      </c>
      <c r="L914">
        <v>0.74</v>
      </c>
    </row>
    <row r="915" spans="1:12" x14ac:dyDescent="0.3">
      <c r="A915" s="1" t="s">
        <v>1914</v>
      </c>
      <c r="B915" s="1" t="s">
        <v>1915</v>
      </c>
      <c r="C915" s="1" t="s">
        <v>14</v>
      </c>
      <c r="D915">
        <v>50</v>
      </c>
      <c r="E915" s="1" t="s">
        <v>164</v>
      </c>
      <c r="F915" s="1" t="s">
        <v>165</v>
      </c>
      <c r="G915" s="1" t="s">
        <v>25</v>
      </c>
      <c r="H915">
        <v>8</v>
      </c>
      <c r="I915" s="1" t="s">
        <v>108</v>
      </c>
      <c r="J915">
        <v>3.7</v>
      </c>
      <c r="K915" s="1" t="s">
        <v>83</v>
      </c>
      <c r="L915">
        <v>0.82</v>
      </c>
    </row>
    <row r="916" spans="1:12" x14ac:dyDescent="0.3">
      <c r="A916" s="1" t="s">
        <v>1916</v>
      </c>
      <c r="B916" s="1" t="s">
        <v>1917</v>
      </c>
      <c r="C916" s="1" t="s">
        <v>43</v>
      </c>
      <c r="D916">
        <v>59</v>
      </c>
      <c r="E916" s="1" t="s">
        <v>122</v>
      </c>
      <c r="F916" s="1" t="s">
        <v>123</v>
      </c>
      <c r="G916" s="1" t="s">
        <v>124</v>
      </c>
      <c r="H916">
        <v>22</v>
      </c>
      <c r="I916" s="1" t="s">
        <v>26</v>
      </c>
      <c r="J916">
        <v>1.1000000000000001</v>
      </c>
      <c r="K916" s="1" t="s">
        <v>170</v>
      </c>
      <c r="L916">
        <v>0.85</v>
      </c>
    </row>
    <row r="917" spans="1:12" x14ac:dyDescent="0.3">
      <c r="A917" s="1" t="s">
        <v>1918</v>
      </c>
      <c r="B917" s="1" t="s">
        <v>1919</v>
      </c>
      <c r="C917" s="1" t="s">
        <v>102</v>
      </c>
      <c r="D917">
        <v>33</v>
      </c>
      <c r="E917" s="1" t="s">
        <v>70</v>
      </c>
      <c r="F917" s="1" t="s">
        <v>71</v>
      </c>
      <c r="G917" s="1" t="s">
        <v>57</v>
      </c>
      <c r="H917">
        <v>8</v>
      </c>
      <c r="I917" s="1" t="s">
        <v>58</v>
      </c>
      <c r="J917">
        <v>2.2999999999999998</v>
      </c>
      <c r="K917" s="1" t="s">
        <v>66</v>
      </c>
      <c r="L917">
        <v>0.68</v>
      </c>
    </row>
    <row r="918" spans="1:12" x14ac:dyDescent="0.3">
      <c r="A918" s="1" t="s">
        <v>1920</v>
      </c>
      <c r="B918" s="1" t="s">
        <v>1921</v>
      </c>
      <c r="C918" s="1" t="s">
        <v>14</v>
      </c>
      <c r="D918">
        <v>45</v>
      </c>
      <c r="E918" s="1" t="s">
        <v>138</v>
      </c>
      <c r="F918" s="1" t="s">
        <v>24</v>
      </c>
      <c r="G918" s="1" t="s">
        <v>39</v>
      </c>
      <c r="H918">
        <v>22</v>
      </c>
      <c r="I918" s="1" t="s">
        <v>76</v>
      </c>
      <c r="J918">
        <v>3.7</v>
      </c>
      <c r="K918" s="1" t="s">
        <v>83</v>
      </c>
      <c r="L918">
        <v>0.99</v>
      </c>
    </row>
    <row r="919" spans="1:12" x14ac:dyDescent="0.3">
      <c r="A919" s="1" t="s">
        <v>1922</v>
      </c>
      <c r="B919" s="1" t="s">
        <v>1923</v>
      </c>
      <c r="C919" s="1" t="s">
        <v>43</v>
      </c>
      <c r="D919">
        <v>36</v>
      </c>
      <c r="E919" s="1" t="s">
        <v>15</v>
      </c>
      <c r="F919" s="1" t="s">
        <v>16</v>
      </c>
      <c r="G919" s="1" t="s">
        <v>33</v>
      </c>
      <c r="H919">
        <v>14</v>
      </c>
      <c r="I919" s="1" t="s">
        <v>44</v>
      </c>
      <c r="J919">
        <v>1.9</v>
      </c>
      <c r="K919" s="1" t="s">
        <v>19</v>
      </c>
      <c r="L919">
        <v>0.62</v>
      </c>
    </row>
    <row r="920" spans="1:12" x14ac:dyDescent="0.3">
      <c r="A920" s="1" t="s">
        <v>1924</v>
      </c>
      <c r="B920" s="1" t="s">
        <v>1925</v>
      </c>
      <c r="C920" s="1" t="s">
        <v>30</v>
      </c>
      <c r="D920">
        <v>46</v>
      </c>
      <c r="E920" s="1" t="s">
        <v>164</v>
      </c>
      <c r="F920" s="1" t="s">
        <v>165</v>
      </c>
      <c r="G920" s="1" t="s">
        <v>82</v>
      </c>
      <c r="H920">
        <v>6</v>
      </c>
      <c r="I920" s="1" t="s">
        <v>44</v>
      </c>
      <c r="J920">
        <v>1.5</v>
      </c>
      <c r="K920" s="1" t="s">
        <v>35</v>
      </c>
    </row>
    <row r="921" spans="1:12" x14ac:dyDescent="0.3">
      <c r="A921" s="1" t="s">
        <v>1926</v>
      </c>
      <c r="B921" s="1" t="s">
        <v>1927</v>
      </c>
      <c r="C921" s="1" t="s">
        <v>43</v>
      </c>
      <c r="D921">
        <v>53</v>
      </c>
      <c r="E921" s="1" t="s">
        <v>70</v>
      </c>
      <c r="F921" s="1" t="s">
        <v>71</v>
      </c>
      <c r="G921" s="1" t="s">
        <v>33</v>
      </c>
      <c r="H921">
        <v>14</v>
      </c>
      <c r="I921" s="1" t="s">
        <v>44</v>
      </c>
      <c r="J921">
        <v>0</v>
      </c>
      <c r="K921" s="1" t="s">
        <v>51</v>
      </c>
      <c r="L921">
        <v>0.83</v>
      </c>
    </row>
    <row r="922" spans="1:12" x14ac:dyDescent="0.3">
      <c r="A922" s="1" t="s">
        <v>1928</v>
      </c>
      <c r="B922" s="1" t="s">
        <v>1929</v>
      </c>
      <c r="C922" s="1" t="s">
        <v>14</v>
      </c>
      <c r="D922">
        <v>24</v>
      </c>
      <c r="E922" s="1" t="s">
        <v>64</v>
      </c>
      <c r="F922" s="1" t="s">
        <v>24</v>
      </c>
      <c r="G922" s="1" t="s">
        <v>39</v>
      </c>
      <c r="H922">
        <v>2</v>
      </c>
      <c r="I922" s="1" t="s">
        <v>44</v>
      </c>
      <c r="J922">
        <v>3.6</v>
      </c>
      <c r="K922" s="1" t="s">
        <v>65</v>
      </c>
      <c r="L922">
        <v>0.92</v>
      </c>
    </row>
    <row r="923" spans="1:12" x14ac:dyDescent="0.3">
      <c r="A923" s="1" t="s">
        <v>1930</v>
      </c>
      <c r="B923" s="1" t="s">
        <v>1931</v>
      </c>
      <c r="C923" s="1" t="s">
        <v>43</v>
      </c>
      <c r="D923">
        <v>49</v>
      </c>
      <c r="E923" s="1" t="s">
        <v>201</v>
      </c>
      <c r="F923" s="1" t="s">
        <v>81</v>
      </c>
      <c r="G923" s="1" t="s">
        <v>99</v>
      </c>
      <c r="H923">
        <v>4</v>
      </c>
      <c r="I923" s="1" t="s">
        <v>181</v>
      </c>
      <c r="J923">
        <v>2.1</v>
      </c>
      <c r="K923" s="1" t="s">
        <v>65</v>
      </c>
      <c r="L923">
        <v>0.85</v>
      </c>
    </row>
    <row r="924" spans="1:12" x14ac:dyDescent="0.3">
      <c r="A924" s="1" t="s">
        <v>1932</v>
      </c>
      <c r="B924" s="1" t="s">
        <v>1933</v>
      </c>
      <c r="C924" s="1" t="s">
        <v>38</v>
      </c>
      <c r="D924">
        <v>49</v>
      </c>
      <c r="E924" s="1" t="s">
        <v>122</v>
      </c>
      <c r="F924" s="1" t="s">
        <v>123</v>
      </c>
      <c r="G924" s="1" t="s">
        <v>49</v>
      </c>
      <c r="H924">
        <v>4</v>
      </c>
      <c r="I924" s="1" t="s">
        <v>92</v>
      </c>
      <c r="J924">
        <v>2.9</v>
      </c>
      <c r="K924" s="1" t="s">
        <v>35</v>
      </c>
    </row>
    <row r="925" spans="1:12" x14ac:dyDescent="0.3">
      <c r="A925" s="1" t="s">
        <v>1934</v>
      </c>
      <c r="B925" s="1" t="s">
        <v>1935</v>
      </c>
      <c r="C925" s="1" t="s">
        <v>22</v>
      </c>
      <c r="D925">
        <v>49</v>
      </c>
      <c r="E925" s="1" t="s">
        <v>122</v>
      </c>
      <c r="F925" s="1" t="s">
        <v>123</v>
      </c>
      <c r="G925" s="1" t="s">
        <v>25</v>
      </c>
      <c r="H925">
        <v>24</v>
      </c>
      <c r="I925" s="1" t="s">
        <v>18</v>
      </c>
      <c r="J925">
        <v>3.6</v>
      </c>
      <c r="K925" s="1" t="s">
        <v>66</v>
      </c>
    </row>
    <row r="926" spans="1:12" x14ac:dyDescent="0.3">
      <c r="A926" s="1" t="s">
        <v>1936</v>
      </c>
      <c r="B926" s="1" t="s">
        <v>1937</v>
      </c>
      <c r="C926" s="1" t="s">
        <v>86</v>
      </c>
      <c r="D926">
        <v>58</v>
      </c>
      <c r="E926" s="1" t="s">
        <v>117</v>
      </c>
      <c r="F926" s="1" t="s">
        <v>118</v>
      </c>
      <c r="G926" s="1" t="s">
        <v>17</v>
      </c>
      <c r="H926">
        <v>29</v>
      </c>
      <c r="I926" s="1" t="s">
        <v>44</v>
      </c>
      <c r="J926">
        <v>3.3</v>
      </c>
      <c r="K926" s="1" t="s">
        <v>77</v>
      </c>
      <c r="L926">
        <v>0.89</v>
      </c>
    </row>
    <row r="927" spans="1:12" x14ac:dyDescent="0.3">
      <c r="A927" s="1" t="s">
        <v>1938</v>
      </c>
      <c r="B927" s="1" t="s">
        <v>1939</v>
      </c>
      <c r="C927" s="1" t="s">
        <v>69</v>
      </c>
      <c r="D927">
        <v>50</v>
      </c>
      <c r="E927" s="1" t="s">
        <v>164</v>
      </c>
      <c r="F927" s="1" t="s">
        <v>165</v>
      </c>
      <c r="G927" s="1" t="s">
        <v>82</v>
      </c>
      <c r="H927">
        <v>13</v>
      </c>
      <c r="I927" s="1" t="s">
        <v>65</v>
      </c>
      <c r="J927">
        <v>2.5</v>
      </c>
      <c r="K927" s="1" t="s">
        <v>83</v>
      </c>
      <c r="L927">
        <v>0.81</v>
      </c>
    </row>
    <row r="928" spans="1:12" x14ac:dyDescent="0.3">
      <c r="A928" s="1" t="s">
        <v>1940</v>
      </c>
      <c r="B928" s="1" t="s">
        <v>1941</v>
      </c>
      <c r="C928" s="1" t="s">
        <v>102</v>
      </c>
      <c r="D928">
        <v>27</v>
      </c>
      <c r="E928" s="1" t="s">
        <v>164</v>
      </c>
      <c r="F928" s="1" t="s">
        <v>165</v>
      </c>
      <c r="G928" s="1" t="s">
        <v>99</v>
      </c>
      <c r="H928">
        <v>1</v>
      </c>
      <c r="I928" s="1" t="s">
        <v>26</v>
      </c>
      <c r="J928">
        <v>3.7</v>
      </c>
      <c r="K928" s="1" t="s">
        <v>83</v>
      </c>
      <c r="L928">
        <v>61</v>
      </c>
    </row>
    <row r="929" spans="1:12" x14ac:dyDescent="0.3">
      <c r="A929" s="1" t="s">
        <v>1942</v>
      </c>
      <c r="B929" s="1" t="s">
        <v>1943</v>
      </c>
      <c r="C929" s="1" t="s">
        <v>38</v>
      </c>
      <c r="D929">
        <v>20</v>
      </c>
      <c r="E929" s="1" t="s">
        <v>122</v>
      </c>
      <c r="F929" s="1" t="s">
        <v>123</v>
      </c>
      <c r="G929" s="1" t="s">
        <v>124</v>
      </c>
      <c r="I929" s="1" t="s">
        <v>50</v>
      </c>
      <c r="J929">
        <v>4.5999999999999996</v>
      </c>
      <c r="K929" s="1" t="s">
        <v>27</v>
      </c>
    </row>
    <row r="930" spans="1:12" x14ac:dyDescent="0.3">
      <c r="A930" s="1" t="s">
        <v>1944</v>
      </c>
      <c r="B930" s="1" t="s">
        <v>1945</v>
      </c>
      <c r="C930" s="1" t="s">
        <v>69</v>
      </c>
      <c r="D930">
        <v>52</v>
      </c>
      <c r="E930" s="1" t="s">
        <v>134</v>
      </c>
      <c r="F930" s="1" t="s">
        <v>135</v>
      </c>
      <c r="G930" s="1" t="s">
        <v>17</v>
      </c>
      <c r="H930">
        <v>15</v>
      </c>
      <c r="I930" s="1" t="s">
        <v>40</v>
      </c>
      <c r="J930">
        <v>0</v>
      </c>
      <c r="K930" s="1" t="s">
        <v>27</v>
      </c>
      <c r="L930">
        <v>0.92</v>
      </c>
    </row>
    <row r="931" spans="1:12" x14ac:dyDescent="0.3">
      <c r="A931" s="1" t="s">
        <v>1946</v>
      </c>
      <c r="B931" s="1" t="s">
        <v>1947</v>
      </c>
      <c r="C931" s="1" t="s">
        <v>86</v>
      </c>
      <c r="D931">
        <v>22</v>
      </c>
      <c r="E931" s="1" t="s">
        <v>145</v>
      </c>
      <c r="F931" s="1" t="s">
        <v>146</v>
      </c>
      <c r="G931" s="1" t="s">
        <v>124</v>
      </c>
      <c r="H931">
        <v>2</v>
      </c>
      <c r="I931" s="1" t="s">
        <v>44</v>
      </c>
      <c r="J931">
        <v>2</v>
      </c>
      <c r="K931" s="1" t="s">
        <v>170</v>
      </c>
      <c r="L931">
        <v>0.96</v>
      </c>
    </row>
    <row r="932" spans="1:12" x14ac:dyDescent="0.3">
      <c r="A932" s="1" t="s">
        <v>1948</v>
      </c>
      <c r="B932" s="1" t="s">
        <v>1949</v>
      </c>
      <c r="C932" s="1" t="s">
        <v>86</v>
      </c>
      <c r="D932">
        <v>38</v>
      </c>
      <c r="E932" s="1" t="s">
        <v>70</v>
      </c>
      <c r="F932" s="1" t="s">
        <v>71</v>
      </c>
      <c r="G932" s="1" t="s">
        <v>39</v>
      </c>
      <c r="H932">
        <v>14</v>
      </c>
      <c r="I932" s="1" t="s">
        <v>18</v>
      </c>
      <c r="J932">
        <v>1.7</v>
      </c>
      <c r="K932" s="1" t="s">
        <v>51</v>
      </c>
      <c r="L932">
        <v>0.66</v>
      </c>
    </row>
    <row r="933" spans="1:12" x14ac:dyDescent="0.3">
      <c r="A933" s="1" t="s">
        <v>1950</v>
      </c>
      <c r="B933" s="1" t="s">
        <v>1951</v>
      </c>
      <c r="C933" s="1" t="s">
        <v>30</v>
      </c>
      <c r="D933">
        <v>21</v>
      </c>
      <c r="E933" s="1" t="s">
        <v>138</v>
      </c>
      <c r="F933" s="1" t="s">
        <v>24</v>
      </c>
      <c r="G933" s="1" t="s">
        <v>33</v>
      </c>
      <c r="H933">
        <v>0</v>
      </c>
      <c r="I933" s="1" t="s">
        <v>26</v>
      </c>
      <c r="J933">
        <v>3</v>
      </c>
      <c r="K933" s="1" t="s">
        <v>35</v>
      </c>
      <c r="L933">
        <v>0.64</v>
      </c>
    </row>
    <row r="934" spans="1:12" x14ac:dyDescent="0.3">
      <c r="A934" s="1" t="s">
        <v>1952</v>
      </c>
      <c r="B934" s="1" t="s">
        <v>1953</v>
      </c>
      <c r="C934" s="1" t="s">
        <v>69</v>
      </c>
      <c r="D934">
        <v>41</v>
      </c>
      <c r="E934" s="1" t="s">
        <v>23</v>
      </c>
      <c r="F934" s="1" t="s">
        <v>24</v>
      </c>
      <c r="G934" s="1" t="s">
        <v>49</v>
      </c>
      <c r="H934">
        <v>15</v>
      </c>
      <c r="I934" s="1" t="s">
        <v>76</v>
      </c>
      <c r="J934">
        <v>3.4</v>
      </c>
      <c r="K934" s="1" t="s">
        <v>51</v>
      </c>
      <c r="L934">
        <v>1</v>
      </c>
    </row>
    <row r="935" spans="1:12" x14ac:dyDescent="0.3">
      <c r="A935" s="1" t="s">
        <v>1954</v>
      </c>
      <c r="B935" s="1" t="s">
        <v>1955</v>
      </c>
      <c r="C935" s="1" t="s">
        <v>43</v>
      </c>
      <c r="D935">
        <v>33</v>
      </c>
      <c r="E935" s="1" t="s">
        <v>55</v>
      </c>
      <c r="F935" s="1" t="s">
        <v>56</v>
      </c>
      <c r="G935" s="1" t="s">
        <v>17</v>
      </c>
      <c r="H935">
        <v>6</v>
      </c>
      <c r="I935" s="1" t="s">
        <v>76</v>
      </c>
      <c r="J935">
        <v>3.2</v>
      </c>
      <c r="K935" s="1" t="s">
        <v>27</v>
      </c>
      <c r="L935">
        <v>0.95</v>
      </c>
    </row>
    <row r="936" spans="1:12" x14ac:dyDescent="0.3">
      <c r="A936" s="1" t="s">
        <v>1956</v>
      </c>
      <c r="B936" s="1" t="s">
        <v>1957</v>
      </c>
      <c r="C936" s="1" t="s">
        <v>14</v>
      </c>
      <c r="D936">
        <v>38</v>
      </c>
      <c r="E936" s="1" t="s">
        <v>190</v>
      </c>
      <c r="F936" s="1" t="s">
        <v>81</v>
      </c>
      <c r="G936" s="1" t="s">
        <v>25</v>
      </c>
      <c r="H936">
        <v>11</v>
      </c>
      <c r="I936" s="1" t="s">
        <v>65</v>
      </c>
      <c r="J936">
        <v>2.8</v>
      </c>
      <c r="K936" s="1" t="s">
        <v>65</v>
      </c>
      <c r="L936">
        <v>91</v>
      </c>
    </row>
    <row r="937" spans="1:12" x14ac:dyDescent="0.3">
      <c r="A937" s="1" t="s">
        <v>1958</v>
      </c>
      <c r="B937" s="1" t="s">
        <v>1959</v>
      </c>
      <c r="C937" s="1" t="s">
        <v>38</v>
      </c>
      <c r="D937">
        <v>26</v>
      </c>
      <c r="E937" s="1" t="s">
        <v>134</v>
      </c>
      <c r="F937" s="1" t="s">
        <v>135</v>
      </c>
      <c r="G937" s="1" t="s">
        <v>99</v>
      </c>
      <c r="H937">
        <v>8</v>
      </c>
      <c r="I937" s="1" t="s">
        <v>325</v>
      </c>
      <c r="J937">
        <v>4.0999999999999996</v>
      </c>
      <c r="K937" s="1" t="s">
        <v>77</v>
      </c>
      <c r="L937">
        <v>0.82</v>
      </c>
    </row>
    <row r="938" spans="1:12" x14ac:dyDescent="0.3">
      <c r="A938" s="1" t="s">
        <v>1960</v>
      </c>
      <c r="B938" s="1" t="s">
        <v>1961</v>
      </c>
      <c r="C938" s="1" t="s">
        <v>14</v>
      </c>
      <c r="D938">
        <v>43</v>
      </c>
      <c r="E938" s="1" t="s">
        <v>47</v>
      </c>
      <c r="F938" s="1" t="s">
        <v>48</v>
      </c>
      <c r="G938" s="1" t="s">
        <v>49</v>
      </c>
      <c r="H938">
        <v>3</v>
      </c>
      <c r="I938" s="1" t="s">
        <v>151</v>
      </c>
      <c r="J938">
        <v>0</v>
      </c>
      <c r="K938" s="1" t="s">
        <v>83</v>
      </c>
      <c r="L938">
        <v>0.95</v>
      </c>
    </row>
    <row r="939" spans="1:12" x14ac:dyDescent="0.3">
      <c r="A939" s="1" t="s">
        <v>1962</v>
      </c>
      <c r="B939" s="1" t="s">
        <v>1963</v>
      </c>
      <c r="C939" s="1" t="s">
        <v>86</v>
      </c>
      <c r="D939">
        <v>21</v>
      </c>
      <c r="E939" s="1" t="s">
        <v>15</v>
      </c>
      <c r="F939" s="1" t="s">
        <v>16</v>
      </c>
      <c r="G939" s="1" t="s">
        <v>87</v>
      </c>
      <c r="H939">
        <v>0</v>
      </c>
      <c r="I939" s="1" t="s">
        <v>65</v>
      </c>
      <c r="J939">
        <v>0</v>
      </c>
      <c r="K939" s="1" t="s">
        <v>27</v>
      </c>
      <c r="L939">
        <v>0.95</v>
      </c>
    </row>
    <row r="940" spans="1:12" x14ac:dyDescent="0.3">
      <c r="A940" s="1" t="s">
        <v>1964</v>
      </c>
      <c r="B940" s="1" t="s">
        <v>1965</v>
      </c>
      <c r="C940" s="1" t="s">
        <v>69</v>
      </c>
      <c r="D940">
        <v>47</v>
      </c>
      <c r="E940" s="1" t="s">
        <v>122</v>
      </c>
      <c r="F940" s="1" t="s">
        <v>123</v>
      </c>
      <c r="G940" s="1" t="s">
        <v>25</v>
      </c>
      <c r="H940">
        <v>7</v>
      </c>
      <c r="I940" s="1" t="s">
        <v>119</v>
      </c>
      <c r="K940" s="1" t="s">
        <v>65</v>
      </c>
      <c r="L940">
        <v>69</v>
      </c>
    </row>
    <row r="941" spans="1:12" x14ac:dyDescent="0.3">
      <c r="A941" s="1" t="s">
        <v>1966</v>
      </c>
      <c r="B941" s="1" t="s">
        <v>1967</v>
      </c>
      <c r="C941" s="1" t="s">
        <v>69</v>
      </c>
      <c r="D941">
        <v>35</v>
      </c>
      <c r="E941" s="1" t="s">
        <v>201</v>
      </c>
      <c r="F941" s="1" t="s">
        <v>81</v>
      </c>
      <c r="G941" s="1" t="s">
        <v>33</v>
      </c>
      <c r="H941">
        <v>6</v>
      </c>
      <c r="I941" s="1" t="s">
        <v>76</v>
      </c>
      <c r="K941" s="1" t="s">
        <v>77</v>
      </c>
      <c r="L941">
        <v>0.91</v>
      </c>
    </row>
    <row r="942" spans="1:12" x14ac:dyDescent="0.3">
      <c r="A942" s="1" t="s">
        <v>1968</v>
      </c>
      <c r="B942" s="1" t="s">
        <v>1969</v>
      </c>
      <c r="C942" s="1" t="s">
        <v>86</v>
      </c>
      <c r="D942">
        <v>37</v>
      </c>
      <c r="E942" s="1" t="s">
        <v>55</v>
      </c>
      <c r="F942" s="1" t="s">
        <v>56</v>
      </c>
      <c r="G942" s="1" t="s">
        <v>25</v>
      </c>
      <c r="H942">
        <v>9</v>
      </c>
      <c r="I942" s="1" t="s">
        <v>50</v>
      </c>
      <c r="J942">
        <v>2.7</v>
      </c>
      <c r="K942" s="1" t="s">
        <v>27</v>
      </c>
    </row>
    <row r="943" spans="1:12" x14ac:dyDescent="0.3">
      <c r="A943" s="1" t="s">
        <v>1970</v>
      </c>
      <c r="B943" s="1" t="s">
        <v>1971</v>
      </c>
      <c r="C943" s="1" t="s">
        <v>22</v>
      </c>
      <c r="D943">
        <v>38</v>
      </c>
      <c r="E943" s="1" t="s">
        <v>117</v>
      </c>
      <c r="F943" s="1" t="s">
        <v>118</v>
      </c>
      <c r="G943" s="1" t="s">
        <v>49</v>
      </c>
      <c r="H943">
        <v>15</v>
      </c>
      <c r="I943" s="1" t="s">
        <v>76</v>
      </c>
      <c r="J943">
        <v>4</v>
      </c>
      <c r="K943" s="1" t="s">
        <v>65</v>
      </c>
      <c r="L943">
        <v>0.62</v>
      </c>
    </row>
    <row r="944" spans="1:12" x14ac:dyDescent="0.3">
      <c r="A944" s="1" t="s">
        <v>1972</v>
      </c>
      <c r="B944" s="1" t="s">
        <v>1973</v>
      </c>
      <c r="C944" s="1" t="s">
        <v>69</v>
      </c>
      <c r="D944">
        <v>40</v>
      </c>
      <c r="E944" s="1" t="s">
        <v>138</v>
      </c>
      <c r="F944" s="1" t="s">
        <v>24</v>
      </c>
      <c r="G944" s="1" t="s">
        <v>57</v>
      </c>
      <c r="H944">
        <v>20</v>
      </c>
      <c r="I944" s="1" t="s">
        <v>151</v>
      </c>
      <c r="J944">
        <v>2.5</v>
      </c>
      <c r="K944" s="1" t="s">
        <v>19</v>
      </c>
      <c r="L944">
        <v>0.81</v>
      </c>
    </row>
    <row r="945" spans="1:12" x14ac:dyDescent="0.3">
      <c r="A945" s="1" t="s">
        <v>1974</v>
      </c>
      <c r="B945" s="1" t="s">
        <v>1975</v>
      </c>
      <c r="C945" s="1" t="s">
        <v>14</v>
      </c>
      <c r="D945">
        <v>46</v>
      </c>
      <c r="E945" s="1" t="s">
        <v>117</v>
      </c>
      <c r="F945" s="1" t="s">
        <v>118</v>
      </c>
      <c r="G945" s="1" t="s">
        <v>57</v>
      </c>
      <c r="H945">
        <v>16</v>
      </c>
      <c r="I945" s="1" t="s">
        <v>92</v>
      </c>
      <c r="J945">
        <v>0</v>
      </c>
      <c r="K945" s="1" t="s">
        <v>170</v>
      </c>
      <c r="L945">
        <v>0.94</v>
      </c>
    </row>
    <row r="946" spans="1:12" x14ac:dyDescent="0.3">
      <c r="A946" s="1" t="s">
        <v>1976</v>
      </c>
      <c r="B946" s="1" t="s">
        <v>1977</v>
      </c>
      <c r="C946" s="1" t="s">
        <v>54</v>
      </c>
      <c r="D946">
        <v>56</v>
      </c>
      <c r="E946" s="1" t="s">
        <v>149</v>
      </c>
      <c r="F946" s="1" t="s">
        <v>150</v>
      </c>
      <c r="G946" s="1" t="s">
        <v>99</v>
      </c>
      <c r="H946">
        <v>22</v>
      </c>
      <c r="I946" s="1" t="s">
        <v>119</v>
      </c>
      <c r="K946" s="1" t="s">
        <v>170</v>
      </c>
      <c r="L946">
        <v>0.95</v>
      </c>
    </row>
    <row r="947" spans="1:12" x14ac:dyDescent="0.3">
      <c r="A947" s="1" t="s">
        <v>1978</v>
      </c>
      <c r="B947" s="1" t="s">
        <v>1979</v>
      </c>
      <c r="C947" s="1" t="s">
        <v>54</v>
      </c>
      <c r="D947">
        <v>24</v>
      </c>
      <c r="E947" s="1" t="s">
        <v>70</v>
      </c>
      <c r="F947" s="1" t="s">
        <v>71</v>
      </c>
      <c r="G947" s="1" t="s">
        <v>33</v>
      </c>
      <c r="H947">
        <v>2</v>
      </c>
      <c r="I947" s="1" t="s">
        <v>65</v>
      </c>
      <c r="J947">
        <v>1.6</v>
      </c>
      <c r="K947" s="1" t="s">
        <v>170</v>
      </c>
      <c r="L947">
        <v>1</v>
      </c>
    </row>
    <row r="948" spans="1:12" x14ac:dyDescent="0.3">
      <c r="A948" s="1" t="s">
        <v>1980</v>
      </c>
      <c r="B948" s="1" t="s">
        <v>1981</v>
      </c>
      <c r="C948" s="1" t="s">
        <v>102</v>
      </c>
      <c r="E948" s="1" t="s">
        <v>190</v>
      </c>
      <c r="F948" s="1" t="s">
        <v>81</v>
      </c>
      <c r="G948" s="1" t="s">
        <v>49</v>
      </c>
      <c r="H948">
        <v>1</v>
      </c>
      <c r="I948" s="1" t="s">
        <v>92</v>
      </c>
      <c r="J948">
        <v>0</v>
      </c>
      <c r="K948" s="1" t="s">
        <v>66</v>
      </c>
      <c r="L948">
        <v>0.94</v>
      </c>
    </row>
    <row r="949" spans="1:12" x14ac:dyDescent="0.3">
      <c r="A949" s="1" t="s">
        <v>1982</v>
      </c>
      <c r="B949" s="1" t="s">
        <v>1983</v>
      </c>
      <c r="C949" s="1" t="s">
        <v>38</v>
      </c>
      <c r="D949">
        <v>38</v>
      </c>
      <c r="E949" s="1" t="s">
        <v>70</v>
      </c>
      <c r="F949" s="1" t="s">
        <v>71</v>
      </c>
      <c r="G949" s="1" t="s">
        <v>25</v>
      </c>
      <c r="H949">
        <v>8</v>
      </c>
      <c r="I949" s="1" t="s">
        <v>44</v>
      </c>
      <c r="J949">
        <v>4</v>
      </c>
      <c r="K949" s="1" t="s">
        <v>27</v>
      </c>
      <c r="L949">
        <v>0.92</v>
      </c>
    </row>
    <row r="950" spans="1:12" x14ac:dyDescent="0.3">
      <c r="A950" s="1" t="s">
        <v>1984</v>
      </c>
      <c r="B950" s="1" t="s">
        <v>1985</v>
      </c>
      <c r="C950" s="1" t="s">
        <v>86</v>
      </c>
      <c r="D950">
        <v>28</v>
      </c>
      <c r="E950" s="1" t="s">
        <v>145</v>
      </c>
      <c r="F950" s="1" t="s">
        <v>146</v>
      </c>
      <c r="G950" s="1" t="s">
        <v>99</v>
      </c>
      <c r="H950">
        <v>8</v>
      </c>
      <c r="I950" s="1" t="s">
        <v>108</v>
      </c>
      <c r="J950">
        <v>2.5</v>
      </c>
      <c r="K950" s="1" t="s">
        <v>66</v>
      </c>
      <c r="L950">
        <v>0.95</v>
      </c>
    </row>
    <row r="951" spans="1:12" x14ac:dyDescent="0.3">
      <c r="A951" s="1" t="s">
        <v>1986</v>
      </c>
      <c r="B951" s="1" t="s">
        <v>1987</v>
      </c>
      <c r="C951" s="1" t="s">
        <v>54</v>
      </c>
      <c r="D951">
        <v>25</v>
      </c>
      <c r="E951" s="1" t="s">
        <v>117</v>
      </c>
      <c r="F951" s="1" t="s">
        <v>118</v>
      </c>
      <c r="G951" s="1" t="s">
        <v>99</v>
      </c>
      <c r="H951">
        <v>7</v>
      </c>
      <c r="I951" s="1" t="s">
        <v>131</v>
      </c>
      <c r="J951">
        <v>3.8</v>
      </c>
      <c r="K951" s="1" t="s">
        <v>65</v>
      </c>
      <c r="L951">
        <v>0.97</v>
      </c>
    </row>
    <row r="952" spans="1:12" x14ac:dyDescent="0.3">
      <c r="A952" s="1" t="s">
        <v>1988</v>
      </c>
      <c r="B952" s="1" t="s">
        <v>1989</v>
      </c>
      <c r="C952" s="1" t="s">
        <v>107</v>
      </c>
      <c r="D952">
        <v>41</v>
      </c>
      <c r="E952" s="1" t="s">
        <v>75</v>
      </c>
      <c r="F952" s="1" t="s">
        <v>24</v>
      </c>
      <c r="G952" s="1" t="s">
        <v>99</v>
      </c>
      <c r="H952">
        <v>8</v>
      </c>
      <c r="I952" s="1" t="s">
        <v>34</v>
      </c>
      <c r="J952">
        <v>4.8</v>
      </c>
      <c r="K952" s="1" t="s">
        <v>35</v>
      </c>
      <c r="L952">
        <v>0.75</v>
      </c>
    </row>
    <row r="953" spans="1:12" x14ac:dyDescent="0.3">
      <c r="A953" s="1" t="s">
        <v>1990</v>
      </c>
      <c r="B953" s="1" t="s">
        <v>1991</v>
      </c>
      <c r="C953" s="1" t="s">
        <v>14</v>
      </c>
      <c r="D953">
        <v>45</v>
      </c>
      <c r="E953" s="1" t="s">
        <v>190</v>
      </c>
      <c r="F953" s="1" t="s">
        <v>81</v>
      </c>
      <c r="G953" s="1" t="s">
        <v>57</v>
      </c>
      <c r="H953">
        <v>6</v>
      </c>
      <c r="I953" s="1" t="s">
        <v>76</v>
      </c>
      <c r="J953">
        <v>2</v>
      </c>
      <c r="K953" s="1" t="s">
        <v>27</v>
      </c>
      <c r="L953">
        <v>0.78</v>
      </c>
    </row>
    <row r="954" spans="1:12" x14ac:dyDescent="0.3">
      <c r="A954" s="1" t="s">
        <v>1992</v>
      </c>
      <c r="B954" s="1" t="s">
        <v>1993</v>
      </c>
      <c r="C954" s="1" t="s">
        <v>54</v>
      </c>
      <c r="D954">
        <v>47</v>
      </c>
      <c r="E954" s="1" t="s">
        <v>70</v>
      </c>
      <c r="F954" s="1" t="s">
        <v>71</v>
      </c>
      <c r="G954" s="1" t="s">
        <v>99</v>
      </c>
      <c r="H954">
        <v>16</v>
      </c>
      <c r="I954" s="1" t="s">
        <v>240</v>
      </c>
      <c r="J954">
        <v>3.3</v>
      </c>
      <c r="K954" s="1" t="s">
        <v>19</v>
      </c>
      <c r="L954">
        <v>0.65</v>
      </c>
    </row>
    <row r="955" spans="1:12" x14ac:dyDescent="0.3">
      <c r="A955" s="1" t="s">
        <v>1994</v>
      </c>
      <c r="B955" s="1" t="s">
        <v>1995</v>
      </c>
      <c r="C955" s="1" t="s">
        <v>38</v>
      </c>
      <c r="D955">
        <v>59</v>
      </c>
      <c r="E955" s="1" t="s">
        <v>75</v>
      </c>
      <c r="F955" s="1" t="s">
        <v>24</v>
      </c>
      <c r="G955" s="1" t="s">
        <v>57</v>
      </c>
      <c r="H955">
        <v>40</v>
      </c>
      <c r="I955" s="1" t="s">
        <v>76</v>
      </c>
      <c r="J955">
        <v>2.5</v>
      </c>
      <c r="K955" s="1" t="s">
        <v>66</v>
      </c>
      <c r="L955">
        <v>70</v>
      </c>
    </row>
    <row r="956" spans="1:12" x14ac:dyDescent="0.3">
      <c r="A956" s="1" t="s">
        <v>1996</v>
      </c>
      <c r="B956" s="1" t="s">
        <v>1997</v>
      </c>
      <c r="C956" s="1" t="s">
        <v>86</v>
      </c>
      <c r="D956">
        <v>25</v>
      </c>
      <c r="E956" s="1" t="s">
        <v>138</v>
      </c>
      <c r="F956" s="1" t="s">
        <v>24</v>
      </c>
      <c r="G956" s="1" t="s">
        <v>17</v>
      </c>
      <c r="H956">
        <v>6</v>
      </c>
      <c r="I956" s="1" t="s">
        <v>240</v>
      </c>
      <c r="K956" s="1" t="s">
        <v>83</v>
      </c>
      <c r="L956">
        <v>78</v>
      </c>
    </row>
    <row r="957" spans="1:12" x14ac:dyDescent="0.3">
      <c r="A957" s="1" t="s">
        <v>1998</v>
      </c>
      <c r="B957" s="1" t="s">
        <v>1999</v>
      </c>
      <c r="C957" s="1" t="s">
        <v>107</v>
      </c>
      <c r="D957">
        <v>27</v>
      </c>
      <c r="E957" s="1" t="s">
        <v>23</v>
      </c>
      <c r="F957" s="1" t="s">
        <v>24</v>
      </c>
      <c r="G957" s="1" t="s">
        <v>39</v>
      </c>
      <c r="H957">
        <v>3</v>
      </c>
      <c r="I957" s="1" t="s">
        <v>108</v>
      </c>
      <c r="K957" s="1" t="s">
        <v>27</v>
      </c>
      <c r="L957">
        <v>0.96</v>
      </c>
    </row>
    <row r="958" spans="1:12" x14ac:dyDescent="0.3">
      <c r="A958" s="1" t="s">
        <v>2000</v>
      </c>
      <c r="B958" s="1" t="s">
        <v>2001</v>
      </c>
      <c r="C958" s="1" t="s">
        <v>38</v>
      </c>
      <c r="D958">
        <v>57</v>
      </c>
      <c r="E958" s="1" t="s">
        <v>23</v>
      </c>
      <c r="F958" s="1" t="s">
        <v>24</v>
      </c>
      <c r="G958" s="1" t="s">
        <v>49</v>
      </c>
      <c r="H958">
        <v>5</v>
      </c>
      <c r="I958" s="1" t="s">
        <v>26</v>
      </c>
      <c r="J958">
        <v>0</v>
      </c>
      <c r="K958" s="1" t="s">
        <v>27</v>
      </c>
      <c r="L958">
        <v>0.8</v>
      </c>
    </row>
    <row r="959" spans="1:12" x14ac:dyDescent="0.3">
      <c r="A959" s="1" t="s">
        <v>2002</v>
      </c>
      <c r="B959" s="1" t="s">
        <v>2003</v>
      </c>
      <c r="C959" s="1" t="s">
        <v>38</v>
      </c>
      <c r="D959">
        <v>34</v>
      </c>
      <c r="E959" s="1" t="s">
        <v>70</v>
      </c>
      <c r="F959" s="1" t="s">
        <v>71</v>
      </c>
      <c r="G959" s="1" t="s">
        <v>82</v>
      </c>
      <c r="H959">
        <v>12</v>
      </c>
      <c r="I959" s="1" t="s">
        <v>131</v>
      </c>
      <c r="J959">
        <v>1.6</v>
      </c>
      <c r="K959" s="1" t="s">
        <v>77</v>
      </c>
      <c r="L959">
        <v>0.64</v>
      </c>
    </row>
    <row r="960" spans="1:12" x14ac:dyDescent="0.3">
      <c r="A960" s="1" t="s">
        <v>2004</v>
      </c>
      <c r="B960" s="1" t="s">
        <v>2005</v>
      </c>
      <c r="C960" s="1" t="s">
        <v>102</v>
      </c>
      <c r="D960">
        <v>55</v>
      </c>
      <c r="E960" s="1" t="s">
        <v>145</v>
      </c>
      <c r="F960" s="1" t="s">
        <v>146</v>
      </c>
      <c r="G960" s="1" t="s">
        <v>82</v>
      </c>
      <c r="H960">
        <v>33</v>
      </c>
      <c r="I960" s="1" t="s">
        <v>34</v>
      </c>
      <c r="J960">
        <v>0</v>
      </c>
      <c r="K960" s="1" t="s">
        <v>51</v>
      </c>
      <c r="L960">
        <v>0.92</v>
      </c>
    </row>
    <row r="961" spans="1:12" x14ac:dyDescent="0.3">
      <c r="A961" s="1" t="s">
        <v>2006</v>
      </c>
      <c r="B961" s="1" t="s">
        <v>2007</v>
      </c>
      <c r="C961" s="1" t="s">
        <v>30</v>
      </c>
      <c r="D961">
        <v>21</v>
      </c>
      <c r="E961" s="1" t="s">
        <v>149</v>
      </c>
      <c r="F961" s="1" t="s">
        <v>150</v>
      </c>
      <c r="G961" s="1" t="s">
        <v>17</v>
      </c>
      <c r="H961">
        <v>1</v>
      </c>
      <c r="I961" s="1" t="s">
        <v>18</v>
      </c>
      <c r="J961">
        <v>0</v>
      </c>
      <c r="K961" s="1" t="s">
        <v>27</v>
      </c>
    </row>
    <row r="962" spans="1:12" x14ac:dyDescent="0.3">
      <c r="A962" s="1" t="s">
        <v>2008</v>
      </c>
      <c r="B962" s="1" t="s">
        <v>2009</v>
      </c>
      <c r="C962" s="1" t="s">
        <v>69</v>
      </c>
      <c r="D962">
        <v>53</v>
      </c>
      <c r="E962" s="1" t="s">
        <v>47</v>
      </c>
      <c r="F962" s="1" t="s">
        <v>48</v>
      </c>
      <c r="G962" s="1" t="s">
        <v>99</v>
      </c>
      <c r="H962">
        <v>27</v>
      </c>
      <c r="I962" s="1" t="s">
        <v>325</v>
      </c>
      <c r="J962">
        <v>4.7</v>
      </c>
      <c r="K962" s="1" t="s">
        <v>77</v>
      </c>
      <c r="L962">
        <v>71</v>
      </c>
    </row>
    <row r="963" spans="1:12" x14ac:dyDescent="0.3">
      <c r="A963" s="1" t="s">
        <v>2010</v>
      </c>
      <c r="B963" s="1" t="s">
        <v>2011</v>
      </c>
      <c r="C963" s="1" t="s">
        <v>14</v>
      </c>
      <c r="D963">
        <v>21</v>
      </c>
      <c r="E963" s="1" t="s">
        <v>31</v>
      </c>
      <c r="F963" s="1" t="s">
        <v>32</v>
      </c>
      <c r="G963" s="1" t="s">
        <v>82</v>
      </c>
      <c r="H963">
        <v>1</v>
      </c>
      <c r="I963" s="1" t="s">
        <v>240</v>
      </c>
      <c r="J963">
        <v>0</v>
      </c>
      <c r="K963" s="1" t="s">
        <v>77</v>
      </c>
      <c r="L963">
        <v>0.95</v>
      </c>
    </row>
    <row r="964" spans="1:12" x14ac:dyDescent="0.3">
      <c r="A964" s="1" t="s">
        <v>2012</v>
      </c>
      <c r="B964" s="1" t="s">
        <v>2013</v>
      </c>
      <c r="C964" s="1" t="s">
        <v>22</v>
      </c>
      <c r="D964">
        <v>36</v>
      </c>
      <c r="E964" s="1" t="s">
        <v>117</v>
      </c>
      <c r="F964" s="1" t="s">
        <v>118</v>
      </c>
      <c r="G964" s="1" t="s">
        <v>39</v>
      </c>
      <c r="I964" s="1" t="s">
        <v>151</v>
      </c>
      <c r="J964">
        <v>4.0999999999999996</v>
      </c>
      <c r="K964" s="1" t="s">
        <v>35</v>
      </c>
      <c r="L964">
        <v>0.86</v>
      </c>
    </row>
    <row r="965" spans="1:12" x14ac:dyDescent="0.3">
      <c r="A965" s="1" t="s">
        <v>2014</v>
      </c>
      <c r="B965" s="1" t="s">
        <v>2015</v>
      </c>
      <c r="C965" s="1" t="s">
        <v>30</v>
      </c>
      <c r="D965">
        <v>40</v>
      </c>
      <c r="E965" s="1" t="s">
        <v>31</v>
      </c>
      <c r="F965" s="1" t="s">
        <v>32</v>
      </c>
      <c r="G965" s="1" t="s">
        <v>49</v>
      </c>
      <c r="H965">
        <v>2</v>
      </c>
      <c r="I965" s="1" t="s">
        <v>50</v>
      </c>
      <c r="J965">
        <v>1.3</v>
      </c>
      <c r="K965" s="1" t="s">
        <v>27</v>
      </c>
      <c r="L965">
        <v>0.77</v>
      </c>
    </row>
    <row r="966" spans="1:12" x14ac:dyDescent="0.3">
      <c r="A966" s="1" t="s">
        <v>2016</v>
      </c>
      <c r="B966" s="1" t="s">
        <v>2017</v>
      </c>
      <c r="C966" s="1" t="s">
        <v>86</v>
      </c>
      <c r="D966">
        <v>59</v>
      </c>
      <c r="E966" s="1" t="s">
        <v>75</v>
      </c>
      <c r="F966" s="1" t="s">
        <v>24</v>
      </c>
      <c r="G966" s="1" t="s">
        <v>82</v>
      </c>
      <c r="H966">
        <v>40</v>
      </c>
      <c r="I966" s="1" t="s">
        <v>18</v>
      </c>
      <c r="J966">
        <v>2.6</v>
      </c>
      <c r="K966" s="1" t="s">
        <v>65</v>
      </c>
    </row>
    <row r="967" spans="1:12" x14ac:dyDescent="0.3">
      <c r="A967" s="1" t="s">
        <v>2018</v>
      </c>
      <c r="B967" s="1" t="s">
        <v>2019</v>
      </c>
      <c r="C967" s="1" t="s">
        <v>54</v>
      </c>
      <c r="D967">
        <v>45</v>
      </c>
      <c r="E967" s="1" t="s">
        <v>47</v>
      </c>
      <c r="F967" s="1" t="s">
        <v>48</v>
      </c>
      <c r="G967" s="1" t="s">
        <v>87</v>
      </c>
      <c r="H967">
        <v>4</v>
      </c>
      <c r="I967" s="1" t="s">
        <v>131</v>
      </c>
      <c r="J967">
        <v>2.7</v>
      </c>
      <c r="K967" s="1" t="s">
        <v>65</v>
      </c>
      <c r="L967">
        <v>0.72</v>
      </c>
    </row>
    <row r="968" spans="1:12" x14ac:dyDescent="0.3">
      <c r="A968" s="1" t="s">
        <v>2020</v>
      </c>
      <c r="B968" s="1" t="s">
        <v>2021</v>
      </c>
      <c r="C968" s="1" t="s">
        <v>69</v>
      </c>
      <c r="D968">
        <v>44</v>
      </c>
      <c r="E968" s="1" t="s">
        <v>122</v>
      </c>
      <c r="F968" s="1" t="s">
        <v>123</v>
      </c>
      <c r="G968" s="1" t="s">
        <v>124</v>
      </c>
      <c r="H968">
        <v>9</v>
      </c>
      <c r="I968" s="1" t="s">
        <v>76</v>
      </c>
      <c r="K968" s="1" t="s">
        <v>19</v>
      </c>
      <c r="L968">
        <v>0.7</v>
      </c>
    </row>
    <row r="969" spans="1:12" x14ac:dyDescent="0.3">
      <c r="A969" s="1" t="s">
        <v>2022</v>
      </c>
      <c r="B969" s="1" t="s">
        <v>2023</v>
      </c>
      <c r="C969" s="1" t="s">
        <v>22</v>
      </c>
      <c r="D969">
        <v>36</v>
      </c>
      <c r="E969" s="1" t="s">
        <v>75</v>
      </c>
      <c r="F969" s="1" t="s">
        <v>24</v>
      </c>
      <c r="G969" s="1" t="s">
        <v>87</v>
      </c>
      <c r="H969">
        <v>13</v>
      </c>
      <c r="I969" s="1" t="s">
        <v>44</v>
      </c>
      <c r="J969">
        <v>3.6</v>
      </c>
      <c r="K969" s="1" t="s">
        <v>19</v>
      </c>
      <c r="L969">
        <v>0.86</v>
      </c>
    </row>
    <row r="970" spans="1:12" x14ac:dyDescent="0.3">
      <c r="A970" s="1" t="s">
        <v>2024</v>
      </c>
      <c r="B970" s="1" t="s">
        <v>2025</v>
      </c>
      <c r="C970" s="1" t="s">
        <v>86</v>
      </c>
      <c r="D970">
        <v>26</v>
      </c>
      <c r="E970" s="1" t="s">
        <v>103</v>
      </c>
      <c r="F970" s="1" t="s">
        <v>104</v>
      </c>
      <c r="G970" s="1" t="s">
        <v>33</v>
      </c>
      <c r="H970">
        <v>1</v>
      </c>
      <c r="I970" s="1" t="s">
        <v>92</v>
      </c>
      <c r="J970">
        <v>3</v>
      </c>
      <c r="K970" s="1" t="s">
        <v>27</v>
      </c>
    </row>
    <row r="971" spans="1:12" x14ac:dyDescent="0.3">
      <c r="A971" s="1" t="s">
        <v>2026</v>
      </c>
      <c r="B971" s="1" t="s">
        <v>2027</v>
      </c>
      <c r="C971" s="1" t="s">
        <v>54</v>
      </c>
      <c r="D971">
        <v>49</v>
      </c>
      <c r="E971" s="1" t="s">
        <v>103</v>
      </c>
      <c r="F971" s="1" t="s">
        <v>104</v>
      </c>
      <c r="G971" s="1" t="s">
        <v>39</v>
      </c>
      <c r="H971">
        <v>1</v>
      </c>
      <c r="I971" s="1" t="s">
        <v>65</v>
      </c>
      <c r="J971">
        <v>0</v>
      </c>
      <c r="K971" s="1" t="s">
        <v>19</v>
      </c>
      <c r="L971">
        <v>0.82</v>
      </c>
    </row>
    <row r="972" spans="1:12" x14ac:dyDescent="0.3">
      <c r="A972" s="1" t="s">
        <v>2028</v>
      </c>
      <c r="B972" s="1" t="s">
        <v>2029</v>
      </c>
      <c r="C972" s="1" t="s">
        <v>54</v>
      </c>
      <c r="D972">
        <v>29</v>
      </c>
      <c r="E972" s="1" t="s">
        <v>145</v>
      </c>
      <c r="F972" s="1" t="s">
        <v>146</v>
      </c>
      <c r="G972" s="1" t="s">
        <v>25</v>
      </c>
      <c r="H972">
        <v>3</v>
      </c>
      <c r="I972" s="1" t="s">
        <v>61</v>
      </c>
      <c r="J972">
        <v>0</v>
      </c>
      <c r="K972" s="1" t="s">
        <v>66</v>
      </c>
      <c r="L972">
        <v>0.81</v>
      </c>
    </row>
    <row r="973" spans="1:12" x14ac:dyDescent="0.3">
      <c r="A973" s="1" t="s">
        <v>2030</v>
      </c>
      <c r="B973" s="1" t="s">
        <v>2031</v>
      </c>
      <c r="C973" s="1" t="s">
        <v>54</v>
      </c>
      <c r="D973">
        <v>32</v>
      </c>
      <c r="E973" s="1" t="s">
        <v>145</v>
      </c>
      <c r="F973" s="1" t="s">
        <v>146</v>
      </c>
      <c r="G973" s="1" t="s">
        <v>33</v>
      </c>
      <c r="H973">
        <v>1</v>
      </c>
      <c r="I973" s="1" t="s">
        <v>40</v>
      </c>
      <c r="J973">
        <v>3.1</v>
      </c>
      <c r="K973" s="1" t="s">
        <v>27</v>
      </c>
      <c r="L973">
        <v>0.76</v>
      </c>
    </row>
    <row r="974" spans="1:12" x14ac:dyDescent="0.3">
      <c r="A974" s="1" t="s">
        <v>2032</v>
      </c>
      <c r="B974" s="1" t="s">
        <v>2033</v>
      </c>
      <c r="C974" s="1" t="s">
        <v>69</v>
      </c>
      <c r="D974">
        <v>24</v>
      </c>
      <c r="E974" s="1" t="s">
        <v>55</v>
      </c>
      <c r="F974" s="1" t="s">
        <v>56</v>
      </c>
      <c r="G974" s="1" t="s">
        <v>17</v>
      </c>
      <c r="H974">
        <v>3</v>
      </c>
      <c r="I974" s="1" t="s">
        <v>119</v>
      </c>
      <c r="J974">
        <v>3.9</v>
      </c>
      <c r="K974" s="1" t="s">
        <v>35</v>
      </c>
      <c r="L974">
        <v>0.9</v>
      </c>
    </row>
    <row r="975" spans="1:12" x14ac:dyDescent="0.3">
      <c r="A975" s="1" t="s">
        <v>2034</v>
      </c>
      <c r="B975" s="1" t="s">
        <v>2035</v>
      </c>
      <c r="C975" s="1" t="s">
        <v>69</v>
      </c>
      <c r="D975">
        <v>35</v>
      </c>
      <c r="E975" s="1" t="s">
        <v>122</v>
      </c>
      <c r="F975" s="1" t="s">
        <v>123</v>
      </c>
      <c r="G975" s="1" t="s">
        <v>99</v>
      </c>
      <c r="H975">
        <v>14</v>
      </c>
      <c r="I975" s="1" t="s">
        <v>44</v>
      </c>
      <c r="J975">
        <v>1.6</v>
      </c>
      <c r="K975" s="1" t="s">
        <v>83</v>
      </c>
      <c r="L975">
        <v>0.67</v>
      </c>
    </row>
    <row r="976" spans="1:12" x14ac:dyDescent="0.3">
      <c r="A976" s="1" t="s">
        <v>2036</v>
      </c>
      <c r="B976" s="1" t="s">
        <v>2037</v>
      </c>
      <c r="C976" s="1" t="s">
        <v>43</v>
      </c>
      <c r="D976">
        <v>43</v>
      </c>
      <c r="E976" s="1" t="s">
        <v>201</v>
      </c>
      <c r="F976" s="1" t="s">
        <v>81</v>
      </c>
      <c r="G976" s="1" t="s">
        <v>17</v>
      </c>
      <c r="H976">
        <v>2</v>
      </c>
      <c r="I976" s="1" t="s">
        <v>65</v>
      </c>
      <c r="J976">
        <v>1.8</v>
      </c>
      <c r="K976" s="1" t="s">
        <v>170</v>
      </c>
      <c r="L976">
        <v>0.61</v>
      </c>
    </row>
    <row r="977" spans="1:12" x14ac:dyDescent="0.3">
      <c r="A977" s="1" t="s">
        <v>2038</v>
      </c>
      <c r="B977" s="1" t="s">
        <v>2039</v>
      </c>
      <c r="C977" s="1" t="s">
        <v>30</v>
      </c>
      <c r="D977">
        <v>53</v>
      </c>
      <c r="E977" s="1" t="s">
        <v>122</v>
      </c>
      <c r="F977" s="1" t="s">
        <v>123</v>
      </c>
      <c r="G977" s="1" t="s">
        <v>124</v>
      </c>
      <c r="H977">
        <v>27</v>
      </c>
      <c r="I977" s="1" t="s">
        <v>18</v>
      </c>
      <c r="J977">
        <v>3.7</v>
      </c>
      <c r="K977" s="1" t="s">
        <v>170</v>
      </c>
      <c r="L977">
        <v>0.73</v>
      </c>
    </row>
    <row r="978" spans="1:12" x14ac:dyDescent="0.3">
      <c r="A978" s="1" t="s">
        <v>2040</v>
      </c>
      <c r="B978" s="1" t="s">
        <v>2041</v>
      </c>
      <c r="C978" s="1" t="s">
        <v>38</v>
      </c>
      <c r="D978">
        <v>38</v>
      </c>
      <c r="E978" s="1" t="s">
        <v>134</v>
      </c>
      <c r="F978" s="1" t="s">
        <v>135</v>
      </c>
      <c r="G978" s="1" t="s">
        <v>99</v>
      </c>
      <c r="H978">
        <v>7</v>
      </c>
      <c r="I978" s="1" t="s">
        <v>92</v>
      </c>
      <c r="K978" s="1" t="s">
        <v>19</v>
      </c>
    </row>
    <row r="979" spans="1:12" x14ac:dyDescent="0.3">
      <c r="A979" s="1" t="s">
        <v>2042</v>
      </c>
      <c r="B979" s="1" t="s">
        <v>2043</v>
      </c>
      <c r="C979" s="1" t="s">
        <v>107</v>
      </c>
      <c r="D979">
        <v>57</v>
      </c>
      <c r="E979" s="1" t="s">
        <v>75</v>
      </c>
      <c r="F979" s="1" t="s">
        <v>24</v>
      </c>
      <c r="G979" s="1" t="s">
        <v>87</v>
      </c>
      <c r="H979">
        <v>29</v>
      </c>
      <c r="I979" s="1" t="s">
        <v>92</v>
      </c>
      <c r="J979">
        <v>4.0999999999999996</v>
      </c>
      <c r="K979" s="1" t="s">
        <v>35</v>
      </c>
      <c r="L979">
        <v>0.9</v>
      </c>
    </row>
    <row r="980" spans="1:12" x14ac:dyDescent="0.3">
      <c r="A980" s="1" t="s">
        <v>2044</v>
      </c>
      <c r="B980" s="1" t="s">
        <v>2045</v>
      </c>
      <c r="C980" s="1" t="s">
        <v>69</v>
      </c>
      <c r="D980">
        <v>27</v>
      </c>
      <c r="E980" s="1" t="s">
        <v>186</v>
      </c>
      <c r="F980" s="1" t="s">
        <v>187</v>
      </c>
      <c r="G980" s="1" t="s">
        <v>17</v>
      </c>
      <c r="H980">
        <v>5</v>
      </c>
      <c r="I980" s="1" t="s">
        <v>181</v>
      </c>
      <c r="J980">
        <v>1.4</v>
      </c>
      <c r="K980" s="1" t="s">
        <v>66</v>
      </c>
      <c r="L980">
        <v>0.64</v>
      </c>
    </row>
    <row r="981" spans="1:12" x14ac:dyDescent="0.3">
      <c r="A981" s="1" t="s">
        <v>2046</v>
      </c>
      <c r="B981" s="1" t="s">
        <v>2047</v>
      </c>
      <c r="C981" s="1" t="s">
        <v>54</v>
      </c>
      <c r="D981">
        <v>43</v>
      </c>
      <c r="E981" s="1" t="s">
        <v>80</v>
      </c>
      <c r="F981" s="1" t="s">
        <v>81</v>
      </c>
      <c r="G981" s="1" t="s">
        <v>39</v>
      </c>
      <c r="H981">
        <v>2</v>
      </c>
      <c r="I981" s="1" t="s">
        <v>18</v>
      </c>
      <c r="J981">
        <v>1.1000000000000001</v>
      </c>
      <c r="K981" s="1" t="s">
        <v>27</v>
      </c>
      <c r="L981">
        <v>0.63</v>
      </c>
    </row>
    <row r="982" spans="1:12" x14ac:dyDescent="0.3">
      <c r="A982" s="1" t="s">
        <v>2048</v>
      </c>
      <c r="B982" s="1" t="s">
        <v>2049</v>
      </c>
      <c r="C982" s="1" t="s">
        <v>30</v>
      </c>
      <c r="D982">
        <v>48</v>
      </c>
      <c r="E982" s="1" t="s">
        <v>138</v>
      </c>
      <c r="F982" s="1" t="s">
        <v>24</v>
      </c>
      <c r="G982" s="1" t="s">
        <v>57</v>
      </c>
      <c r="H982">
        <v>18</v>
      </c>
      <c r="I982" s="1" t="s">
        <v>40</v>
      </c>
      <c r="J982">
        <v>3.9</v>
      </c>
      <c r="K982" s="1" t="s">
        <v>65</v>
      </c>
    </row>
    <row r="983" spans="1:12" x14ac:dyDescent="0.3">
      <c r="A983" s="1" t="s">
        <v>2050</v>
      </c>
      <c r="B983" s="1" t="s">
        <v>2051</v>
      </c>
      <c r="C983" s="1" t="s">
        <v>102</v>
      </c>
      <c r="D983">
        <v>26</v>
      </c>
      <c r="E983" s="1" t="s">
        <v>117</v>
      </c>
      <c r="F983" s="1" t="s">
        <v>118</v>
      </c>
      <c r="G983" s="1" t="s">
        <v>87</v>
      </c>
      <c r="H983">
        <v>8</v>
      </c>
      <c r="I983" s="1" t="s">
        <v>151</v>
      </c>
      <c r="J983">
        <v>3.6</v>
      </c>
      <c r="K983" s="1" t="s">
        <v>19</v>
      </c>
      <c r="L983">
        <v>0.67</v>
      </c>
    </row>
    <row r="984" spans="1:12" x14ac:dyDescent="0.3">
      <c r="A984" s="1" t="s">
        <v>2052</v>
      </c>
      <c r="B984" s="1" t="s">
        <v>2053</v>
      </c>
      <c r="C984" s="1" t="s">
        <v>86</v>
      </c>
      <c r="E984" s="1" t="s">
        <v>164</v>
      </c>
      <c r="F984" s="1" t="s">
        <v>165</v>
      </c>
      <c r="G984" s="1" t="s">
        <v>33</v>
      </c>
      <c r="H984">
        <v>0</v>
      </c>
      <c r="I984" s="1" t="s">
        <v>40</v>
      </c>
      <c r="J984">
        <v>0</v>
      </c>
      <c r="K984" s="1" t="s">
        <v>170</v>
      </c>
      <c r="L984">
        <v>0.97</v>
      </c>
    </row>
    <row r="985" spans="1:12" x14ac:dyDescent="0.3">
      <c r="A985" s="1" t="s">
        <v>2054</v>
      </c>
      <c r="B985" s="1" t="s">
        <v>2055</v>
      </c>
      <c r="C985" s="1" t="s">
        <v>43</v>
      </c>
      <c r="D985">
        <v>50</v>
      </c>
      <c r="E985" s="1" t="s">
        <v>15</v>
      </c>
      <c r="F985" s="1" t="s">
        <v>16</v>
      </c>
      <c r="G985" s="1" t="s">
        <v>57</v>
      </c>
      <c r="H985">
        <v>16</v>
      </c>
      <c r="I985" s="1" t="s">
        <v>181</v>
      </c>
      <c r="J985">
        <v>4.5</v>
      </c>
      <c r="K985" s="1" t="s">
        <v>19</v>
      </c>
      <c r="L985">
        <v>69</v>
      </c>
    </row>
    <row r="986" spans="1:12" x14ac:dyDescent="0.3">
      <c r="A986" s="1" t="s">
        <v>2056</v>
      </c>
      <c r="B986" s="1" t="s">
        <v>2057</v>
      </c>
      <c r="C986" s="1" t="s">
        <v>54</v>
      </c>
      <c r="D986">
        <v>48</v>
      </c>
      <c r="E986" s="1" t="s">
        <v>164</v>
      </c>
      <c r="F986" s="1" t="s">
        <v>165</v>
      </c>
      <c r="G986" s="1" t="s">
        <v>39</v>
      </c>
      <c r="H986">
        <v>8</v>
      </c>
      <c r="I986" s="1" t="s">
        <v>34</v>
      </c>
      <c r="K986" s="1" t="s">
        <v>27</v>
      </c>
      <c r="L986">
        <v>0.73</v>
      </c>
    </row>
    <row r="987" spans="1:12" x14ac:dyDescent="0.3">
      <c r="A987" s="1" t="s">
        <v>2058</v>
      </c>
      <c r="B987" s="1" t="s">
        <v>2059</v>
      </c>
      <c r="C987" s="1" t="s">
        <v>54</v>
      </c>
      <c r="D987">
        <v>60</v>
      </c>
      <c r="E987" s="1" t="s">
        <v>201</v>
      </c>
      <c r="F987" s="1" t="s">
        <v>81</v>
      </c>
      <c r="G987" s="1" t="s">
        <v>17</v>
      </c>
      <c r="H987">
        <v>39</v>
      </c>
      <c r="I987" s="1" t="s">
        <v>151</v>
      </c>
      <c r="J987">
        <v>1.4</v>
      </c>
      <c r="K987" s="1" t="s">
        <v>66</v>
      </c>
      <c r="L987">
        <v>0.86</v>
      </c>
    </row>
    <row r="988" spans="1:12" x14ac:dyDescent="0.3">
      <c r="A988" s="1" t="s">
        <v>2060</v>
      </c>
      <c r="B988" s="1" t="s">
        <v>2061</v>
      </c>
      <c r="C988" s="1" t="s">
        <v>107</v>
      </c>
      <c r="D988">
        <v>26</v>
      </c>
      <c r="E988" s="1" t="s">
        <v>149</v>
      </c>
      <c r="F988" s="1" t="s">
        <v>150</v>
      </c>
      <c r="G988" s="1" t="s">
        <v>124</v>
      </c>
      <c r="I988" s="1" t="s">
        <v>34</v>
      </c>
      <c r="J988">
        <v>0</v>
      </c>
      <c r="K988" s="1" t="s">
        <v>77</v>
      </c>
      <c r="L988">
        <v>81</v>
      </c>
    </row>
    <row r="989" spans="1:12" x14ac:dyDescent="0.3">
      <c r="A989" s="1" t="s">
        <v>2062</v>
      </c>
      <c r="B989" s="1" t="s">
        <v>2063</v>
      </c>
      <c r="C989" s="1" t="s">
        <v>22</v>
      </c>
      <c r="D989">
        <v>35</v>
      </c>
      <c r="E989" s="1" t="s">
        <v>122</v>
      </c>
      <c r="F989" s="1" t="s">
        <v>123</v>
      </c>
      <c r="G989" s="1" t="s">
        <v>33</v>
      </c>
      <c r="H989">
        <v>16</v>
      </c>
      <c r="I989" s="1" t="s">
        <v>26</v>
      </c>
      <c r="J989">
        <v>4.3</v>
      </c>
      <c r="K989" s="1" t="s">
        <v>27</v>
      </c>
      <c r="L989">
        <v>0.74</v>
      </c>
    </row>
    <row r="990" spans="1:12" x14ac:dyDescent="0.3">
      <c r="A990" s="1" t="s">
        <v>2064</v>
      </c>
      <c r="B990" s="1" t="s">
        <v>2065</v>
      </c>
      <c r="C990" s="1" t="s">
        <v>107</v>
      </c>
      <c r="D990">
        <v>23</v>
      </c>
      <c r="E990" s="1" t="s">
        <v>64</v>
      </c>
      <c r="F990" s="1" t="s">
        <v>24</v>
      </c>
      <c r="G990" s="1" t="s">
        <v>17</v>
      </c>
      <c r="H990">
        <v>4</v>
      </c>
      <c r="I990" s="1" t="s">
        <v>240</v>
      </c>
      <c r="J990">
        <v>2.2000000000000002</v>
      </c>
      <c r="K990" s="1" t="s">
        <v>27</v>
      </c>
      <c r="L990">
        <v>64</v>
      </c>
    </row>
    <row r="991" spans="1:12" x14ac:dyDescent="0.3">
      <c r="A991" s="1" t="s">
        <v>2066</v>
      </c>
      <c r="B991" s="1" t="s">
        <v>2067</v>
      </c>
      <c r="C991" s="1" t="s">
        <v>107</v>
      </c>
      <c r="D991">
        <v>37</v>
      </c>
      <c r="E991" s="1" t="s">
        <v>23</v>
      </c>
      <c r="F991" s="1" t="s">
        <v>24</v>
      </c>
      <c r="G991" s="1" t="s">
        <v>33</v>
      </c>
      <c r="H991">
        <v>4</v>
      </c>
      <c r="I991" s="1" t="s">
        <v>92</v>
      </c>
      <c r="J991">
        <v>3.2</v>
      </c>
      <c r="K991" s="1" t="s">
        <v>51</v>
      </c>
      <c r="L991">
        <v>0.76</v>
      </c>
    </row>
    <row r="992" spans="1:12" x14ac:dyDescent="0.3">
      <c r="A992" s="1" t="s">
        <v>2068</v>
      </c>
      <c r="B992" s="1" t="s">
        <v>2069</v>
      </c>
      <c r="C992" s="1" t="s">
        <v>22</v>
      </c>
      <c r="D992">
        <v>21</v>
      </c>
      <c r="E992" s="1" t="s">
        <v>80</v>
      </c>
      <c r="F992" s="1" t="s">
        <v>81</v>
      </c>
      <c r="G992" s="1" t="s">
        <v>49</v>
      </c>
      <c r="H992">
        <v>2</v>
      </c>
      <c r="I992" s="1" t="s">
        <v>18</v>
      </c>
      <c r="J992">
        <v>3.7</v>
      </c>
      <c r="K992" s="1" t="s">
        <v>77</v>
      </c>
      <c r="L992">
        <v>73</v>
      </c>
    </row>
    <row r="993" spans="1:12" x14ac:dyDescent="0.3">
      <c r="A993" s="1" t="s">
        <v>2070</v>
      </c>
      <c r="B993" s="1" t="s">
        <v>2071</v>
      </c>
      <c r="C993" s="1" t="s">
        <v>22</v>
      </c>
      <c r="D993">
        <v>58</v>
      </c>
      <c r="E993" s="1" t="s">
        <v>31</v>
      </c>
      <c r="F993" s="1" t="s">
        <v>32</v>
      </c>
      <c r="G993" s="1" t="s">
        <v>82</v>
      </c>
      <c r="H993">
        <v>37</v>
      </c>
      <c r="I993" s="1" t="s">
        <v>108</v>
      </c>
      <c r="J993">
        <v>4.9000000000000004</v>
      </c>
      <c r="K993" s="1" t="s">
        <v>51</v>
      </c>
      <c r="L993">
        <v>0.69</v>
      </c>
    </row>
    <row r="994" spans="1:12" x14ac:dyDescent="0.3">
      <c r="A994" s="1" t="s">
        <v>2072</v>
      </c>
      <c r="B994" s="1" t="s">
        <v>2073</v>
      </c>
      <c r="C994" s="1" t="s">
        <v>86</v>
      </c>
      <c r="D994">
        <v>52</v>
      </c>
      <c r="E994" s="1" t="s">
        <v>55</v>
      </c>
      <c r="F994" s="1" t="s">
        <v>56</v>
      </c>
      <c r="G994" s="1" t="s">
        <v>25</v>
      </c>
      <c r="H994">
        <v>32</v>
      </c>
      <c r="I994" s="1" t="s">
        <v>181</v>
      </c>
      <c r="J994">
        <v>3.2</v>
      </c>
      <c r="K994" s="1" t="s">
        <v>19</v>
      </c>
      <c r="L994">
        <v>0.79</v>
      </c>
    </row>
    <row r="995" spans="1:12" x14ac:dyDescent="0.3">
      <c r="A995" s="1" t="s">
        <v>2074</v>
      </c>
      <c r="B995" s="1" t="s">
        <v>2075</v>
      </c>
      <c r="C995" s="1" t="s">
        <v>30</v>
      </c>
      <c r="D995">
        <v>46</v>
      </c>
      <c r="E995" s="1" t="s">
        <v>134</v>
      </c>
      <c r="F995" s="1" t="s">
        <v>135</v>
      </c>
      <c r="G995" s="1" t="s">
        <v>25</v>
      </c>
      <c r="H995">
        <v>8</v>
      </c>
      <c r="I995" s="1" t="s">
        <v>151</v>
      </c>
      <c r="J995">
        <v>2.2000000000000002</v>
      </c>
      <c r="K995" s="1" t="s">
        <v>65</v>
      </c>
      <c r="L995">
        <v>89</v>
      </c>
    </row>
    <row r="996" spans="1:12" x14ac:dyDescent="0.3">
      <c r="A996" s="1" t="s">
        <v>2076</v>
      </c>
      <c r="B996" s="1" t="s">
        <v>2077</v>
      </c>
      <c r="C996" s="1" t="s">
        <v>86</v>
      </c>
      <c r="D996">
        <v>34</v>
      </c>
      <c r="E996" s="1" t="s">
        <v>164</v>
      </c>
      <c r="F996" s="1" t="s">
        <v>165</v>
      </c>
      <c r="G996" s="1" t="s">
        <v>99</v>
      </c>
      <c r="H996">
        <v>8</v>
      </c>
      <c r="I996" s="1" t="s">
        <v>44</v>
      </c>
      <c r="J996">
        <v>3.9</v>
      </c>
      <c r="K996" s="1" t="s">
        <v>83</v>
      </c>
      <c r="L996">
        <v>0.95</v>
      </c>
    </row>
    <row r="997" spans="1:12" x14ac:dyDescent="0.3">
      <c r="A997" s="1" t="s">
        <v>2078</v>
      </c>
      <c r="B997" s="1" t="s">
        <v>2079</v>
      </c>
      <c r="C997" s="1" t="s">
        <v>107</v>
      </c>
      <c r="D997">
        <v>56</v>
      </c>
      <c r="E997" s="1" t="s">
        <v>70</v>
      </c>
      <c r="F997" s="1" t="s">
        <v>71</v>
      </c>
      <c r="G997" s="1" t="s">
        <v>99</v>
      </c>
      <c r="H997">
        <v>13</v>
      </c>
      <c r="I997" s="1" t="s">
        <v>18</v>
      </c>
      <c r="J997">
        <v>0</v>
      </c>
      <c r="K997" s="1" t="s">
        <v>170</v>
      </c>
      <c r="L997">
        <v>0.68</v>
      </c>
    </row>
    <row r="998" spans="1:12" x14ac:dyDescent="0.3">
      <c r="A998" s="1" t="s">
        <v>2080</v>
      </c>
      <c r="B998" s="1" t="s">
        <v>2081</v>
      </c>
      <c r="C998" s="1" t="s">
        <v>14</v>
      </c>
      <c r="D998">
        <v>26</v>
      </c>
      <c r="E998" s="1" t="s">
        <v>31</v>
      </c>
      <c r="F998" s="1" t="s">
        <v>32</v>
      </c>
      <c r="G998" s="1" t="s">
        <v>17</v>
      </c>
      <c r="H998">
        <v>6</v>
      </c>
      <c r="I998" s="1" t="s">
        <v>61</v>
      </c>
      <c r="J998">
        <v>2.8</v>
      </c>
      <c r="K998" s="1" t="s">
        <v>35</v>
      </c>
      <c r="L998">
        <v>82</v>
      </c>
    </row>
    <row r="999" spans="1:12" x14ac:dyDescent="0.3">
      <c r="A999" s="1" t="s">
        <v>2082</v>
      </c>
      <c r="B999" s="1" t="s">
        <v>2083</v>
      </c>
      <c r="C999" s="1" t="s">
        <v>43</v>
      </c>
      <c r="D999">
        <v>37</v>
      </c>
      <c r="E999" s="1" t="s">
        <v>95</v>
      </c>
      <c r="F999" s="1" t="s">
        <v>96</v>
      </c>
      <c r="G999" s="1" t="s">
        <v>57</v>
      </c>
      <c r="H999">
        <v>15</v>
      </c>
      <c r="I999" s="1" t="s">
        <v>92</v>
      </c>
      <c r="K999" s="1" t="s">
        <v>51</v>
      </c>
      <c r="L999">
        <v>0.94</v>
      </c>
    </row>
    <row r="1000" spans="1:12" x14ac:dyDescent="0.3">
      <c r="A1000" s="1" t="s">
        <v>2084</v>
      </c>
      <c r="B1000" s="1" t="s">
        <v>2085</v>
      </c>
      <c r="C1000" s="1" t="s">
        <v>54</v>
      </c>
      <c r="D1000">
        <v>46</v>
      </c>
      <c r="E1000" s="1" t="s">
        <v>134</v>
      </c>
      <c r="F1000" s="1" t="s">
        <v>135</v>
      </c>
      <c r="G1000" s="1" t="s">
        <v>124</v>
      </c>
      <c r="H1000">
        <v>22</v>
      </c>
      <c r="I1000" s="1" t="s">
        <v>18</v>
      </c>
      <c r="J1000">
        <v>2.8</v>
      </c>
      <c r="K1000" s="1" t="s">
        <v>77</v>
      </c>
      <c r="L1000">
        <v>97</v>
      </c>
    </row>
    <row r="1001" spans="1:12" x14ac:dyDescent="0.3">
      <c r="A1001" s="1" t="s">
        <v>2086</v>
      </c>
      <c r="B1001" s="1" t="s">
        <v>2087</v>
      </c>
      <c r="C1001" s="1" t="s">
        <v>86</v>
      </c>
      <c r="D1001">
        <v>36</v>
      </c>
      <c r="E1001" s="1" t="s">
        <v>190</v>
      </c>
      <c r="F1001" s="1" t="s">
        <v>81</v>
      </c>
      <c r="G1001" s="1" t="s">
        <v>82</v>
      </c>
      <c r="H1001">
        <v>18</v>
      </c>
      <c r="I1001" s="1" t="s">
        <v>131</v>
      </c>
      <c r="J1001">
        <v>1.7</v>
      </c>
      <c r="K1001" s="1" t="s">
        <v>27</v>
      </c>
      <c r="L1001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3"/>
  <sheetViews>
    <sheetView topLeftCell="Q1" workbookViewId="0">
      <pane ySplit="1" topLeftCell="A2" activePane="bottomLeft" state="frozen"/>
      <selection pane="bottomLeft" activeCell="AC2" sqref="AC2"/>
    </sheetView>
  </sheetViews>
  <sheetFormatPr defaultRowHeight="14.4" x14ac:dyDescent="0.3"/>
  <cols>
    <col min="1" max="1" width="12.109375" bestFit="1" customWidth="1"/>
    <col min="2" max="3" width="22.77734375" bestFit="1" customWidth="1"/>
    <col min="4" max="7" width="22.77734375" customWidth="1"/>
    <col min="8" max="8" width="8.77734375" bestFit="1" customWidth="1"/>
    <col min="9" max="9" width="15" bestFit="1" customWidth="1"/>
    <col min="10" max="10" width="6.109375" bestFit="1" customWidth="1"/>
    <col min="11" max="11" width="15" bestFit="1" customWidth="1"/>
    <col min="12" max="12" width="15" customWidth="1"/>
    <col min="13" max="13" width="14" bestFit="1" customWidth="1"/>
    <col min="14" max="14" width="10.109375" bestFit="1" customWidth="1"/>
    <col min="15" max="15" width="21.44140625" bestFit="1" customWidth="1"/>
    <col min="16" max="16" width="18.21875" bestFit="1" customWidth="1"/>
    <col min="17" max="17" width="18.21875" customWidth="1"/>
    <col min="18" max="18" width="15.5546875" bestFit="1" customWidth="1"/>
    <col min="19" max="20" width="15.5546875" style="8" customWidth="1"/>
    <col min="21" max="21" width="22.44140625" style="8" bestFit="1" customWidth="1"/>
    <col min="22" max="22" width="15.5546875" style="10" customWidth="1"/>
    <col min="23" max="23" width="7.88671875" customWidth="1"/>
    <col min="24" max="24" width="17.88671875" style="11" bestFit="1" customWidth="1"/>
    <col min="25" max="25" width="8.109375" bestFit="1" customWidth="1"/>
    <col min="26" max="26" width="8.109375" customWidth="1"/>
    <col min="27" max="27" width="19.6640625" bestFit="1" customWidth="1"/>
    <col min="28" max="28" width="19.6640625" customWidth="1"/>
    <col min="29" max="29" width="16" style="1" bestFit="1" customWidth="1"/>
    <col min="30" max="30" width="27.77734375" style="12" bestFit="1" customWidth="1"/>
    <col min="31" max="31" width="25.5546875" bestFit="1" customWidth="1"/>
    <col min="32" max="32" width="25.44140625" bestFit="1" customWidth="1"/>
  </cols>
  <sheetData>
    <row r="1" spans="1:33" x14ac:dyDescent="0.3">
      <c r="A1" t="s">
        <v>0</v>
      </c>
      <c r="B1" t="s">
        <v>1</v>
      </c>
      <c r="C1" t="s">
        <v>2932</v>
      </c>
      <c r="D1" t="s">
        <v>2933</v>
      </c>
      <c r="E1" t="s">
        <v>2934</v>
      </c>
      <c r="H1" t="s">
        <v>2</v>
      </c>
      <c r="I1" t="s">
        <v>2090</v>
      </c>
      <c r="J1" t="s">
        <v>3</v>
      </c>
      <c r="K1" t="s">
        <v>2091</v>
      </c>
      <c r="L1" t="s">
        <v>2098</v>
      </c>
      <c r="M1" t="s">
        <v>4</v>
      </c>
      <c r="N1" t="s">
        <v>5</v>
      </c>
      <c r="O1" t="s">
        <v>6</v>
      </c>
      <c r="P1" t="s">
        <v>7</v>
      </c>
      <c r="Q1" t="s">
        <v>2092</v>
      </c>
      <c r="R1" t="s">
        <v>8</v>
      </c>
      <c r="U1" s="8" t="s">
        <v>2099</v>
      </c>
      <c r="V1" s="10" t="s">
        <v>2099</v>
      </c>
      <c r="W1" t="s">
        <v>9</v>
      </c>
      <c r="X1" s="11" t="s">
        <v>2100</v>
      </c>
      <c r="Y1" t="s">
        <v>10</v>
      </c>
      <c r="AA1" t="s">
        <v>2101</v>
      </c>
      <c r="AB1" t="s">
        <v>2104</v>
      </c>
      <c r="AC1" s="1" t="s">
        <v>11</v>
      </c>
      <c r="AD1" s="12" t="s">
        <v>2105</v>
      </c>
    </row>
    <row r="2" spans="1:33" ht="15" thickBot="1" x14ac:dyDescent="0.35">
      <c r="A2" t="s">
        <v>12</v>
      </c>
      <c r="B2" t="s">
        <v>13</v>
      </c>
      <c r="C2" t="s">
        <v>2106</v>
      </c>
      <c r="D2" t="s">
        <v>2107</v>
      </c>
      <c r="E2" t="str">
        <f>CONCATENATE(C2," ",D2)</f>
        <v>Nicole Kidd</v>
      </c>
      <c r="F2" t="str">
        <f>PROPER(E2)</f>
        <v>Nicole Kidd</v>
      </c>
      <c r="H2" t="s">
        <v>86</v>
      </c>
      <c r="I2" t="str">
        <f>PROPER(H2)</f>
        <v>Female</v>
      </c>
      <c r="J2">
        <v>52</v>
      </c>
      <c r="K2">
        <f>IF(ISBLANK(J2),ROUND(AVERAGEIF($I$2:$I$1001,I2,$J$2:$J$1001),0),J2)</f>
        <v>52</v>
      </c>
      <c r="L2" t="str">
        <f>IF(AND(K2&gt;=20,K2&lt;=30),"First level",IF(AND(K2&gt;30,K2&lt;=40),"Second level",IF(AND(K2&gt;40,K2&lt;=50),"Third level",IF(H9&gt;50,"Fourth level"))))</f>
        <v>Fourth level</v>
      </c>
      <c r="M2" t="s">
        <v>15</v>
      </c>
      <c r="N2" t="s">
        <v>16</v>
      </c>
      <c r="O2" t="s">
        <v>17</v>
      </c>
      <c r="P2">
        <v>11</v>
      </c>
      <c r="Q2">
        <f>IF(ISBLANK(P2),ROUND(AVERAGEIF($L$2:$L$1001,L2,$P$2:$P$1001),0),P2)</f>
        <v>11</v>
      </c>
      <c r="R2" t="s">
        <v>18</v>
      </c>
      <c r="S2" s="8" t="s">
        <v>18</v>
      </c>
      <c r="T2" s="9">
        <v>100</v>
      </c>
      <c r="U2" s="9">
        <f>IF(ISBLANK(T2),AVERAGE(T1:T1001),T2)</f>
        <v>100</v>
      </c>
      <c r="V2" s="10">
        <v>100</v>
      </c>
      <c r="X2" s="11">
        <f>IF(ISBLANK(W2),AVERAGE(W2:W1001),W2)</f>
        <v>2.5125695216907653</v>
      </c>
      <c r="Y2" t="s">
        <v>2102</v>
      </c>
      <c r="Z2" t="str">
        <f>CLEAN(TRIM(Y2))</f>
        <v>No</v>
      </c>
      <c r="AA2" t="str">
        <f>IF(ISBLANK(Z2),"Unknown",Z2)</f>
        <v>No</v>
      </c>
      <c r="AB2" t="str">
        <f>PROPER(AA2)</f>
        <v>No</v>
      </c>
      <c r="AC2" s="12"/>
      <c r="AD2" s="12">
        <f>IF(ISBLANK(AC2),AVERAGE(AC2:AC1001),AC2)</f>
        <v>79.269417475728162</v>
      </c>
    </row>
    <row r="3" spans="1:33" x14ac:dyDescent="0.3">
      <c r="A3" t="s">
        <v>20</v>
      </c>
      <c r="B3" t="s">
        <v>21</v>
      </c>
      <c r="C3" t="s">
        <v>2108</v>
      </c>
      <c r="D3" t="s">
        <v>2109</v>
      </c>
      <c r="E3" t="str">
        <f t="shared" ref="E3:E66" si="0">CONCATENATE(C3," ",D3)</f>
        <v>Vanessa Garcia</v>
      </c>
      <c r="F3" t="str">
        <f t="shared" ref="F3:F66" si="1">PROPER(E3)</f>
        <v>Vanessa Garcia</v>
      </c>
      <c r="H3" t="s">
        <v>22</v>
      </c>
      <c r="I3" t="str">
        <f t="shared" ref="I3:I66" si="2">PROPER(H3)</f>
        <v>Female</v>
      </c>
      <c r="J3">
        <v>52</v>
      </c>
      <c r="K3">
        <f>IF(ISBLANK(J3),ROUND(AVERAGEIF($I$2:$I$1001,I3,$J$2:$J$1001),0),J3)</f>
        <v>52</v>
      </c>
      <c r="L3" t="str">
        <f t="shared" ref="L3:L66" si="3">IF(AND(K3&gt;=20,K3&lt;=30),"First level",IF(AND(K3&gt;30,K3&lt;=40),"Second level",IF(AND(K3&gt;40,K3&lt;=50),"Third level",IF(H10&gt;50,"Fourth level"))))</f>
        <v>Fourth level</v>
      </c>
      <c r="M3" t="s">
        <v>23</v>
      </c>
      <c r="N3" t="s">
        <v>24</v>
      </c>
      <c r="O3" t="s">
        <v>25</v>
      </c>
      <c r="P3">
        <v>34</v>
      </c>
      <c r="Q3">
        <f t="shared" ref="Q3:Q66" si="4">IF(ISBLANK(P3),ROUND(AVERAGEIF($L$2:$L$1001,L3,$P$2:$P$1001),0),P3)</f>
        <v>34</v>
      </c>
      <c r="R3" t="s">
        <v>26</v>
      </c>
      <c r="S3" s="8" t="s">
        <v>18</v>
      </c>
      <c r="T3" s="9">
        <v>100</v>
      </c>
      <c r="U3" s="9">
        <f t="shared" ref="U3:U66" si="5">IF(ISBLANK(T3),AVERAGE(T2:T1002),T3)</f>
        <v>100</v>
      </c>
      <c r="V3" s="10">
        <v>100</v>
      </c>
      <c r="W3">
        <v>3.3</v>
      </c>
      <c r="X3" s="11">
        <f t="shared" ref="X3:X66" si="6">IF(ISBLANK(W3),AVERAGE(W3:W1002),W3)</f>
        <v>3.3</v>
      </c>
      <c r="Y3" t="s">
        <v>2103</v>
      </c>
      <c r="Z3" t="str">
        <f t="shared" ref="Z3:Z66" si="7">CLEAN(TRIM(Y3))</f>
        <v>Yes</v>
      </c>
      <c r="AA3" t="str">
        <f t="shared" ref="AA3:AA66" si="8">IF(ISBLANK(Z3),"Unknown",Z3)</f>
        <v>Yes</v>
      </c>
      <c r="AB3" t="str">
        <f t="shared" ref="AB3:AB66" si="9">PROPER(AA3)</f>
        <v>Yes</v>
      </c>
      <c r="AC3" s="12">
        <v>84</v>
      </c>
      <c r="AD3" s="12">
        <f t="shared" ref="AD3:AD66" si="10">IF(ISBLANK(AC3),AVERAGE(AC3:AC1002),AC3)</f>
        <v>84</v>
      </c>
      <c r="AF3" s="2" t="s">
        <v>2088</v>
      </c>
      <c r="AG3" s="3"/>
    </row>
    <row r="4" spans="1:33" x14ac:dyDescent="0.3">
      <c r="A4" t="s">
        <v>28</v>
      </c>
      <c r="B4" t="s">
        <v>29</v>
      </c>
      <c r="C4" t="s">
        <v>2110</v>
      </c>
      <c r="D4" t="s">
        <v>2111</v>
      </c>
      <c r="E4" t="str">
        <f t="shared" si="0"/>
        <v>Juan Nelson</v>
      </c>
      <c r="F4" t="str">
        <f t="shared" si="1"/>
        <v>Juan Nelson</v>
      </c>
      <c r="H4" t="s">
        <v>30</v>
      </c>
      <c r="I4" t="str">
        <f t="shared" si="2"/>
        <v>Male</v>
      </c>
      <c r="J4">
        <v>53</v>
      </c>
      <c r="K4">
        <f t="shared" ref="K4:K66" si="11">IF(ISBLANK(J4),ROUND(AVERAGEIF($I$2:$I$1001,I4,$J$2:$J$1001),0),J4)</f>
        <v>53</v>
      </c>
      <c r="L4" t="str">
        <f t="shared" si="3"/>
        <v>Fourth level</v>
      </c>
      <c r="M4" t="s">
        <v>31</v>
      </c>
      <c r="N4" t="s">
        <v>32</v>
      </c>
      <c r="O4" t="s">
        <v>33</v>
      </c>
      <c r="P4">
        <v>31</v>
      </c>
      <c r="Q4">
        <f t="shared" si="4"/>
        <v>31</v>
      </c>
      <c r="R4" t="s">
        <v>34</v>
      </c>
      <c r="S4" s="8" t="s">
        <v>34</v>
      </c>
      <c r="T4" s="9">
        <v>50</v>
      </c>
      <c r="U4" s="9">
        <f t="shared" si="5"/>
        <v>50</v>
      </c>
      <c r="V4" s="10">
        <v>50</v>
      </c>
      <c r="W4">
        <v>0</v>
      </c>
      <c r="X4" s="11">
        <f t="shared" si="6"/>
        <v>0</v>
      </c>
      <c r="Y4" t="s">
        <v>2102</v>
      </c>
      <c r="Z4" t="str">
        <f t="shared" si="7"/>
        <v>No</v>
      </c>
      <c r="AA4" t="str">
        <f t="shared" si="8"/>
        <v>No</v>
      </c>
      <c r="AB4" t="str">
        <f t="shared" si="9"/>
        <v>No</v>
      </c>
      <c r="AC4" s="12">
        <v>71</v>
      </c>
      <c r="AD4" s="12">
        <f t="shared" si="10"/>
        <v>71</v>
      </c>
      <c r="AF4" s="4" t="s">
        <v>0</v>
      </c>
      <c r="AG4" s="5">
        <v>0</v>
      </c>
    </row>
    <row r="5" spans="1:33" x14ac:dyDescent="0.3">
      <c r="A5" t="s">
        <v>36</v>
      </c>
      <c r="B5" t="s">
        <v>37</v>
      </c>
      <c r="C5" t="s">
        <v>2112</v>
      </c>
      <c r="D5" t="s">
        <v>2113</v>
      </c>
      <c r="E5" t="str">
        <f t="shared" si="0"/>
        <v>Amanda Spencer</v>
      </c>
      <c r="F5" t="str">
        <f t="shared" si="1"/>
        <v>Amanda Spencer</v>
      </c>
      <c r="H5" t="s">
        <v>86</v>
      </c>
      <c r="I5" t="str">
        <f t="shared" si="2"/>
        <v>Female</v>
      </c>
      <c r="J5">
        <v>38</v>
      </c>
      <c r="K5">
        <f t="shared" si="11"/>
        <v>38</v>
      </c>
      <c r="L5" t="str">
        <f t="shared" si="3"/>
        <v>Second level</v>
      </c>
      <c r="M5" t="s">
        <v>23</v>
      </c>
      <c r="N5" t="s">
        <v>24</v>
      </c>
      <c r="O5" t="s">
        <v>39</v>
      </c>
      <c r="P5">
        <v>4</v>
      </c>
      <c r="Q5">
        <f t="shared" si="4"/>
        <v>4</v>
      </c>
      <c r="R5" t="s">
        <v>40</v>
      </c>
      <c r="S5" s="8" t="s">
        <v>40</v>
      </c>
      <c r="T5" s="9">
        <v>40</v>
      </c>
      <c r="U5" s="9">
        <f t="shared" si="5"/>
        <v>40</v>
      </c>
      <c r="V5" s="10">
        <v>40</v>
      </c>
      <c r="W5">
        <v>1.5</v>
      </c>
      <c r="X5" s="11">
        <f t="shared" si="6"/>
        <v>1.5</v>
      </c>
      <c r="Y5" t="s">
        <v>2102</v>
      </c>
      <c r="Z5" t="str">
        <f t="shared" si="7"/>
        <v>No</v>
      </c>
      <c r="AA5" t="str">
        <f t="shared" si="8"/>
        <v>No</v>
      </c>
      <c r="AB5" t="str">
        <f t="shared" si="9"/>
        <v>No</v>
      </c>
      <c r="AC5" s="12">
        <v>90</v>
      </c>
      <c r="AD5" s="12">
        <f t="shared" si="10"/>
        <v>90</v>
      </c>
      <c r="AF5" s="4" t="s">
        <v>1</v>
      </c>
      <c r="AG5" s="5">
        <v>0</v>
      </c>
    </row>
    <row r="6" spans="1:33" x14ac:dyDescent="0.3">
      <c r="A6" t="s">
        <v>41</v>
      </c>
      <c r="B6" t="s">
        <v>42</v>
      </c>
      <c r="C6" t="s">
        <v>2114</v>
      </c>
      <c r="D6" t="s">
        <v>2115</v>
      </c>
      <c r="E6" t="str">
        <f t="shared" si="0"/>
        <v>Lynn Curtis</v>
      </c>
      <c r="F6" t="str">
        <f t="shared" si="1"/>
        <v>Lynn Curtis</v>
      </c>
      <c r="H6" t="s">
        <v>43</v>
      </c>
      <c r="I6" t="str">
        <f t="shared" si="2"/>
        <v>Female</v>
      </c>
      <c r="J6">
        <v>53</v>
      </c>
      <c r="K6">
        <f t="shared" si="11"/>
        <v>53</v>
      </c>
      <c r="L6" t="str">
        <f t="shared" si="3"/>
        <v>Fourth level</v>
      </c>
      <c r="M6" t="s">
        <v>31</v>
      </c>
      <c r="N6" t="s">
        <v>32</v>
      </c>
      <c r="O6" t="s">
        <v>39</v>
      </c>
      <c r="P6">
        <v>27</v>
      </c>
      <c r="Q6">
        <f t="shared" si="4"/>
        <v>27</v>
      </c>
      <c r="R6" t="s">
        <v>44</v>
      </c>
      <c r="S6" s="8" t="s">
        <v>44</v>
      </c>
      <c r="T6" s="9">
        <v>30</v>
      </c>
      <c r="U6" s="9">
        <f t="shared" si="5"/>
        <v>30</v>
      </c>
      <c r="V6" s="10">
        <v>30</v>
      </c>
      <c r="W6">
        <v>4.8</v>
      </c>
      <c r="X6" s="11">
        <f t="shared" si="6"/>
        <v>4.8</v>
      </c>
      <c r="Y6" t="s">
        <v>2102</v>
      </c>
      <c r="Z6" t="str">
        <f t="shared" si="7"/>
        <v>No</v>
      </c>
      <c r="AA6" t="str">
        <f t="shared" si="8"/>
        <v>No</v>
      </c>
      <c r="AB6" t="str">
        <f t="shared" si="9"/>
        <v>No</v>
      </c>
      <c r="AC6" s="12">
        <v>83</v>
      </c>
      <c r="AD6" s="12">
        <f t="shared" si="10"/>
        <v>83</v>
      </c>
      <c r="AF6" s="4" t="s">
        <v>2</v>
      </c>
      <c r="AG6" s="5">
        <v>0</v>
      </c>
    </row>
    <row r="7" spans="1:33" x14ac:dyDescent="0.3">
      <c r="A7" t="s">
        <v>45</v>
      </c>
      <c r="B7" t="s">
        <v>46</v>
      </c>
      <c r="C7" t="s">
        <v>2116</v>
      </c>
      <c r="D7" t="s">
        <v>2117</v>
      </c>
      <c r="E7" t="str">
        <f t="shared" si="0"/>
        <v>Lisa Johnson</v>
      </c>
      <c r="F7" t="str">
        <f t="shared" si="1"/>
        <v>Lisa Johnson</v>
      </c>
      <c r="H7" t="s">
        <v>43</v>
      </c>
      <c r="I7" t="str">
        <f t="shared" si="2"/>
        <v>Female</v>
      </c>
      <c r="J7">
        <v>59</v>
      </c>
      <c r="K7">
        <f t="shared" si="11"/>
        <v>59</v>
      </c>
      <c r="L7" t="str">
        <f t="shared" si="3"/>
        <v>Fourth level</v>
      </c>
      <c r="M7" t="s">
        <v>47</v>
      </c>
      <c r="N7" t="s">
        <v>48</v>
      </c>
      <c r="O7" t="s">
        <v>49</v>
      </c>
      <c r="P7">
        <v>14</v>
      </c>
      <c r="Q7">
        <f t="shared" si="4"/>
        <v>14</v>
      </c>
      <c r="R7" t="s">
        <v>50</v>
      </c>
      <c r="S7" s="8" t="s">
        <v>50</v>
      </c>
      <c r="T7" s="9">
        <v>30</v>
      </c>
      <c r="U7" s="9">
        <f t="shared" si="5"/>
        <v>30</v>
      </c>
      <c r="V7" s="10">
        <v>30</v>
      </c>
      <c r="W7">
        <v>2.4</v>
      </c>
      <c r="X7" s="11">
        <f t="shared" si="6"/>
        <v>2.4</v>
      </c>
      <c r="Y7" t="s">
        <v>2102</v>
      </c>
      <c r="Z7" t="str">
        <f t="shared" si="7"/>
        <v>No</v>
      </c>
      <c r="AA7" t="str">
        <f t="shared" si="8"/>
        <v>No</v>
      </c>
      <c r="AB7" t="str">
        <f t="shared" si="9"/>
        <v>No</v>
      </c>
      <c r="AC7" s="12"/>
      <c r="AD7" s="12">
        <f t="shared" si="10"/>
        <v>79.256097560975604</v>
      </c>
      <c r="AF7" s="4" t="s">
        <v>3</v>
      </c>
      <c r="AG7" s="5">
        <v>30</v>
      </c>
    </row>
    <row r="8" spans="1:33" x14ac:dyDescent="0.3">
      <c r="A8" t="s">
        <v>52</v>
      </c>
      <c r="B8" t="s">
        <v>53</v>
      </c>
      <c r="C8" t="s">
        <v>2118</v>
      </c>
      <c r="D8" t="s">
        <v>2119</v>
      </c>
      <c r="E8" t="str">
        <f t="shared" si="0"/>
        <v>Eric Myers</v>
      </c>
      <c r="F8" t="str">
        <f t="shared" si="1"/>
        <v>Eric Myers</v>
      </c>
      <c r="H8" t="s">
        <v>107</v>
      </c>
      <c r="I8" t="str">
        <f t="shared" si="2"/>
        <v>Male</v>
      </c>
      <c r="J8">
        <v>52</v>
      </c>
      <c r="K8">
        <f t="shared" si="11"/>
        <v>52</v>
      </c>
      <c r="L8" t="str">
        <f t="shared" si="3"/>
        <v>Fourth level</v>
      </c>
      <c r="M8" t="s">
        <v>55</v>
      </c>
      <c r="N8" t="s">
        <v>56</v>
      </c>
      <c r="O8" t="s">
        <v>57</v>
      </c>
      <c r="P8">
        <v>10</v>
      </c>
      <c r="Q8">
        <f t="shared" si="4"/>
        <v>10</v>
      </c>
      <c r="R8" t="s">
        <v>58</v>
      </c>
      <c r="S8" s="8" t="s">
        <v>2093</v>
      </c>
      <c r="T8" s="9">
        <v>75</v>
      </c>
      <c r="U8" s="9">
        <f t="shared" si="5"/>
        <v>75</v>
      </c>
      <c r="V8" s="10">
        <v>75</v>
      </c>
      <c r="W8">
        <v>3.1</v>
      </c>
      <c r="X8" s="11">
        <f t="shared" si="6"/>
        <v>3.1</v>
      </c>
      <c r="Y8" t="s">
        <v>2102</v>
      </c>
      <c r="Z8" t="str">
        <f t="shared" si="7"/>
        <v>No</v>
      </c>
      <c r="AA8" t="str">
        <f t="shared" si="8"/>
        <v>No</v>
      </c>
      <c r="AB8" t="str">
        <f t="shared" si="9"/>
        <v>No</v>
      </c>
      <c r="AC8" s="12">
        <v>94</v>
      </c>
      <c r="AD8" s="12">
        <f t="shared" si="10"/>
        <v>94</v>
      </c>
      <c r="AF8" s="4" t="s">
        <v>4</v>
      </c>
      <c r="AG8" s="5">
        <v>0</v>
      </c>
    </row>
    <row r="9" spans="1:33" x14ac:dyDescent="0.3">
      <c r="A9" t="s">
        <v>59</v>
      </c>
      <c r="B9" t="s">
        <v>60</v>
      </c>
      <c r="C9" t="s">
        <v>2120</v>
      </c>
      <c r="D9" t="s">
        <v>2121</v>
      </c>
      <c r="E9" t="str">
        <f t="shared" si="0"/>
        <v>Ricky Graham</v>
      </c>
      <c r="F9" t="str">
        <f t="shared" si="1"/>
        <v>Ricky Graham</v>
      </c>
      <c r="H9" t="s">
        <v>30</v>
      </c>
      <c r="I9" t="str">
        <f t="shared" si="2"/>
        <v>Male</v>
      </c>
      <c r="J9">
        <v>43</v>
      </c>
      <c r="K9">
        <f t="shared" si="11"/>
        <v>43</v>
      </c>
      <c r="L9" t="str">
        <f t="shared" si="3"/>
        <v>Third level</v>
      </c>
      <c r="M9" t="s">
        <v>15</v>
      </c>
      <c r="N9" t="s">
        <v>16</v>
      </c>
      <c r="O9" t="s">
        <v>17</v>
      </c>
      <c r="P9">
        <v>14</v>
      </c>
      <c r="Q9">
        <f t="shared" si="4"/>
        <v>14</v>
      </c>
      <c r="R9" t="s">
        <v>61</v>
      </c>
      <c r="S9" s="8" t="s">
        <v>2094</v>
      </c>
      <c r="T9" s="9">
        <v>40</v>
      </c>
      <c r="U9" s="9">
        <f t="shared" si="5"/>
        <v>40</v>
      </c>
      <c r="V9" s="10">
        <v>40</v>
      </c>
      <c r="W9">
        <v>4.5999999999999996</v>
      </c>
      <c r="X9" s="11">
        <f t="shared" si="6"/>
        <v>4.5999999999999996</v>
      </c>
      <c r="Y9" t="s">
        <v>2102</v>
      </c>
      <c r="Z9" t="str">
        <f t="shared" si="7"/>
        <v>No</v>
      </c>
      <c r="AA9" t="str">
        <f t="shared" si="8"/>
        <v>No</v>
      </c>
      <c r="AB9" t="str">
        <f t="shared" si="9"/>
        <v>No</v>
      </c>
      <c r="AC9" s="12">
        <v>94</v>
      </c>
      <c r="AD9" s="12">
        <f t="shared" si="10"/>
        <v>94</v>
      </c>
      <c r="AF9" s="4" t="s">
        <v>5</v>
      </c>
      <c r="AG9" s="5">
        <v>0</v>
      </c>
    </row>
    <row r="10" spans="1:33" x14ac:dyDescent="0.3">
      <c r="A10" t="s">
        <v>62</v>
      </c>
      <c r="B10" t="s">
        <v>63</v>
      </c>
      <c r="C10" t="s">
        <v>2122</v>
      </c>
      <c r="D10" t="s">
        <v>2123</v>
      </c>
      <c r="E10" t="str">
        <f t="shared" si="0"/>
        <v>Sean Martin</v>
      </c>
      <c r="F10" t="str">
        <f t="shared" si="1"/>
        <v>Sean Martin</v>
      </c>
      <c r="H10" t="s">
        <v>30</v>
      </c>
      <c r="I10" t="str">
        <f t="shared" si="2"/>
        <v>Male</v>
      </c>
      <c r="J10">
        <v>26</v>
      </c>
      <c r="K10">
        <f t="shared" si="11"/>
        <v>26</v>
      </c>
      <c r="L10" t="str">
        <f t="shared" si="3"/>
        <v>First level</v>
      </c>
      <c r="M10" t="s">
        <v>64</v>
      </c>
      <c r="N10" t="s">
        <v>24</v>
      </c>
      <c r="O10" t="s">
        <v>17</v>
      </c>
      <c r="P10">
        <v>4</v>
      </c>
      <c r="Q10">
        <f t="shared" si="4"/>
        <v>4</v>
      </c>
      <c r="R10" t="s">
        <v>65</v>
      </c>
      <c r="S10" s="8" t="s">
        <v>65</v>
      </c>
      <c r="T10" s="9"/>
      <c r="U10" s="9">
        <f t="shared" si="5"/>
        <v>52.397107897664071</v>
      </c>
      <c r="V10" s="10">
        <v>52.397107897664071</v>
      </c>
      <c r="W10">
        <v>4</v>
      </c>
      <c r="X10" s="11">
        <f t="shared" si="6"/>
        <v>4</v>
      </c>
      <c r="Y10" t="s">
        <v>2103</v>
      </c>
      <c r="Z10" t="str">
        <f t="shared" si="7"/>
        <v>Yes</v>
      </c>
      <c r="AA10" t="str">
        <f t="shared" si="8"/>
        <v>Yes</v>
      </c>
      <c r="AB10" t="str">
        <f t="shared" si="9"/>
        <v>Yes</v>
      </c>
      <c r="AC10" s="12">
        <v>76</v>
      </c>
      <c r="AD10" s="12">
        <f t="shared" si="10"/>
        <v>76</v>
      </c>
      <c r="AF10" s="4" t="s">
        <v>6</v>
      </c>
      <c r="AG10" s="5">
        <v>0</v>
      </c>
    </row>
    <row r="11" spans="1:33" x14ac:dyDescent="0.3">
      <c r="A11" t="s">
        <v>67</v>
      </c>
      <c r="B11" t="s">
        <v>68</v>
      </c>
      <c r="C11" t="s">
        <v>2124</v>
      </c>
      <c r="D11" t="s">
        <v>2125</v>
      </c>
      <c r="E11" t="str">
        <f t="shared" si="0"/>
        <v>Matthew Lloyd</v>
      </c>
      <c r="F11" t="str">
        <f t="shared" si="1"/>
        <v>Matthew Lloyd</v>
      </c>
      <c r="H11" t="s">
        <v>69</v>
      </c>
      <c r="I11" t="str">
        <f t="shared" si="2"/>
        <v>Male</v>
      </c>
      <c r="J11">
        <v>52</v>
      </c>
      <c r="K11">
        <f t="shared" si="11"/>
        <v>52</v>
      </c>
      <c r="L11" t="str">
        <f t="shared" si="3"/>
        <v>Fourth level</v>
      </c>
      <c r="M11" t="s">
        <v>70</v>
      </c>
      <c r="N11" t="s">
        <v>71</v>
      </c>
      <c r="O11" t="s">
        <v>49</v>
      </c>
      <c r="P11">
        <v>22</v>
      </c>
      <c r="Q11">
        <f t="shared" si="4"/>
        <v>22</v>
      </c>
      <c r="R11" t="s">
        <v>72</v>
      </c>
      <c r="S11" s="8" t="s">
        <v>72</v>
      </c>
      <c r="T11" s="9">
        <v>50</v>
      </c>
      <c r="U11" s="9">
        <f>IF(ISBLANK(T11),AVERAGE(T2:T1010),T11)</f>
        <v>50</v>
      </c>
      <c r="V11" s="10">
        <v>50</v>
      </c>
      <c r="X11" s="11">
        <f t="shared" si="6"/>
        <v>2.5085297418630725</v>
      </c>
      <c r="Y11" t="s">
        <v>2103</v>
      </c>
      <c r="Z11" t="str">
        <f t="shared" si="7"/>
        <v>Yes</v>
      </c>
      <c r="AA11" t="str">
        <f t="shared" si="8"/>
        <v>Yes</v>
      </c>
      <c r="AB11" t="str">
        <f t="shared" si="9"/>
        <v>Yes</v>
      </c>
      <c r="AC11" s="12"/>
      <c r="AD11" s="12">
        <f t="shared" si="10"/>
        <v>79.223990208078334</v>
      </c>
      <c r="AF11" s="4" t="s">
        <v>7</v>
      </c>
      <c r="AG11" s="5">
        <v>51</v>
      </c>
    </row>
    <row r="12" spans="1:33" x14ac:dyDescent="0.3">
      <c r="A12" t="s">
        <v>73</v>
      </c>
      <c r="B12" t="s">
        <v>74</v>
      </c>
      <c r="C12" t="s">
        <v>2126</v>
      </c>
      <c r="D12" t="s">
        <v>2127</v>
      </c>
      <c r="E12" t="str">
        <f t="shared" si="0"/>
        <v>Gavin Randall</v>
      </c>
      <c r="F12" t="str">
        <f t="shared" si="1"/>
        <v>Gavin Randall</v>
      </c>
      <c r="H12" t="s">
        <v>107</v>
      </c>
      <c r="I12" t="str">
        <f t="shared" si="2"/>
        <v>Male</v>
      </c>
      <c r="J12">
        <v>40</v>
      </c>
      <c r="K12">
        <f t="shared" si="11"/>
        <v>40</v>
      </c>
      <c r="L12" t="str">
        <f t="shared" si="3"/>
        <v>Second level</v>
      </c>
      <c r="M12" t="s">
        <v>75</v>
      </c>
      <c r="N12" t="s">
        <v>24</v>
      </c>
      <c r="O12" t="s">
        <v>57</v>
      </c>
      <c r="P12">
        <v>17</v>
      </c>
      <c r="Q12">
        <f t="shared" si="4"/>
        <v>17</v>
      </c>
      <c r="R12" t="s">
        <v>76</v>
      </c>
      <c r="S12" s="8" t="s">
        <v>76</v>
      </c>
      <c r="T12" s="9">
        <v>40</v>
      </c>
      <c r="U12" s="9">
        <f t="shared" si="5"/>
        <v>40</v>
      </c>
      <c r="V12" s="10">
        <v>40</v>
      </c>
      <c r="W12">
        <v>3.6</v>
      </c>
      <c r="X12" s="11">
        <f t="shared" si="6"/>
        <v>3.6</v>
      </c>
      <c r="Y12" t="s">
        <v>77</v>
      </c>
      <c r="Z12" t="str">
        <f t="shared" si="7"/>
        <v>yes</v>
      </c>
      <c r="AA12" t="str">
        <f t="shared" si="8"/>
        <v>yes</v>
      </c>
      <c r="AB12" t="str">
        <f t="shared" si="9"/>
        <v>Yes</v>
      </c>
      <c r="AC12" s="12">
        <v>77</v>
      </c>
      <c r="AD12" s="12">
        <f t="shared" si="10"/>
        <v>77</v>
      </c>
      <c r="AF12" s="4" t="s">
        <v>8</v>
      </c>
      <c r="AG12" s="5">
        <v>94</v>
      </c>
    </row>
    <row r="13" spans="1:33" x14ac:dyDescent="0.3">
      <c r="A13" t="s">
        <v>78</v>
      </c>
      <c r="B13" t="s">
        <v>79</v>
      </c>
      <c r="C13" t="s">
        <v>2128</v>
      </c>
      <c r="D13" t="s">
        <v>2115</v>
      </c>
      <c r="E13" t="str">
        <f t="shared" si="0"/>
        <v>Michelle Curtis</v>
      </c>
      <c r="F13" t="str">
        <f t="shared" si="1"/>
        <v>Michelle Curtis</v>
      </c>
      <c r="H13" t="s">
        <v>22</v>
      </c>
      <c r="I13" t="str">
        <f t="shared" si="2"/>
        <v>Female</v>
      </c>
      <c r="J13">
        <v>55</v>
      </c>
      <c r="K13">
        <f t="shared" si="11"/>
        <v>55</v>
      </c>
      <c r="L13" t="str">
        <f t="shared" si="3"/>
        <v>Fourth level</v>
      </c>
      <c r="M13" t="s">
        <v>80</v>
      </c>
      <c r="N13" t="s">
        <v>81</v>
      </c>
      <c r="O13" t="s">
        <v>82</v>
      </c>
      <c r="P13">
        <v>15</v>
      </c>
      <c r="Q13">
        <f t="shared" si="4"/>
        <v>15</v>
      </c>
      <c r="R13" t="s">
        <v>65</v>
      </c>
      <c r="S13" s="8" t="s">
        <v>65</v>
      </c>
      <c r="T13" s="9"/>
      <c r="U13" s="9">
        <f t="shared" si="5"/>
        <v>52.413600891861762</v>
      </c>
      <c r="V13" s="10">
        <v>52.413600891861762</v>
      </c>
      <c r="X13" s="11">
        <f t="shared" si="6"/>
        <v>2.5073033707865142</v>
      </c>
      <c r="Y13" t="s">
        <v>2103</v>
      </c>
      <c r="Z13" t="str">
        <f t="shared" si="7"/>
        <v>Yes</v>
      </c>
      <c r="AA13" t="str">
        <f t="shared" si="8"/>
        <v>Yes</v>
      </c>
      <c r="AB13" t="str">
        <f t="shared" si="9"/>
        <v>Yes</v>
      </c>
      <c r="AC13" s="12">
        <v>86</v>
      </c>
      <c r="AD13" s="12">
        <f t="shared" si="10"/>
        <v>86</v>
      </c>
      <c r="AF13" s="4" t="s">
        <v>9</v>
      </c>
      <c r="AG13" s="5">
        <v>101</v>
      </c>
    </row>
    <row r="14" spans="1:33" x14ac:dyDescent="0.3">
      <c r="A14" t="s">
        <v>84</v>
      </c>
      <c r="B14" t="s">
        <v>85</v>
      </c>
      <c r="C14" t="s">
        <v>2129</v>
      </c>
      <c r="D14" t="s">
        <v>2130</v>
      </c>
      <c r="E14" t="str">
        <f t="shared" si="0"/>
        <v>Alice Schneider</v>
      </c>
      <c r="F14" t="str">
        <f t="shared" si="1"/>
        <v>Alice Schneider</v>
      </c>
      <c r="H14" t="s">
        <v>86</v>
      </c>
      <c r="I14" t="str">
        <f t="shared" si="2"/>
        <v>Female</v>
      </c>
      <c r="J14">
        <v>57</v>
      </c>
      <c r="K14">
        <f t="shared" si="11"/>
        <v>57</v>
      </c>
      <c r="L14" t="str">
        <f t="shared" si="3"/>
        <v>Fourth level</v>
      </c>
      <c r="M14" t="s">
        <v>75</v>
      </c>
      <c r="N14" t="s">
        <v>24</v>
      </c>
      <c r="O14" t="s">
        <v>87</v>
      </c>
      <c r="P14">
        <v>18</v>
      </c>
      <c r="Q14">
        <f t="shared" si="4"/>
        <v>18</v>
      </c>
      <c r="R14" t="s">
        <v>65</v>
      </c>
      <c r="S14" s="8" t="s">
        <v>65</v>
      </c>
      <c r="T14" s="9"/>
      <c r="U14" s="9">
        <f t="shared" si="5"/>
        <v>52.427455357142854</v>
      </c>
      <c r="V14" s="10">
        <v>52.427455357142854</v>
      </c>
      <c r="W14">
        <v>2</v>
      </c>
      <c r="X14" s="11">
        <f t="shared" si="6"/>
        <v>2</v>
      </c>
      <c r="Y14" t="s">
        <v>2102</v>
      </c>
      <c r="Z14" t="str">
        <f t="shared" si="7"/>
        <v>No</v>
      </c>
      <c r="AA14" t="str">
        <f t="shared" si="8"/>
        <v>No</v>
      </c>
      <c r="AB14" t="str">
        <f t="shared" si="9"/>
        <v>No</v>
      </c>
      <c r="AC14" s="12">
        <v>86</v>
      </c>
      <c r="AD14" s="12">
        <f t="shared" si="10"/>
        <v>86</v>
      </c>
      <c r="AF14" s="4" t="s">
        <v>10</v>
      </c>
      <c r="AG14" s="5">
        <v>89</v>
      </c>
    </row>
    <row r="15" spans="1:33" ht="15" thickBot="1" x14ac:dyDescent="0.35">
      <c r="A15" t="s">
        <v>88</v>
      </c>
      <c r="B15" t="s">
        <v>89</v>
      </c>
      <c r="C15" t="s">
        <v>2131</v>
      </c>
      <c r="D15" t="s">
        <v>2132</v>
      </c>
      <c r="E15" t="str">
        <f t="shared" si="0"/>
        <v>Phillip Shelton</v>
      </c>
      <c r="F15" t="str">
        <f t="shared" si="1"/>
        <v>Phillip Shelton</v>
      </c>
      <c r="H15" t="s">
        <v>69</v>
      </c>
      <c r="I15" t="str">
        <f t="shared" si="2"/>
        <v>Male</v>
      </c>
      <c r="J15">
        <v>38</v>
      </c>
      <c r="K15">
        <f t="shared" si="11"/>
        <v>38</v>
      </c>
      <c r="L15" t="str">
        <f t="shared" si="3"/>
        <v>Second level</v>
      </c>
      <c r="M15" t="s">
        <v>80</v>
      </c>
      <c r="N15" t="s">
        <v>81</v>
      </c>
      <c r="O15" t="s">
        <v>33</v>
      </c>
      <c r="P15">
        <v>20</v>
      </c>
      <c r="Q15">
        <f t="shared" si="4"/>
        <v>20</v>
      </c>
      <c r="R15" t="s">
        <v>58</v>
      </c>
      <c r="S15" s="8" t="s">
        <v>2093</v>
      </c>
      <c r="T15" s="9">
        <v>75</v>
      </c>
      <c r="U15" s="9">
        <f t="shared" si="5"/>
        <v>75</v>
      </c>
      <c r="V15" s="10">
        <v>75</v>
      </c>
      <c r="W15">
        <v>2.9</v>
      </c>
      <c r="X15" s="11">
        <f t="shared" si="6"/>
        <v>2.9</v>
      </c>
      <c r="Y15" t="s">
        <v>2103</v>
      </c>
      <c r="Z15" t="str">
        <f t="shared" si="7"/>
        <v>Yes</v>
      </c>
      <c r="AA15" t="str">
        <f t="shared" si="8"/>
        <v>Yes</v>
      </c>
      <c r="AB15" t="str">
        <f t="shared" si="9"/>
        <v>Yes</v>
      </c>
      <c r="AC15" s="12">
        <v>93</v>
      </c>
      <c r="AD15" s="12">
        <f t="shared" si="10"/>
        <v>93</v>
      </c>
      <c r="AF15" s="6" t="s">
        <v>11</v>
      </c>
      <c r="AG15" s="7">
        <v>176</v>
      </c>
    </row>
    <row r="16" spans="1:33" x14ac:dyDescent="0.3">
      <c r="A16" t="s">
        <v>90</v>
      </c>
      <c r="B16" t="s">
        <v>91</v>
      </c>
      <c r="C16" t="s">
        <v>2133</v>
      </c>
      <c r="D16" t="s">
        <v>2134</v>
      </c>
      <c r="E16" t="str">
        <f t="shared" si="0"/>
        <v>Edward Ferguson</v>
      </c>
      <c r="F16" t="str">
        <f t="shared" si="1"/>
        <v>Edward Ferguson</v>
      </c>
      <c r="H16" t="s">
        <v>69</v>
      </c>
      <c r="I16" t="str">
        <f t="shared" si="2"/>
        <v>Male</v>
      </c>
      <c r="J16">
        <v>50</v>
      </c>
      <c r="K16">
        <f t="shared" si="11"/>
        <v>50</v>
      </c>
      <c r="L16" t="str">
        <f t="shared" si="3"/>
        <v>Third level</v>
      </c>
      <c r="M16" t="s">
        <v>31</v>
      </c>
      <c r="N16" t="s">
        <v>32</v>
      </c>
      <c r="O16" t="s">
        <v>57</v>
      </c>
      <c r="P16">
        <v>22</v>
      </c>
      <c r="Q16">
        <f t="shared" si="4"/>
        <v>22</v>
      </c>
      <c r="R16" t="s">
        <v>92</v>
      </c>
      <c r="S16" s="8" t="s">
        <v>92</v>
      </c>
      <c r="T16" s="9">
        <v>75</v>
      </c>
      <c r="U16" s="9">
        <f t="shared" si="5"/>
        <v>75</v>
      </c>
      <c r="V16" s="10">
        <v>75</v>
      </c>
      <c r="W16">
        <v>3.7</v>
      </c>
      <c r="X16" s="11">
        <f t="shared" si="6"/>
        <v>3.7</v>
      </c>
      <c r="Y16" t="s">
        <v>2103</v>
      </c>
      <c r="Z16" t="str">
        <f t="shared" si="7"/>
        <v>Yes</v>
      </c>
      <c r="AA16" t="str">
        <f t="shared" si="8"/>
        <v>Yes</v>
      </c>
      <c r="AB16" t="str">
        <f t="shared" si="9"/>
        <v>Yes</v>
      </c>
      <c r="AC16" s="12">
        <v>70</v>
      </c>
      <c r="AD16" s="12">
        <f t="shared" si="10"/>
        <v>70</v>
      </c>
    </row>
    <row r="17" spans="1:33" x14ac:dyDescent="0.3">
      <c r="A17" t="s">
        <v>93</v>
      </c>
      <c r="B17" t="s">
        <v>94</v>
      </c>
      <c r="C17" t="s">
        <v>2135</v>
      </c>
      <c r="D17" t="s">
        <v>2136</v>
      </c>
      <c r="E17" t="str">
        <f t="shared" si="0"/>
        <v>Wyatt Stout</v>
      </c>
      <c r="F17" t="str">
        <f t="shared" si="1"/>
        <v>Wyatt Stout</v>
      </c>
      <c r="H17" t="s">
        <v>107</v>
      </c>
      <c r="I17" t="str">
        <f t="shared" si="2"/>
        <v>Male</v>
      </c>
      <c r="J17">
        <v>42</v>
      </c>
      <c r="K17">
        <f t="shared" si="11"/>
        <v>42</v>
      </c>
      <c r="L17" t="str">
        <f t="shared" si="3"/>
        <v>Third level</v>
      </c>
      <c r="M17" t="s">
        <v>95</v>
      </c>
      <c r="N17" t="s">
        <v>96</v>
      </c>
      <c r="O17" t="s">
        <v>57</v>
      </c>
      <c r="P17">
        <v>0</v>
      </c>
      <c r="Q17">
        <f t="shared" si="4"/>
        <v>0</v>
      </c>
      <c r="R17" t="s">
        <v>50</v>
      </c>
      <c r="S17" s="8" t="s">
        <v>50</v>
      </c>
      <c r="T17" s="9">
        <v>30</v>
      </c>
      <c r="U17" s="9">
        <f t="shared" si="5"/>
        <v>30</v>
      </c>
      <c r="V17" s="10">
        <v>30</v>
      </c>
      <c r="W17">
        <v>1.2</v>
      </c>
      <c r="X17" s="11">
        <f t="shared" si="6"/>
        <v>1.2</v>
      </c>
      <c r="Y17" t="s">
        <v>2102</v>
      </c>
      <c r="Z17" t="str">
        <f t="shared" si="7"/>
        <v>No</v>
      </c>
      <c r="AA17" t="str">
        <f t="shared" si="8"/>
        <v>No</v>
      </c>
      <c r="AB17" t="str">
        <f t="shared" si="9"/>
        <v>No</v>
      </c>
      <c r="AC17" s="12">
        <v>69</v>
      </c>
      <c r="AD17" s="12">
        <f t="shared" si="10"/>
        <v>69</v>
      </c>
    </row>
    <row r="18" spans="1:33" x14ac:dyDescent="0.3">
      <c r="A18" t="s">
        <v>97</v>
      </c>
      <c r="B18" t="s">
        <v>98</v>
      </c>
      <c r="C18" t="s">
        <v>2137</v>
      </c>
      <c r="D18" t="s">
        <v>2117</v>
      </c>
      <c r="E18" t="str">
        <f t="shared" si="0"/>
        <v>Laura Johnson</v>
      </c>
      <c r="F18" t="str">
        <f t="shared" si="1"/>
        <v>Laura Johnson</v>
      </c>
      <c r="H18" t="s">
        <v>86</v>
      </c>
      <c r="I18" t="str">
        <f t="shared" si="2"/>
        <v>Female</v>
      </c>
      <c r="J18">
        <v>39</v>
      </c>
      <c r="K18">
        <f t="shared" si="11"/>
        <v>39</v>
      </c>
      <c r="L18" t="str">
        <f t="shared" si="3"/>
        <v>Second level</v>
      </c>
      <c r="M18" t="s">
        <v>23</v>
      </c>
      <c r="N18" t="s">
        <v>24</v>
      </c>
      <c r="O18" t="s">
        <v>99</v>
      </c>
      <c r="P18">
        <v>13</v>
      </c>
      <c r="Q18">
        <f t="shared" si="4"/>
        <v>13</v>
      </c>
      <c r="R18" t="s">
        <v>50</v>
      </c>
      <c r="S18" s="8" t="s">
        <v>50</v>
      </c>
      <c r="T18" s="9">
        <v>30</v>
      </c>
      <c r="U18" s="9">
        <f t="shared" si="5"/>
        <v>30</v>
      </c>
      <c r="V18" s="10">
        <v>30</v>
      </c>
      <c r="W18">
        <v>2.5</v>
      </c>
      <c r="X18" s="11">
        <f t="shared" si="6"/>
        <v>2.5</v>
      </c>
      <c r="Y18" t="s">
        <v>2102</v>
      </c>
      <c r="Z18" t="str">
        <f t="shared" si="7"/>
        <v>No</v>
      </c>
      <c r="AA18" t="str">
        <f t="shared" si="8"/>
        <v>No</v>
      </c>
      <c r="AB18" t="str">
        <f t="shared" si="9"/>
        <v>No</v>
      </c>
      <c r="AC18" s="12">
        <v>60</v>
      </c>
      <c r="AD18" s="12">
        <f t="shared" si="10"/>
        <v>60</v>
      </c>
    </row>
    <row r="19" spans="1:33" ht="15" thickBot="1" x14ac:dyDescent="0.35">
      <c r="A19" t="s">
        <v>100</v>
      </c>
      <c r="B19" t="s">
        <v>101</v>
      </c>
      <c r="C19" t="s">
        <v>2138</v>
      </c>
      <c r="D19" t="s">
        <v>2139</v>
      </c>
      <c r="E19" t="str">
        <f t="shared" si="0"/>
        <v>Scott Burns</v>
      </c>
      <c r="F19" t="str">
        <f t="shared" si="1"/>
        <v>Scott Burns</v>
      </c>
      <c r="H19" t="s">
        <v>107</v>
      </c>
      <c r="I19" t="str">
        <f t="shared" si="2"/>
        <v>Male</v>
      </c>
      <c r="J19">
        <v>56</v>
      </c>
      <c r="K19">
        <f t="shared" si="11"/>
        <v>56</v>
      </c>
      <c r="L19" t="str">
        <f t="shared" si="3"/>
        <v>Fourth level</v>
      </c>
      <c r="M19" t="s">
        <v>103</v>
      </c>
      <c r="N19" t="s">
        <v>104</v>
      </c>
      <c r="O19" t="s">
        <v>17</v>
      </c>
      <c r="Q19">
        <f t="shared" si="4"/>
        <v>19</v>
      </c>
      <c r="R19" t="s">
        <v>65</v>
      </c>
      <c r="S19" s="8" t="s">
        <v>65</v>
      </c>
      <c r="T19" s="9"/>
      <c r="U19" s="9">
        <f t="shared" si="5"/>
        <v>52.402015677491605</v>
      </c>
      <c r="V19" s="10">
        <v>52.402015677491605</v>
      </c>
      <c r="X19" s="11">
        <f t="shared" si="6"/>
        <v>2.5075706214689242</v>
      </c>
      <c r="AA19" t="str">
        <f t="shared" si="8"/>
        <v>Unknown</v>
      </c>
      <c r="AB19" t="str">
        <f t="shared" si="9"/>
        <v>Unknown</v>
      </c>
      <c r="AC19" s="12">
        <v>87</v>
      </c>
      <c r="AD19" s="12">
        <f t="shared" si="10"/>
        <v>87</v>
      </c>
    </row>
    <row r="20" spans="1:33" x14ac:dyDescent="0.3">
      <c r="A20" t="s">
        <v>105</v>
      </c>
      <c r="B20" t="s">
        <v>106</v>
      </c>
      <c r="C20" t="s">
        <v>2140</v>
      </c>
      <c r="D20" t="s">
        <v>2141</v>
      </c>
      <c r="E20" t="str">
        <f t="shared" si="0"/>
        <v>Tyler Aguirre</v>
      </c>
      <c r="F20" t="str">
        <f t="shared" si="1"/>
        <v>Tyler Aguirre</v>
      </c>
      <c r="H20" t="s">
        <v>107</v>
      </c>
      <c r="I20" t="str">
        <f t="shared" si="2"/>
        <v>Male</v>
      </c>
      <c r="J20">
        <v>56</v>
      </c>
      <c r="K20">
        <f t="shared" si="11"/>
        <v>56</v>
      </c>
      <c r="L20" t="str">
        <f t="shared" si="3"/>
        <v>Fourth level</v>
      </c>
      <c r="M20" t="s">
        <v>64</v>
      </c>
      <c r="N20" t="s">
        <v>24</v>
      </c>
      <c r="O20" t="s">
        <v>82</v>
      </c>
      <c r="P20">
        <v>31</v>
      </c>
      <c r="Q20">
        <f t="shared" si="4"/>
        <v>31</v>
      </c>
      <c r="R20" t="s">
        <v>108</v>
      </c>
      <c r="S20" s="8" t="s">
        <v>2095</v>
      </c>
      <c r="T20" s="9">
        <v>50</v>
      </c>
      <c r="U20" s="9">
        <f t="shared" si="5"/>
        <v>50</v>
      </c>
      <c r="V20" s="10">
        <v>50</v>
      </c>
      <c r="W20">
        <v>1.1000000000000001</v>
      </c>
      <c r="X20" s="11">
        <f t="shared" si="6"/>
        <v>1.1000000000000001</v>
      </c>
      <c r="Y20" t="s">
        <v>2102</v>
      </c>
      <c r="Z20" t="str">
        <f t="shared" si="7"/>
        <v>No</v>
      </c>
      <c r="AA20" t="str">
        <f t="shared" si="8"/>
        <v>No</v>
      </c>
      <c r="AB20" t="str">
        <f t="shared" si="9"/>
        <v>No</v>
      </c>
      <c r="AC20" s="12">
        <v>75</v>
      </c>
      <c r="AD20" s="12">
        <f t="shared" si="10"/>
        <v>75</v>
      </c>
      <c r="AF20" s="2" t="s">
        <v>2089</v>
      </c>
      <c r="AG20" s="3"/>
    </row>
    <row r="21" spans="1:33" x14ac:dyDescent="0.3">
      <c r="A21" t="s">
        <v>109</v>
      </c>
      <c r="B21" t="s">
        <v>110</v>
      </c>
      <c r="C21" t="s">
        <v>2124</v>
      </c>
      <c r="D21" t="s">
        <v>2142</v>
      </c>
      <c r="E21" t="str">
        <f t="shared" si="0"/>
        <v>Matthew Lawson</v>
      </c>
      <c r="F21" t="str">
        <f t="shared" si="1"/>
        <v>Matthew Lawson</v>
      </c>
      <c r="H21" t="s">
        <v>107</v>
      </c>
      <c r="I21" t="str">
        <f t="shared" si="2"/>
        <v>Male</v>
      </c>
      <c r="J21">
        <v>57</v>
      </c>
      <c r="K21">
        <f t="shared" si="11"/>
        <v>57</v>
      </c>
      <c r="L21" t="str">
        <f t="shared" si="3"/>
        <v>Fourth level</v>
      </c>
      <c r="M21" t="s">
        <v>15</v>
      </c>
      <c r="N21" t="s">
        <v>16</v>
      </c>
      <c r="O21" t="s">
        <v>39</v>
      </c>
      <c r="P21">
        <v>3</v>
      </c>
      <c r="Q21">
        <f t="shared" si="4"/>
        <v>3</v>
      </c>
      <c r="R21" t="s">
        <v>26</v>
      </c>
      <c r="S21" s="8" t="s">
        <v>18</v>
      </c>
      <c r="T21" s="9">
        <v>100</v>
      </c>
      <c r="U21" s="9">
        <f t="shared" si="5"/>
        <v>100</v>
      </c>
      <c r="V21" s="10">
        <v>100</v>
      </c>
      <c r="W21">
        <v>1.8</v>
      </c>
      <c r="X21" s="11">
        <f t="shared" si="6"/>
        <v>1.8</v>
      </c>
      <c r="Y21" t="s">
        <v>77</v>
      </c>
      <c r="Z21" t="str">
        <f t="shared" si="7"/>
        <v>yes</v>
      </c>
      <c r="AA21" t="str">
        <f t="shared" si="8"/>
        <v>yes</v>
      </c>
      <c r="AB21" t="str">
        <f t="shared" si="9"/>
        <v>Yes</v>
      </c>
      <c r="AC21" s="12">
        <v>68</v>
      </c>
      <c r="AD21" s="12">
        <f t="shared" si="10"/>
        <v>68</v>
      </c>
      <c r="AF21" s="4" t="s">
        <v>0</v>
      </c>
      <c r="AG21" s="5">
        <f>COUNTBLANK($A$2:$A$1001)</f>
        <v>0</v>
      </c>
    </row>
    <row r="22" spans="1:33" x14ac:dyDescent="0.3">
      <c r="A22" t="s">
        <v>111</v>
      </c>
      <c r="B22" t="s">
        <v>112</v>
      </c>
      <c r="C22" t="s">
        <v>2143</v>
      </c>
      <c r="D22" t="s">
        <v>2144</v>
      </c>
      <c r="E22" t="str">
        <f t="shared" si="0"/>
        <v>James Cherry</v>
      </c>
      <c r="F22" t="str">
        <f t="shared" si="1"/>
        <v>James Cherry</v>
      </c>
      <c r="H22" t="s">
        <v>107</v>
      </c>
      <c r="I22" t="str">
        <f t="shared" si="2"/>
        <v>Male</v>
      </c>
      <c r="K22">
        <f t="shared" si="11"/>
        <v>41</v>
      </c>
      <c r="L22" t="str">
        <f t="shared" si="3"/>
        <v>Third level</v>
      </c>
      <c r="M22" t="s">
        <v>55</v>
      </c>
      <c r="N22" t="s">
        <v>56</v>
      </c>
      <c r="O22" t="s">
        <v>49</v>
      </c>
      <c r="P22">
        <v>9</v>
      </c>
      <c r="Q22">
        <f t="shared" si="4"/>
        <v>9</v>
      </c>
      <c r="R22" t="s">
        <v>34</v>
      </c>
      <c r="S22" s="8" t="s">
        <v>34</v>
      </c>
      <c r="T22" s="9">
        <v>50</v>
      </c>
      <c r="U22" s="9">
        <f t="shared" si="5"/>
        <v>50</v>
      </c>
      <c r="V22" s="10">
        <v>50</v>
      </c>
      <c r="W22">
        <v>1.8</v>
      </c>
      <c r="X22" s="11">
        <f t="shared" si="6"/>
        <v>1.8</v>
      </c>
      <c r="Y22" t="s">
        <v>2102</v>
      </c>
      <c r="Z22" t="str">
        <f t="shared" si="7"/>
        <v>No</v>
      </c>
      <c r="AA22" t="str">
        <f t="shared" si="8"/>
        <v>No</v>
      </c>
      <c r="AB22" t="str">
        <f t="shared" si="9"/>
        <v>No</v>
      </c>
      <c r="AC22" s="12">
        <v>65</v>
      </c>
      <c r="AD22" s="12">
        <f t="shared" si="10"/>
        <v>65</v>
      </c>
      <c r="AF22" s="4" t="s">
        <v>1</v>
      </c>
      <c r="AG22" s="5">
        <f>COUNTBLANK($B$2:$B$1001)</f>
        <v>0</v>
      </c>
    </row>
    <row r="23" spans="1:33" x14ac:dyDescent="0.3">
      <c r="A23" t="s">
        <v>113</v>
      </c>
      <c r="B23" t="s">
        <v>114</v>
      </c>
      <c r="C23" t="s">
        <v>2145</v>
      </c>
      <c r="D23" t="s">
        <v>2146</v>
      </c>
      <c r="E23" t="str">
        <f t="shared" si="0"/>
        <v>Samuel Sanford</v>
      </c>
      <c r="F23" t="str">
        <f t="shared" si="1"/>
        <v>Samuel Sanford</v>
      </c>
      <c r="H23" t="s">
        <v>107</v>
      </c>
      <c r="I23" t="str">
        <f t="shared" si="2"/>
        <v>Male</v>
      </c>
      <c r="J23">
        <v>51</v>
      </c>
      <c r="K23">
        <f t="shared" si="11"/>
        <v>51</v>
      </c>
      <c r="L23" t="str">
        <f t="shared" si="3"/>
        <v>Fourth level</v>
      </c>
      <c r="M23" t="s">
        <v>95</v>
      </c>
      <c r="N23" t="s">
        <v>96</v>
      </c>
      <c r="O23" t="s">
        <v>99</v>
      </c>
      <c r="Q23">
        <f t="shared" si="4"/>
        <v>19</v>
      </c>
      <c r="R23" t="s">
        <v>65</v>
      </c>
      <c r="S23" s="8" t="s">
        <v>65</v>
      </c>
      <c r="T23" s="9"/>
      <c r="U23" s="9">
        <f t="shared" si="5"/>
        <v>52.376404494382022</v>
      </c>
      <c r="V23" s="10">
        <v>52.376404494382022</v>
      </c>
      <c r="W23">
        <v>2.4</v>
      </c>
      <c r="X23" s="11">
        <f t="shared" si="6"/>
        <v>2.4</v>
      </c>
      <c r="Y23" t="s">
        <v>2102</v>
      </c>
      <c r="Z23" t="str">
        <f t="shared" si="7"/>
        <v>No</v>
      </c>
      <c r="AA23" t="str">
        <f t="shared" si="8"/>
        <v>No</v>
      </c>
      <c r="AB23" t="str">
        <f t="shared" si="9"/>
        <v>No</v>
      </c>
      <c r="AC23" s="12">
        <v>69</v>
      </c>
      <c r="AD23" s="12">
        <f t="shared" si="10"/>
        <v>69</v>
      </c>
      <c r="AF23" s="4" t="s">
        <v>2</v>
      </c>
      <c r="AG23" s="5">
        <f>COUNTBLANK($H$2:$H$1001)</f>
        <v>0</v>
      </c>
    </row>
    <row r="24" spans="1:33" x14ac:dyDescent="0.3">
      <c r="A24" t="s">
        <v>115</v>
      </c>
      <c r="B24" t="s">
        <v>116</v>
      </c>
      <c r="C24" t="s">
        <v>2147</v>
      </c>
      <c r="D24" t="s">
        <v>2148</v>
      </c>
      <c r="E24" t="str">
        <f t="shared" si="0"/>
        <v>Cesar Greene</v>
      </c>
      <c r="F24" t="str">
        <f t="shared" si="1"/>
        <v>Cesar Greene</v>
      </c>
      <c r="H24" t="s">
        <v>107</v>
      </c>
      <c r="I24" t="str">
        <f t="shared" si="2"/>
        <v>Male</v>
      </c>
      <c r="J24">
        <v>51</v>
      </c>
      <c r="K24">
        <f t="shared" si="11"/>
        <v>51</v>
      </c>
      <c r="L24" t="str">
        <f t="shared" si="3"/>
        <v>Fourth level</v>
      </c>
      <c r="M24" t="s">
        <v>117</v>
      </c>
      <c r="N24" t="s">
        <v>118</v>
      </c>
      <c r="O24" t="s">
        <v>87</v>
      </c>
      <c r="P24">
        <v>21</v>
      </c>
      <c r="Q24">
        <f t="shared" si="4"/>
        <v>21</v>
      </c>
      <c r="R24" t="s">
        <v>119</v>
      </c>
      <c r="S24" s="8" t="s">
        <v>2096</v>
      </c>
      <c r="T24" s="9">
        <v>30</v>
      </c>
      <c r="U24" s="9">
        <f t="shared" si="5"/>
        <v>30</v>
      </c>
      <c r="V24" s="10">
        <v>30</v>
      </c>
      <c r="W24">
        <v>4.7</v>
      </c>
      <c r="X24" s="11">
        <f t="shared" si="6"/>
        <v>4.7</v>
      </c>
      <c r="Y24" t="s">
        <v>2102</v>
      </c>
      <c r="Z24" t="str">
        <f t="shared" si="7"/>
        <v>No</v>
      </c>
      <c r="AA24" t="str">
        <f t="shared" si="8"/>
        <v>No</v>
      </c>
      <c r="AB24" t="str">
        <f t="shared" si="9"/>
        <v>No</v>
      </c>
      <c r="AC24" s="12"/>
      <c r="AD24" s="12">
        <f t="shared" si="10"/>
        <v>79.280745341614903</v>
      </c>
      <c r="AF24" s="4" t="s">
        <v>3</v>
      </c>
      <c r="AG24" s="5">
        <f>COUNTBLANK($K$2:$K$1001)</f>
        <v>0</v>
      </c>
    </row>
    <row r="25" spans="1:33" x14ac:dyDescent="0.3">
      <c r="A25" t="s">
        <v>120</v>
      </c>
      <c r="B25" t="s">
        <v>121</v>
      </c>
      <c r="C25" t="s">
        <v>2149</v>
      </c>
      <c r="D25" t="s">
        <v>2150</v>
      </c>
      <c r="E25" t="str">
        <f t="shared" si="0"/>
        <v>Melanie Carter</v>
      </c>
      <c r="F25" t="str">
        <f t="shared" si="1"/>
        <v>Melanie Carter</v>
      </c>
      <c r="H25" t="s">
        <v>43</v>
      </c>
      <c r="I25" t="str">
        <f t="shared" si="2"/>
        <v>Female</v>
      </c>
      <c r="J25">
        <v>51</v>
      </c>
      <c r="K25">
        <f t="shared" si="11"/>
        <v>51</v>
      </c>
      <c r="L25" t="str">
        <f t="shared" si="3"/>
        <v>Fourth level</v>
      </c>
      <c r="M25" t="s">
        <v>122</v>
      </c>
      <c r="N25" t="s">
        <v>123</v>
      </c>
      <c r="O25" t="s">
        <v>124</v>
      </c>
      <c r="P25">
        <v>15</v>
      </c>
      <c r="Q25">
        <f t="shared" si="4"/>
        <v>15</v>
      </c>
      <c r="R25" t="s">
        <v>72</v>
      </c>
      <c r="S25" s="8" t="s">
        <v>72</v>
      </c>
      <c r="T25" s="9">
        <v>50</v>
      </c>
      <c r="U25" s="9">
        <f t="shared" si="5"/>
        <v>50</v>
      </c>
      <c r="V25" s="10">
        <v>50</v>
      </c>
      <c r="W25">
        <v>1.3</v>
      </c>
      <c r="X25" s="11">
        <f t="shared" si="6"/>
        <v>1.3</v>
      </c>
      <c r="Y25" t="s">
        <v>2103</v>
      </c>
      <c r="Z25" t="str">
        <f t="shared" si="7"/>
        <v>Yes</v>
      </c>
      <c r="AA25" t="str">
        <f t="shared" si="8"/>
        <v>Yes</v>
      </c>
      <c r="AB25" t="str">
        <f t="shared" si="9"/>
        <v>Yes</v>
      </c>
      <c r="AC25" s="12">
        <v>100</v>
      </c>
      <c r="AD25" s="12">
        <f t="shared" si="10"/>
        <v>100</v>
      </c>
      <c r="AF25" s="4" t="s">
        <v>4</v>
      </c>
      <c r="AG25" s="5">
        <f>COUNTBLANK($M$2:$M$1001)</f>
        <v>0</v>
      </c>
    </row>
    <row r="26" spans="1:33" x14ac:dyDescent="0.3">
      <c r="A26" t="s">
        <v>125</v>
      </c>
      <c r="B26" t="s">
        <v>126</v>
      </c>
      <c r="C26" t="s">
        <v>2151</v>
      </c>
      <c r="D26" t="s">
        <v>2123</v>
      </c>
      <c r="E26" t="str">
        <f t="shared" si="0"/>
        <v>Jennifer Martin</v>
      </c>
      <c r="F26" t="str">
        <f t="shared" si="1"/>
        <v>Jennifer Martin</v>
      </c>
      <c r="H26" t="s">
        <v>86</v>
      </c>
      <c r="I26" t="str">
        <f t="shared" si="2"/>
        <v>Female</v>
      </c>
      <c r="J26">
        <v>54</v>
      </c>
      <c r="K26">
        <f t="shared" si="11"/>
        <v>54</v>
      </c>
      <c r="L26" t="str">
        <f t="shared" si="3"/>
        <v>Fourth level</v>
      </c>
      <c r="M26" t="s">
        <v>55</v>
      </c>
      <c r="N26" t="s">
        <v>56</v>
      </c>
      <c r="O26" t="s">
        <v>124</v>
      </c>
      <c r="P26">
        <v>13</v>
      </c>
      <c r="Q26">
        <f t="shared" si="4"/>
        <v>13</v>
      </c>
      <c r="R26" t="s">
        <v>92</v>
      </c>
      <c r="S26" s="8" t="s">
        <v>92</v>
      </c>
      <c r="T26" s="9">
        <v>75</v>
      </c>
      <c r="U26" s="9">
        <f t="shared" si="5"/>
        <v>75</v>
      </c>
      <c r="V26" s="10">
        <v>75</v>
      </c>
      <c r="W26">
        <v>2.9</v>
      </c>
      <c r="X26" s="11">
        <f t="shared" si="6"/>
        <v>2.9</v>
      </c>
      <c r="AA26" t="str">
        <f t="shared" si="8"/>
        <v>Unknown</v>
      </c>
      <c r="AB26" t="str">
        <f t="shared" si="9"/>
        <v>Unknown</v>
      </c>
      <c r="AC26" s="13">
        <v>92</v>
      </c>
      <c r="AD26" s="12">
        <f t="shared" si="10"/>
        <v>92</v>
      </c>
      <c r="AF26" s="4" t="s">
        <v>5</v>
      </c>
      <c r="AG26" s="5">
        <f>COUNTBLANK($N$2:$N$1001)</f>
        <v>0</v>
      </c>
    </row>
    <row r="27" spans="1:33" x14ac:dyDescent="0.3">
      <c r="A27" t="s">
        <v>127</v>
      </c>
      <c r="B27" t="s">
        <v>128</v>
      </c>
      <c r="C27" t="s">
        <v>2152</v>
      </c>
      <c r="D27" t="s">
        <v>2153</v>
      </c>
      <c r="E27" t="str">
        <f t="shared" si="0"/>
        <v>Anna Mccann</v>
      </c>
      <c r="F27" t="str">
        <f t="shared" si="1"/>
        <v>Anna Mccann</v>
      </c>
      <c r="H27" t="s">
        <v>22</v>
      </c>
      <c r="I27" t="str">
        <f t="shared" si="2"/>
        <v>Female</v>
      </c>
      <c r="J27">
        <v>22</v>
      </c>
      <c r="K27">
        <f t="shared" si="11"/>
        <v>22</v>
      </c>
      <c r="L27" t="str">
        <f t="shared" si="3"/>
        <v>First level</v>
      </c>
      <c r="M27" t="s">
        <v>122</v>
      </c>
      <c r="N27" t="s">
        <v>123</v>
      </c>
      <c r="O27" t="s">
        <v>99</v>
      </c>
      <c r="P27">
        <v>0</v>
      </c>
      <c r="Q27">
        <f t="shared" si="4"/>
        <v>0</v>
      </c>
      <c r="R27" t="s">
        <v>119</v>
      </c>
      <c r="S27" s="8" t="s">
        <v>2096</v>
      </c>
      <c r="T27" s="9">
        <v>30</v>
      </c>
      <c r="U27" s="9">
        <f t="shared" si="5"/>
        <v>30</v>
      </c>
      <c r="V27" s="10">
        <v>30</v>
      </c>
      <c r="W27">
        <v>1.2</v>
      </c>
      <c r="X27" s="11">
        <f t="shared" si="6"/>
        <v>1.2</v>
      </c>
      <c r="Y27" t="s">
        <v>2103</v>
      </c>
      <c r="Z27" t="str">
        <f t="shared" si="7"/>
        <v>Yes</v>
      </c>
      <c r="AA27" t="str">
        <f t="shared" si="8"/>
        <v>Yes</v>
      </c>
      <c r="AB27" t="str">
        <f t="shared" si="9"/>
        <v>Yes</v>
      </c>
      <c r="AC27" s="12">
        <v>70</v>
      </c>
      <c r="AD27" s="12">
        <f t="shared" si="10"/>
        <v>70</v>
      </c>
      <c r="AF27" s="4" t="s">
        <v>6</v>
      </c>
      <c r="AG27" s="5">
        <f>COUNTBLANK($O$2:$O$1001)</f>
        <v>0</v>
      </c>
    </row>
    <row r="28" spans="1:33" x14ac:dyDescent="0.3">
      <c r="A28" t="s">
        <v>129</v>
      </c>
      <c r="B28" t="s">
        <v>130</v>
      </c>
      <c r="C28" t="s">
        <v>2154</v>
      </c>
      <c r="D28" t="s">
        <v>2155</v>
      </c>
      <c r="E28" t="str">
        <f t="shared" si="0"/>
        <v>Marissa Bass</v>
      </c>
      <c r="F28" t="str">
        <f t="shared" si="1"/>
        <v>Marissa Bass</v>
      </c>
      <c r="H28" t="s">
        <v>43</v>
      </c>
      <c r="I28" t="str">
        <f t="shared" si="2"/>
        <v>Female</v>
      </c>
      <c r="J28">
        <v>34</v>
      </c>
      <c r="K28">
        <f t="shared" si="11"/>
        <v>34</v>
      </c>
      <c r="L28" t="str">
        <f t="shared" si="3"/>
        <v>Second level</v>
      </c>
      <c r="M28" t="s">
        <v>95</v>
      </c>
      <c r="N28" t="s">
        <v>96</v>
      </c>
      <c r="O28" t="s">
        <v>17</v>
      </c>
      <c r="P28">
        <v>8</v>
      </c>
      <c r="Q28">
        <f t="shared" si="4"/>
        <v>8</v>
      </c>
      <c r="R28" t="s">
        <v>131</v>
      </c>
      <c r="S28" s="8" t="s">
        <v>131</v>
      </c>
      <c r="T28" s="9">
        <v>20</v>
      </c>
      <c r="U28" s="9">
        <f t="shared" si="5"/>
        <v>20</v>
      </c>
      <c r="V28" s="10">
        <v>20</v>
      </c>
      <c r="W28">
        <v>0</v>
      </c>
      <c r="X28" s="11">
        <f t="shared" si="6"/>
        <v>0</v>
      </c>
      <c r="Y28" t="s">
        <v>2103</v>
      </c>
      <c r="Z28" t="str">
        <f t="shared" si="7"/>
        <v>Yes</v>
      </c>
      <c r="AA28" t="str">
        <f t="shared" si="8"/>
        <v>Yes</v>
      </c>
      <c r="AB28" t="str">
        <f t="shared" si="9"/>
        <v>Yes</v>
      </c>
      <c r="AC28" s="12">
        <v>89</v>
      </c>
      <c r="AD28" s="12">
        <f t="shared" si="10"/>
        <v>89</v>
      </c>
      <c r="AF28" s="4" t="s">
        <v>7</v>
      </c>
      <c r="AG28" s="5">
        <f>COUNTBLANK($Q$2:$Q$1001)</f>
        <v>0</v>
      </c>
    </row>
    <row r="29" spans="1:33" x14ac:dyDescent="0.3">
      <c r="A29" t="s">
        <v>132</v>
      </c>
      <c r="B29" t="s">
        <v>133</v>
      </c>
      <c r="C29" t="s">
        <v>2156</v>
      </c>
      <c r="D29" t="s">
        <v>2157</v>
      </c>
      <c r="E29" t="str">
        <f t="shared" si="0"/>
        <v>Alexis Day</v>
      </c>
      <c r="F29" t="str">
        <f t="shared" si="1"/>
        <v>Alexis Day</v>
      </c>
      <c r="H29" t="s">
        <v>86</v>
      </c>
      <c r="I29" t="str">
        <f t="shared" si="2"/>
        <v>Female</v>
      </c>
      <c r="J29">
        <v>36</v>
      </c>
      <c r="K29">
        <f t="shared" si="11"/>
        <v>36</v>
      </c>
      <c r="L29" t="str">
        <f t="shared" si="3"/>
        <v>Second level</v>
      </c>
      <c r="M29" t="s">
        <v>134</v>
      </c>
      <c r="N29" t="s">
        <v>135</v>
      </c>
      <c r="O29" t="s">
        <v>33</v>
      </c>
      <c r="P29">
        <v>11</v>
      </c>
      <c r="Q29">
        <f t="shared" si="4"/>
        <v>11</v>
      </c>
      <c r="R29" t="s">
        <v>65</v>
      </c>
      <c r="S29" s="8" t="s">
        <v>65</v>
      </c>
      <c r="T29" s="9"/>
      <c r="U29" s="9">
        <f t="shared" si="5"/>
        <v>52.406779661016948</v>
      </c>
      <c r="V29" s="10">
        <v>52.406779661016948</v>
      </c>
      <c r="W29">
        <v>1.8</v>
      </c>
      <c r="X29" s="11">
        <f t="shared" si="6"/>
        <v>1.8</v>
      </c>
      <c r="Y29" t="s">
        <v>2103</v>
      </c>
      <c r="Z29" t="str">
        <f t="shared" si="7"/>
        <v>Yes</v>
      </c>
      <c r="AA29" t="str">
        <f t="shared" si="8"/>
        <v>Yes</v>
      </c>
      <c r="AB29" t="str">
        <f t="shared" si="9"/>
        <v>Yes</v>
      </c>
      <c r="AC29" s="12">
        <v>86</v>
      </c>
      <c r="AD29" s="12">
        <f t="shared" si="10"/>
        <v>86</v>
      </c>
      <c r="AF29" s="4" t="s">
        <v>8</v>
      </c>
      <c r="AG29" s="5">
        <f>COUNTBLANK($V$2:$V$1001)</f>
        <v>0</v>
      </c>
    </row>
    <row r="30" spans="1:33" x14ac:dyDescent="0.3">
      <c r="A30" t="s">
        <v>136</v>
      </c>
      <c r="B30" t="s">
        <v>137</v>
      </c>
      <c r="C30" t="s">
        <v>2158</v>
      </c>
      <c r="D30" t="s">
        <v>2159</v>
      </c>
      <c r="E30" t="str">
        <f t="shared" si="0"/>
        <v>Megan Jones</v>
      </c>
      <c r="F30" t="str">
        <f t="shared" si="1"/>
        <v>Megan Jones</v>
      </c>
      <c r="H30" t="s">
        <v>43</v>
      </c>
      <c r="I30" t="str">
        <f t="shared" si="2"/>
        <v>Female</v>
      </c>
      <c r="J30">
        <v>47</v>
      </c>
      <c r="K30">
        <f t="shared" si="11"/>
        <v>47</v>
      </c>
      <c r="L30" t="str">
        <f t="shared" si="3"/>
        <v>Third level</v>
      </c>
      <c r="M30" t="s">
        <v>138</v>
      </c>
      <c r="N30" t="s">
        <v>24</v>
      </c>
      <c r="O30" t="s">
        <v>49</v>
      </c>
      <c r="P30">
        <v>22</v>
      </c>
      <c r="Q30">
        <f t="shared" si="4"/>
        <v>22</v>
      </c>
      <c r="R30" t="s">
        <v>44</v>
      </c>
      <c r="S30" s="8" t="s">
        <v>44</v>
      </c>
      <c r="T30" s="9">
        <v>30</v>
      </c>
      <c r="U30" s="9">
        <f t="shared" si="5"/>
        <v>30</v>
      </c>
      <c r="V30" s="10">
        <v>30</v>
      </c>
      <c r="W30">
        <v>1.3</v>
      </c>
      <c r="X30" s="11">
        <f t="shared" si="6"/>
        <v>1.3</v>
      </c>
      <c r="Y30" t="s">
        <v>2102</v>
      </c>
      <c r="Z30" t="str">
        <f t="shared" si="7"/>
        <v>No</v>
      </c>
      <c r="AA30" t="str">
        <f t="shared" si="8"/>
        <v>No</v>
      </c>
      <c r="AB30" t="str">
        <f t="shared" si="9"/>
        <v>No</v>
      </c>
      <c r="AC30" s="12">
        <v>62</v>
      </c>
      <c r="AD30" s="12">
        <f t="shared" si="10"/>
        <v>62</v>
      </c>
      <c r="AF30" s="4" t="s">
        <v>9</v>
      </c>
      <c r="AG30" s="5">
        <f>COUNTBLANK($X$2:$X$1001)</f>
        <v>0</v>
      </c>
    </row>
    <row r="31" spans="1:33" x14ac:dyDescent="0.3">
      <c r="A31" t="s">
        <v>139</v>
      </c>
      <c r="B31" t="s">
        <v>140</v>
      </c>
      <c r="C31" t="s">
        <v>2160</v>
      </c>
      <c r="D31" t="s">
        <v>2161</v>
      </c>
      <c r="E31" t="str">
        <f t="shared" si="0"/>
        <v>Lori Smith</v>
      </c>
      <c r="F31" t="str">
        <f t="shared" si="1"/>
        <v>Lori Smith</v>
      </c>
      <c r="H31" t="s">
        <v>22</v>
      </c>
      <c r="I31" t="str">
        <f t="shared" si="2"/>
        <v>Female</v>
      </c>
      <c r="J31">
        <v>41</v>
      </c>
      <c r="K31">
        <f t="shared" si="11"/>
        <v>41</v>
      </c>
      <c r="L31" t="str">
        <f t="shared" si="3"/>
        <v>Third level</v>
      </c>
      <c r="M31" t="s">
        <v>47</v>
      </c>
      <c r="N31" t="s">
        <v>48</v>
      </c>
      <c r="O31" t="s">
        <v>57</v>
      </c>
      <c r="P31">
        <v>14</v>
      </c>
      <c r="Q31">
        <f t="shared" si="4"/>
        <v>14</v>
      </c>
      <c r="R31" t="s">
        <v>58</v>
      </c>
      <c r="S31" s="8" t="s">
        <v>2093</v>
      </c>
      <c r="T31" s="9">
        <v>75</v>
      </c>
      <c r="U31" s="9">
        <f t="shared" si="5"/>
        <v>75</v>
      </c>
      <c r="V31" s="10">
        <v>75</v>
      </c>
      <c r="W31">
        <v>1.2</v>
      </c>
      <c r="X31" s="11">
        <f t="shared" si="6"/>
        <v>1.2</v>
      </c>
      <c r="Y31" t="s">
        <v>2102</v>
      </c>
      <c r="Z31" t="str">
        <f t="shared" si="7"/>
        <v>No</v>
      </c>
      <c r="AA31" t="str">
        <f t="shared" si="8"/>
        <v>No</v>
      </c>
      <c r="AB31" t="str">
        <f t="shared" si="9"/>
        <v>No</v>
      </c>
      <c r="AC31" s="12"/>
      <c r="AD31" s="12">
        <f t="shared" si="10"/>
        <v>79.251564455569465</v>
      </c>
      <c r="AF31" s="4" t="s">
        <v>10</v>
      </c>
      <c r="AG31" s="5">
        <f>COUNTBLANK($AA$2:$AA$1001)</f>
        <v>0</v>
      </c>
    </row>
    <row r="32" spans="1:33" ht="15" thickBot="1" x14ac:dyDescent="0.35">
      <c r="A32" t="s">
        <v>141</v>
      </c>
      <c r="B32" t="s">
        <v>142</v>
      </c>
      <c r="C32" t="s">
        <v>2118</v>
      </c>
      <c r="D32" t="s">
        <v>2162</v>
      </c>
      <c r="E32" t="str">
        <f t="shared" si="0"/>
        <v>Eric Carpenter</v>
      </c>
      <c r="F32" t="str">
        <f t="shared" si="1"/>
        <v>Eric Carpenter</v>
      </c>
      <c r="H32" t="s">
        <v>107</v>
      </c>
      <c r="I32" t="str">
        <f t="shared" si="2"/>
        <v>Male</v>
      </c>
      <c r="J32">
        <v>22</v>
      </c>
      <c r="K32">
        <f t="shared" si="11"/>
        <v>22</v>
      </c>
      <c r="L32" t="str">
        <f t="shared" si="3"/>
        <v>First level</v>
      </c>
      <c r="M32" t="s">
        <v>47</v>
      </c>
      <c r="N32" t="s">
        <v>48</v>
      </c>
      <c r="O32" t="s">
        <v>99</v>
      </c>
      <c r="P32">
        <v>4</v>
      </c>
      <c r="Q32">
        <f t="shared" si="4"/>
        <v>4</v>
      </c>
      <c r="R32" t="s">
        <v>65</v>
      </c>
      <c r="S32" s="8" t="s">
        <v>65</v>
      </c>
      <c r="T32" s="9"/>
      <c r="U32" s="9">
        <f t="shared" si="5"/>
        <v>52.468856172140427</v>
      </c>
      <c r="V32" s="10">
        <v>52.468856172140427</v>
      </c>
      <c r="W32">
        <v>1</v>
      </c>
      <c r="X32" s="11">
        <f t="shared" si="6"/>
        <v>1</v>
      </c>
      <c r="Y32" t="s">
        <v>77</v>
      </c>
      <c r="Z32" t="str">
        <f t="shared" si="7"/>
        <v>yes</v>
      </c>
      <c r="AA32" t="str">
        <f t="shared" si="8"/>
        <v>yes</v>
      </c>
      <c r="AB32" t="str">
        <f t="shared" si="9"/>
        <v>Yes</v>
      </c>
      <c r="AC32" s="12"/>
      <c r="AD32" s="12">
        <f t="shared" si="10"/>
        <v>79.251564455569465</v>
      </c>
      <c r="AF32" s="6" t="s">
        <v>11</v>
      </c>
      <c r="AG32" s="7">
        <f>COUNTBLANK(AD1:AD1001)</f>
        <v>0</v>
      </c>
    </row>
    <row r="33" spans="1:30" x14ac:dyDescent="0.3">
      <c r="A33" t="s">
        <v>143</v>
      </c>
      <c r="B33" t="s">
        <v>144</v>
      </c>
      <c r="C33" t="s">
        <v>2163</v>
      </c>
      <c r="D33" t="s">
        <v>2164</v>
      </c>
      <c r="E33" t="str">
        <f t="shared" si="0"/>
        <v>Timothy Daniels</v>
      </c>
      <c r="F33" t="str">
        <f t="shared" si="1"/>
        <v>Timothy Daniels</v>
      </c>
      <c r="H33" t="s">
        <v>107</v>
      </c>
      <c r="I33" t="str">
        <f t="shared" si="2"/>
        <v>Male</v>
      </c>
      <c r="J33">
        <v>38</v>
      </c>
      <c r="K33">
        <f t="shared" si="11"/>
        <v>38</v>
      </c>
      <c r="L33" t="str">
        <f t="shared" si="3"/>
        <v>Second level</v>
      </c>
      <c r="M33" t="s">
        <v>145</v>
      </c>
      <c r="N33" t="s">
        <v>146</v>
      </c>
      <c r="O33" t="s">
        <v>124</v>
      </c>
      <c r="P33">
        <v>19</v>
      </c>
      <c r="Q33">
        <f t="shared" si="4"/>
        <v>19</v>
      </c>
      <c r="R33" t="s">
        <v>26</v>
      </c>
      <c r="S33" s="8" t="s">
        <v>18</v>
      </c>
      <c r="T33" s="9">
        <v>100</v>
      </c>
      <c r="U33" s="9">
        <f t="shared" si="5"/>
        <v>100</v>
      </c>
      <c r="V33" s="10">
        <v>100</v>
      </c>
      <c r="W33">
        <v>4.2</v>
      </c>
      <c r="X33" s="11">
        <f t="shared" si="6"/>
        <v>4.2</v>
      </c>
      <c r="Y33" t="s">
        <v>2102</v>
      </c>
      <c r="Z33" t="str">
        <f t="shared" si="7"/>
        <v>No</v>
      </c>
      <c r="AA33" t="str">
        <f t="shared" si="8"/>
        <v>No</v>
      </c>
      <c r="AB33" t="str">
        <f t="shared" si="9"/>
        <v>No</v>
      </c>
      <c r="AC33" s="12">
        <v>68</v>
      </c>
      <c r="AD33" s="12">
        <f t="shared" si="10"/>
        <v>68</v>
      </c>
    </row>
    <row r="34" spans="1:30" x14ac:dyDescent="0.3">
      <c r="A34" t="s">
        <v>147</v>
      </c>
      <c r="B34" t="s">
        <v>148</v>
      </c>
      <c r="C34" t="s">
        <v>2165</v>
      </c>
      <c r="D34" t="s">
        <v>2111</v>
      </c>
      <c r="E34" t="str">
        <f t="shared" si="0"/>
        <v>Robert Nelson</v>
      </c>
      <c r="F34" t="str">
        <f t="shared" si="1"/>
        <v>Robert Nelson</v>
      </c>
      <c r="H34" t="s">
        <v>107</v>
      </c>
      <c r="I34" t="str">
        <f t="shared" si="2"/>
        <v>Male</v>
      </c>
      <c r="J34">
        <v>46</v>
      </c>
      <c r="K34">
        <f t="shared" si="11"/>
        <v>46</v>
      </c>
      <c r="L34" t="str">
        <f t="shared" si="3"/>
        <v>Third level</v>
      </c>
      <c r="M34" t="s">
        <v>149</v>
      </c>
      <c r="N34" t="s">
        <v>150</v>
      </c>
      <c r="O34" t="s">
        <v>49</v>
      </c>
      <c r="P34">
        <v>9</v>
      </c>
      <c r="Q34">
        <f t="shared" si="4"/>
        <v>9</v>
      </c>
      <c r="R34" t="s">
        <v>151</v>
      </c>
      <c r="S34" s="8" t="s">
        <v>151</v>
      </c>
      <c r="T34" s="9">
        <v>20</v>
      </c>
      <c r="U34" s="9">
        <f t="shared" si="5"/>
        <v>20</v>
      </c>
      <c r="V34" s="10">
        <v>20</v>
      </c>
      <c r="W34">
        <v>1.4</v>
      </c>
      <c r="X34" s="11">
        <f t="shared" si="6"/>
        <v>1.4</v>
      </c>
      <c r="Y34" t="s">
        <v>2103</v>
      </c>
      <c r="Z34" t="str">
        <f t="shared" si="7"/>
        <v>Yes</v>
      </c>
      <c r="AA34" t="str">
        <f t="shared" si="8"/>
        <v>Yes</v>
      </c>
      <c r="AB34" t="str">
        <f t="shared" si="9"/>
        <v>Yes</v>
      </c>
      <c r="AC34" s="12">
        <v>76</v>
      </c>
      <c r="AD34" s="12">
        <f t="shared" si="10"/>
        <v>76</v>
      </c>
    </row>
    <row r="35" spans="1:30" x14ac:dyDescent="0.3">
      <c r="A35" t="s">
        <v>152</v>
      </c>
      <c r="B35" t="s">
        <v>153</v>
      </c>
      <c r="C35" t="s">
        <v>2166</v>
      </c>
      <c r="D35" t="s">
        <v>2167</v>
      </c>
      <c r="E35" t="str">
        <f t="shared" si="0"/>
        <v>Michael Anderson</v>
      </c>
      <c r="F35" t="str">
        <f t="shared" si="1"/>
        <v>Michael Anderson</v>
      </c>
      <c r="H35" t="s">
        <v>30</v>
      </c>
      <c r="I35" t="str">
        <f t="shared" si="2"/>
        <v>Male</v>
      </c>
      <c r="K35">
        <f t="shared" si="11"/>
        <v>41</v>
      </c>
      <c r="L35" t="str">
        <f t="shared" si="3"/>
        <v>Third level</v>
      </c>
      <c r="M35" t="s">
        <v>122</v>
      </c>
      <c r="N35" t="s">
        <v>123</v>
      </c>
      <c r="O35" t="s">
        <v>49</v>
      </c>
      <c r="P35">
        <v>9</v>
      </c>
      <c r="Q35">
        <f t="shared" si="4"/>
        <v>9</v>
      </c>
      <c r="R35" t="s">
        <v>76</v>
      </c>
      <c r="S35" s="8" t="s">
        <v>76</v>
      </c>
      <c r="T35" s="9">
        <v>40</v>
      </c>
      <c r="U35" s="9">
        <f t="shared" si="5"/>
        <v>40</v>
      </c>
      <c r="V35" s="10">
        <v>40</v>
      </c>
      <c r="W35">
        <v>2.4</v>
      </c>
      <c r="X35" s="11">
        <f t="shared" si="6"/>
        <v>2.4</v>
      </c>
      <c r="Y35" t="s">
        <v>77</v>
      </c>
      <c r="Z35" t="str">
        <f t="shared" si="7"/>
        <v>yes</v>
      </c>
      <c r="AA35" t="str">
        <f t="shared" si="8"/>
        <v>yes</v>
      </c>
      <c r="AB35" t="str">
        <f t="shared" si="9"/>
        <v>Yes</v>
      </c>
      <c r="AC35" s="13">
        <v>82</v>
      </c>
      <c r="AD35" s="12">
        <f t="shared" si="10"/>
        <v>82</v>
      </c>
    </row>
    <row r="36" spans="1:30" x14ac:dyDescent="0.3">
      <c r="A36" t="s">
        <v>154</v>
      </c>
      <c r="B36" t="s">
        <v>155</v>
      </c>
      <c r="C36" t="s">
        <v>2168</v>
      </c>
      <c r="D36" t="s">
        <v>2169</v>
      </c>
      <c r="E36" t="str">
        <f t="shared" si="0"/>
        <v>Jessica Snyder</v>
      </c>
      <c r="F36" t="str">
        <f t="shared" si="1"/>
        <v>Jessica Snyder</v>
      </c>
      <c r="H36" t="s">
        <v>22</v>
      </c>
      <c r="I36" t="str">
        <f t="shared" si="2"/>
        <v>Female</v>
      </c>
      <c r="J36">
        <v>54</v>
      </c>
      <c r="K36">
        <f t="shared" si="11"/>
        <v>54</v>
      </c>
      <c r="L36" t="str">
        <f t="shared" si="3"/>
        <v>Fourth level</v>
      </c>
      <c r="M36" t="s">
        <v>64</v>
      </c>
      <c r="N36" t="s">
        <v>24</v>
      </c>
      <c r="O36" t="s">
        <v>39</v>
      </c>
      <c r="P36">
        <v>32</v>
      </c>
      <c r="Q36">
        <f t="shared" si="4"/>
        <v>32</v>
      </c>
      <c r="R36" t="s">
        <v>92</v>
      </c>
      <c r="S36" s="8" t="s">
        <v>92</v>
      </c>
      <c r="T36" s="9">
        <v>75</v>
      </c>
      <c r="U36" s="9">
        <f t="shared" si="5"/>
        <v>75</v>
      </c>
      <c r="V36" s="10">
        <v>75</v>
      </c>
      <c r="W36">
        <v>1</v>
      </c>
      <c r="X36" s="11">
        <f t="shared" si="6"/>
        <v>1</v>
      </c>
      <c r="Y36" t="s">
        <v>77</v>
      </c>
      <c r="Z36" t="str">
        <f t="shared" si="7"/>
        <v>yes</v>
      </c>
      <c r="AA36" t="str">
        <f t="shared" si="8"/>
        <v>yes</v>
      </c>
      <c r="AB36" t="str">
        <f t="shared" si="9"/>
        <v>Yes</v>
      </c>
      <c r="AC36" s="12">
        <v>81</v>
      </c>
      <c r="AD36" s="12">
        <f t="shared" si="10"/>
        <v>81</v>
      </c>
    </row>
    <row r="37" spans="1:30" x14ac:dyDescent="0.3">
      <c r="A37" t="s">
        <v>156</v>
      </c>
      <c r="B37" t="s">
        <v>157</v>
      </c>
      <c r="C37" t="s">
        <v>2170</v>
      </c>
      <c r="D37" t="s">
        <v>2164</v>
      </c>
      <c r="E37" t="str">
        <f t="shared" si="0"/>
        <v>Emily Daniels</v>
      </c>
      <c r="F37" t="str">
        <f t="shared" si="1"/>
        <v>Emily Daniels</v>
      </c>
      <c r="H37" t="s">
        <v>43</v>
      </c>
      <c r="I37" t="str">
        <f t="shared" si="2"/>
        <v>Female</v>
      </c>
      <c r="J37">
        <v>52</v>
      </c>
      <c r="K37">
        <f t="shared" si="11"/>
        <v>52</v>
      </c>
      <c r="L37" t="str">
        <f t="shared" si="3"/>
        <v>Fourth level</v>
      </c>
      <c r="M37" t="s">
        <v>122</v>
      </c>
      <c r="N37" t="s">
        <v>123</v>
      </c>
      <c r="O37" t="s">
        <v>39</v>
      </c>
      <c r="P37">
        <v>28</v>
      </c>
      <c r="Q37">
        <f t="shared" si="4"/>
        <v>28</v>
      </c>
      <c r="R37" t="s">
        <v>131</v>
      </c>
      <c r="S37" s="8" t="s">
        <v>131</v>
      </c>
      <c r="T37" s="9">
        <v>20</v>
      </c>
      <c r="U37" s="9">
        <f t="shared" si="5"/>
        <v>20</v>
      </c>
      <c r="V37" s="10">
        <v>20</v>
      </c>
      <c r="X37" s="11">
        <f t="shared" si="6"/>
        <v>2.5203917050691218</v>
      </c>
      <c r="Y37" t="s">
        <v>2102</v>
      </c>
      <c r="Z37" t="str">
        <f t="shared" si="7"/>
        <v>No</v>
      </c>
      <c r="AA37" t="str">
        <f t="shared" si="8"/>
        <v>No</v>
      </c>
      <c r="AB37" t="str">
        <f t="shared" si="9"/>
        <v>No</v>
      </c>
      <c r="AC37" s="12"/>
      <c r="AD37" s="12">
        <f t="shared" si="10"/>
        <v>79.264150943396231</v>
      </c>
    </row>
    <row r="38" spans="1:30" x14ac:dyDescent="0.3">
      <c r="A38" t="s">
        <v>158</v>
      </c>
      <c r="B38" t="s">
        <v>159</v>
      </c>
      <c r="C38" t="s">
        <v>2171</v>
      </c>
      <c r="D38" t="s">
        <v>2172</v>
      </c>
      <c r="E38" t="str">
        <f t="shared" si="0"/>
        <v>Jamie Ramirez</v>
      </c>
      <c r="F38" t="str">
        <f t="shared" si="1"/>
        <v>Jamie Ramirez</v>
      </c>
      <c r="H38" t="s">
        <v>86</v>
      </c>
      <c r="I38" t="str">
        <f t="shared" si="2"/>
        <v>Female</v>
      </c>
      <c r="J38">
        <v>42</v>
      </c>
      <c r="K38">
        <f t="shared" si="11"/>
        <v>42</v>
      </c>
      <c r="L38" t="str">
        <f t="shared" si="3"/>
        <v>Third level</v>
      </c>
      <c r="M38" t="s">
        <v>95</v>
      </c>
      <c r="N38" t="s">
        <v>96</v>
      </c>
      <c r="O38" t="s">
        <v>25</v>
      </c>
      <c r="P38">
        <v>6</v>
      </c>
      <c r="Q38">
        <f t="shared" si="4"/>
        <v>6</v>
      </c>
      <c r="R38" t="s">
        <v>76</v>
      </c>
      <c r="S38" s="8" t="s">
        <v>76</v>
      </c>
      <c r="T38" s="9">
        <v>40</v>
      </c>
      <c r="U38" s="9">
        <f t="shared" si="5"/>
        <v>40</v>
      </c>
      <c r="V38" s="10">
        <v>40</v>
      </c>
      <c r="X38" s="11">
        <f t="shared" si="6"/>
        <v>2.5203917050691218</v>
      </c>
      <c r="Y38" t="s">
        <v>2102</v>
      </c>
      <c r="Z38" t="str">
        <f t="shared" si="7"/>
        <v>No</v>
      </c>
      <c r="AA38" t="str">
        <f t="shared" si="8"/>
        <v>No</v>
      </c>
      <c r="AB38" t="str">
        <f t="shared" si="9"/>
        <v>No</v>
      </c>
      <c r="AC38" s="12">
        <v>63</v>
      </c>
      <c r="AD38" s="12">
        <f t="shared" si="10"/>
        <v>63</v>
      </c>
    </row>
    <row r="39" spans="1:30" x14ac:dyDescent="0.3">
      <c r="A39" t="s">
        <v>160</v>
      </c>
      <c r="B39" t="s">
        <v>161</v>
      </c>
      <c r="C39" t="s">
        <v>2173</v>
      </c>
      <c r="D39" t="s">
        <v>2174</v>
      </c>
      <c r="E39" t="str">
        <f t="shared" si="0"/>
        <v>Amy Harrison</v>
      </c>
      <c r="F39" t="str">
        <f t="shared" si="1"/>
        <v>Amy Harrison</v>
      </c>
      <c r="H39" t="s">
        <v>86</v>
      </c>
      <c r="I39" t="str">
        <f t="shared" si="2"/>
        <v>Female</v>
      </c>
      <c r="J39">
        <v>29</v>
      </c>
      <c r="K39">
        <f t="shared" si="11"/>
        <v>29</v>
      </c>
      <c r="L39" t="str">
        <f t="shared" si="3"/>
        <v>First level</v>
      </c>
      <c r="M39" t="s">
        <v>47</v>
      </c>
      <c r="N39" t="s">
        <v>48</v>
      </c>
      <c r="O39" t="s">
        <v>33</v>
      </c>
      <c r="P39">
        <v>10</v>
      </c>
      <c r="Q39">
        <f t="shared" si="4"/>
        <v>10</v>
      </c>
      <c r="R39" t="s">
        <v>76</v>
      </c>
      <c r="S39" s="8" t="s">
        <v>76</v>
      </c>
      <c r="T39" s="9">
        <v>40</v>
      </c>
      <c r="U39" s="9">
        <f t="shared" si="5"/>
        <v>40</v>
      </c>
      <c r="V39" s="10">
        <v>40</v>
      </c>
      <c r="W39">
        <v>2.2000000000000002</v>
      </c>
      <c r="X39" s="11">
        <f t="shared" si="6"/>
        <v>2.2000000000000002</v>
      </c>
      <c r="Y39" t="s">
        <v>2102</v>
      </c>
      <c r="Z39" t="str">
        <f t="shared" si="7"/>
        <v>No</v>
      </c>
      <c r="AA39" t="str">
        <f t="shared" si="8"/>
        <v>No</v>
      </c>
      <c r="AB39" t="str">
        <f t="shared" si="9"/>
        <v>No</v>
      </c>
      <c r="AC39" s="12">
        <v>67</v>
      </c>
      <c r="AD39" s="12">
        <f t="shared" si="10"/>
        <v>67</v>
      </c>
    </row>
    <row r="40" spans="1:30" x14ac:dyDescent="0.3">
      <c r="A40" t="s">
        <v>162</v>
      </c>
      <c r="B40" t="s">
        <v>163</v>
      </c>
      <c r="C40" t="s">
        <v>2175</v>
      </c>
      <c r="D40" t="s">
        <v>2176</v>
      </c>
      <c r="E40" t="str">
        <f t="shared" si="0"/>
        <v>Melinda White</v>
      </c>
      <c r="F40" t="str">
        <f t="shared" si="1"/>
        <v>Melinda White</v>
      </c>
      <c r="H40" t="s">
        <v>86</v>
      </c>
      <c r="I40" t="str">
        <f t="shared" si="2"/>
        <v>Female</v>
      </c>
      <c r="J40">
        <v>42</v>
      </c>
      <c r="K40">
        <f t="shared" si="11"/>
        <v>42</v>
      </c>
      <c r="L40" t="str">
        <f t="shared" si="3"/>
        <v>Third level</v>
      </c>
      <c r="M40" t="s">
        <v>164</v>
      </c>
      <c r="N40" t="s">
        <v>165</v>
      </c>
      <c r="O40" t="s">
        <v>25</v>
      </c>
      <c r="P40">
        <v>23</v>
      </c>
      <c r="Q40">
        <f t="shared" si="4"/>
        <v>23</v>
      </c>
      <c r="R40" t="s">
        <v>34</v>
      </c>
      <c r="S40" s="8" t="s">
        <v>34</v>
      </c>
      <c r="T40" s="9">
        <v>50</v>
      </c>
      <c r="U40" s="9">
        <f t="shared" si="5"/>
        <v>50</v>
      </c>
      <c r="V40" s="10">
        <v>50</v>
      </c>
      <c r="W40">
        <v>3.2</v>
      </c>
      <c r="X40" s="11">
        <f t="shared" si="6"/>
        <v>3.2</v>
      </c>
      <c r="Y40" t="s">
        <v>77</v>
      </c>
      <c r="Z40" t="str">
        <f t="shared" si="7"/>
        <v>yes</v>
      </c>
      <c r="AA40" t="str">
        <f t="shared" si="8"/>
        <v>yes</v>
      </c>
      <c r="AB40" t="str">
        <f t="shared" si="9"/>
        <v>Yes</v>
      </c>
      <c r="AC40" s="12"/>
      <c r="AD40" s="12">
        <f t="shared" si="10"/>
        <v>79.300126103404793</v>
      </c>
    </row>
    <row r="41" spans="1:30" x14ac:dyDescent="0.3">
      <c r="A41" t="s">
        <v>166</v>
      </c>
      <c r="B41" t="s">
        <v>167</v>
      </c>
      <c r="C41" t="s">
        <v>2143</v>
      </c>
      <c r="D41" t="s">
        <v>2177</v>
      </c>
      <c r="E41" t="str">
        <f t="shared" si="0"/>
        <v>James Hernandez</v>
      </c>
      <c r="F41" t="str">
        <f t="shared" si="1"/>
        <v>James Hernandez</v>
      </c>
      <c r="H41" t="s">
        <v>107</v>
      </c>
      <c r="I41" t="str">
        <f t="shared" si="2"/>
        <v>Male</v>
      </c>
      <c r="J41">
        <v>60</v>
      </c>
      <c r="K41">
        <f t="shared" si="11"/>
        <v>60</v>
      </c>
      <c r="L41" t="str">
        <f t="shared" si="3"/>
        <v>Fourth level</v>
      </c>
      <c r="M41" t="s">
        <v>95</v>
      </c>
      <c r="N41" t="s">
        <v>96</v>
      </c>
      <c r="O41" t="s">
        <v>39</v>
      </c>
      <c r="P41">
        <v>13</v>
      </c>
      <c r="Q41">
        <f t="shared" si="4"/>
        <v>13</v>
      </c>
      <c r="R41" t="s">
        <v>131</v>
      </c>
      <c r="S41" s="8" t="s">
        <v>131</v>
      </c>
      <c r="T41" s="9">
        <v>20</v>
      </c>
      <c r="U41" s="9">
        <f t="shared" si="5"/>
        <v>20</v>
      </c>
      <c r="V41" s="10">
        <v>20</v>
      </c>
      <c r="W41">
        <v>3.6</v>
      </c>
      <c r="X41" s="11">
        <f t="shared" si="6"/>
        <v>3.6</v>
      </c>
      <c r="Y41" t="s">
        <v>2102</v>
      </c>
      <c r="Z41" t="str">
        <f t="shared" si="7"/>
        <v>No</v>
      </c>
      <c r="AA41" t="str">
        <f t="shared" si="8"/>
        <v>No</v>
      </c>
      <c r="AB41" t="str">
        <f t="shared" si="9"/>
        <v>No</v>
      </c>
      <c r="AC41" s="12">
        <v>80</v>
      </c>
      <c r="AD41" s="12">
        <f t="shared" si="10"/>
        <v>80</v>
      </c>
    </row>
    <row r="42" spans="1:30" x14ac:dyDescent="0.3">
      <c r="A42" t="s">
        <v>168</v>
      </c>
      <c r="B42" t="s">
        <v>169</v>
      </c>
      <c r="C42" t="s">
        <v>2178</v>
      </c>
      <c r="D42" t="s">
        <v>2179</v>
      </c>
      <c r="E42" t="str">
        <f t="shared" si="0"/>
        <v>Angelica Rogers</v>
      </c>
      <c r="F42" t="str">
        <f t="shared" si="1"/>
        <v>Angelica Rogers</v>
      </c>
      <c r="H42" t="s">
        <v>86</v>
      </c>
      <c r="I42" t="str">
        <f t="shared" si="2"/>
        <v>Female</v>
      </c>
      <c r="J42">
        <v>59</v>
      </c>
      <c r="K42">
        <f t="shared" si="11"/>
        <v>59</v>
      </c>
      <c r="L42" t="str">
        <f t="shared" si="3"/>
        <v>Fourth level</v>
      </c>
      <c r="M42" t="s">
        <v>75</v>
      </c>
      <c r="N42" t="s">
        <v>24</v>
      </c>
      <c r="O42" t="s">
        <v>49</v>
      </c>
      <c r="P42">
        <v>3</v>
      </c>
      <c r="Q42">
        <f t="shared" si="4"/>
        <v>3</v>
      </c>
      <c r="R42" t="s">
        <v>108</v>
      </c>
      <c r="S42" s="8" t="s">
        <v>2095</v>
      </c>
      <c r="T42" s="9">
        <v>50</v>
      </c>
      <c r="U42" s="9">
        <f t="shared" si="5"/>
        <v>50</v>
      </c>
      <c r="V42" s="10">
        <v>50</v>
      </c>
      <c r="W42">
        <v>0</v>
      </c>
      <c r="X42" s="11">
        <f t="shared" si="6"/>
        <v>0</v>
      </c>
      <c r="Y42" t="s">
        <v>170</v>
      </c>
      <c r="Z42" t="str">
        <f t="shared" si="7"/>
        <v>no</v>
      </c>
      <c r="AA42" t="str">
        <f t="shared" si="8"/>
        <v>no</v>
      </c>
      <c r="AB42" t="str">
        <f t="shared" si="9"/>
        <v>No</v>
      </c>
      <c r="AC42" s="12"/>
      <c r="AD42" s="12">
        <f t="shared" si="10"/>
        <v>79.299242424242422</v>
      </c>
    </row>
    <row r="43" spans="1:30" x14ac:dyDescent="0.3">
      <c r="A43" t="s">
        <v>171</v>
      </c>
      <c r="B43" t="s">
        <v>172</v>
      </c>
      <c r="C43" t="s">
        <v>2180</v>
      </c>
      <c r="D43" t="s">
        <v>2181</v>
      </c>
      <c r="E43" t="str">
        <f t="shared" si="0"/>
        <v>Savannah Williams</v>
      </c>
      <c r="F43" t="str">
        <f t="shared" si="1"/>
        <v>Savannah Williams</v>
      </c>
      <c r="H43" t="s">
        <v>86</v>
      </c>
      <c r="I43" t="str">
        <f t="shared" si="2"/>
        <v>Female</v>
      </c>
      <c r="J43">
        <v>21</v>
      </c>
      <c r="K43">
        <f t="shared" si="11"/>
        <v>21</v>
      </c>
      <c r="L43" t="str">
        <f t="shared" si="3"/>
        <v>First level</v>
      </c>
      <c r="M43" t="s">
        <v>138</v>
      </c>
      <c r="N43" t="s">
        <v>24</v>
      </c>
      <c r="O43" t="s">
        <v>39</v>
      </c>
      <c r="P43">
        <v>0</v>
      </c>
      <c r="Q43">
        <f t="shared" si="4"/>
        <v>0</v>
      </c>
      <c r="R43" t="s">
        <v>44</v>
      </c>
      <c r="S43" s="8" t="s">
        <v>44</v>
      </c>
      <c r="T43" s="9">
        <v>30</v>
      </c>
      <c r="U43" s="9">
        <f t="shared" si="5"/>
        <v>30</v>
      </c>
      <c r="V43" s="10">
        <v>30</v>
      </c>
      <c r="W43">
        <v>2.7</v>
      </c>
      <c r="X43" s="11">
        <f t="shared" si="6"/>
        <v>2.7</v>
      </c>
      <c r="Y43" t="s">
        <v>2103</v>
      </c>
      <c r="Z43" t="str">
        <f t="shared" si="7"/>
        <v>Yes</v>
      </c>
      <c r="AA43" t="str">
        <f t="shared" si="8"/>
        <v>Yes</v>
      </c>
      <c r="AB43" t="str">
        <f t="shared" si="9"/>
        <v>Yes</v>
      </c>
      <c r="AC43" s="12">
        <v>84</v>
      </c>
      <c r="AD43" s="12">
        <f t="shared" si="10"/>
        <v>84</v>
      </c>
    </row>
    <row r="44" spans="1:30" x14ac:dyDescent="0.3">
      <c r="A44" t="s">
        <v>173</v>
      </c>
      <c r="B44" t="s">
        <v>174</v>
      </c>
      <c r="C44" t="s">
        <v>2182</v>
      </c>
      <c r="D44" t="s">
        <v>2183</v>
      </c>
      <c r="E44" t="str">
        <f t="shared" si="0"/>
        <v>Kaitlyn Schmidt</v>
      </c>
      <c r="F44" t="str">
        <f t="shared" si="1"/>
        <v>Kaitlyn Schmidt</v>
      </c>
      <c r="H44" t="s">
        <v>86</v>
      </c>
      <c r="I44" t="str">
        <f t="shared" si="2"/>
        <v>Female</v>
      </c>
      <c r="J44">
        <v>35</v>
      </c>
      <c r="K44">
        <f t="shared" si="11"/>
        <v>35</v>
      </c>
      <c r="L44" t="str">
        <f t="shared" si="3"/>
        <v>Second level</v>
      </c>
      <c r="M44" t="s">
        <v>31</v>
      </c>
      <c r="N44" t="s">
        <v>32</v>
      </c>
      <c r="O44" t="s">
        <v>99</v>
      </c>
      <c r="P44">
        <v>10</v>
      </c>
      <c r="Q44">
        <f t="shared" si="4"/>
        <v>10</v>
      </c>
      <c r="R44" t="s">
        <v>72</v>
      </c>
      <c r="S44" s="8" t="s">
        <v>72</v>
      </c>
      <c r="T44" s="9">
        <v>50</v>
      </c>
      <c r="U44" s="9">
        <f t="shared" si="5"/>
        <v>50</v>
      </c>
      <c r="V44" s="10">
        <v>50</v>
      </c>
      <c r="W44">
        <v>0</v>
      </c>
      <c r="X44" s="11">
        <f t="shared" si="6"/>
        <v>0</v>
      </c>
      <c r="Y44" t="s">
        <v>170</v>
      </c>
      <c r="Z44" t="str">
        <f t="shared" si="7"/>
        <v>no</v>
      </c>
      <c r="AA44" t="str">
        <f t="shared" si="8"/>
        <v>no</v>
      </c>
      <c r="AB44" t="str">
        <f t="shared" si="9"/>
        <v>No</v>
      </c>
      <c r="AC44" s="12"/>
      <c r="AD44" s="12">
        <f t="shared" si="10"/>
        <v>79.293299620733251</v>
      </c>
    </row>
    <row r="45" spans="1:30" x14ac:dyDescent="0.3">
      <c r="A45" t="s">
        <v>175</v>
      </c>
      <c r="B45" t="s">
        <v>176</v>
      </c>
      <c r="C45" t="s">
        <v>2184</v>
      </c>
      <c r="D45" t="s">
        <v>2185</v>
      </c>
      <c r="E45" t="str">
        <f t="shared" si="0"/>
        <v>Jason Singh</v>
      </c>
      <c r="F45" t="str">
        <f t="shared" si="1"/>
        <v>Jason Singh</v>
      </c>
      <c r="H45" t="s">
        <v>30</v>
      </c>
      <c r="I45" t="str">
        <f t="shared" si="2"/>
        <v>Male</v>
      </c>
      <c r="J45">
        <v>41</v>
      </c>
      <c r="K45">
        <f t="shared" si="11"/>
        <v>41</v>
      </c>
      <c r="L45" t="str">
        <f t="shared" si="3"/>
        <v>Third level</v>
      </c>
      <c r="M45" t="s">
        <v>75</v>
      </c>
      <c r="N45" t="s">
        <v>24</v>
      </c>
      <c r="O45" t="s">
        <v>57</v>
      </c>
      <c r="Q45">
        <f t="shared" si="4"/>
        <v>13</v>
      </c>
      <c r="R45" t="s">
        <v>151</v>
      </c>
      <c r="S45" s="8" t="s">
        <v>151</v>
      </c>
      <c r="T45" s="9">
        <v>20</v>
      </c>
      <c r="U45" s="9">
        <f t="shared" si="5"/>
        <v>20</v>
      </c>
      <c r="V45" s="10">
        <v>20</v>
      </c>
      <c r="W45">
        <v>2.8</v>
      </c>
      <c r="X45" s="11">
        <f t="shared" si="6"/>
        <v>2.8</v>
      </c>
      <c r="Y45" t="s">
        <v>2103</v>
      </c>
      <c r="Z45" t="str">
        <f t="shared" si="7"/>
        <v>Yes</v>
      </c>
      <c r="AA45" t="str">
        <f t="shared" si="8"/>
        <v>Yes</v>
      </c>
      <c r="AB45" t="str">
        <f t="shared" si="9"/>
        <v>Yes</v>
      </c>
      <c r="AC45" s="12">
        <v>63</v>
      </c>
      <c r="AD45" s="12">
        <f t="shared" si="10"/>
        <v>63</v>
      </c>
    </row>
    <row r="46" spans="1:30" x14ac:dyDescent="0.3">
      <c r="A46" t="s">
        <v>177</v>
      </c>
      <c r="B46" t="s">
        <v>178</v>
      </c>
      <c r="C46" t="s">
        <v>2128</v>
      </c>
      <c r="D46" t="s">
        <v>2172</v>
      </c>
      <c r="E46" t="str">
        <f t="shared" si="0"/>
        <v>Michelle Ramirez</v>
      </c>
      <c r="F46" t="str">
        <f t="shared" si="1"/>
        <v>Michelle Ramirez</v>
      </c>
      <c r="H46" t="s">
        <v>86</v>
      </c>
      <c r="I46" t="str">
        <f t="shared" si="2"/>
        <v>Female</v>
      </c>
      <c r="J46">
        <v>51</v>
      </c>
      <c r="K46">
        <f t="shared" si="11"/>
        <v>51</v>
      </c>
      <c r="L46" t="str">
        <f t="shared" si="3"/>
        <v>Fourth level</v>
      </c>
      <c r="M46" t="s">
        <v>47</v>
      </c>
      <c r="N46" t="s">
        <v>48</v>
      </c>
      <c r="O46" t="s">
        <v>124</v>
      </c>
      <c r="P46">
        <v>23</v>
      </c>
      <c r="Q46">
        <f t="shared" si="4"/>
        <v>23</v>
      </c>
      <c r="R46" t="s">
        <v>151</v>
      </c>
      <c r="S46" s="8" t="s">
        <v>151</v>
      </c>
      <c r="T46" s="9">
        <v>20</v>
      </c>
      <c r="U46" s="9">
        <f t="shared" si="5"/>
        <v>20</v>
      </c>
      <c r="V46" s="10">
        <v>20</v>
      </c>
      <c r="W46">
        <v>2.5</v>
      </c>
      <c r="X46" s="11">
        <f t="shared" si="6"/>
        <v>2.5</v>
      </c>
      <c r="Y46" t="s">
        <v>2102</v>
      </c>
      <c r="Z46" t="str">
        <f t="shared" si="7"/>
        <v>No</v>
      </c>
      <c r="AA46" t="str">
        <f t="shared" si="8"/>
        <v>No</v>
      </c>
      <c r="AB46" t="str">
        <f t="shared" si="9"/>
        <v>No</v>
      </c>
      <c r="AC46" s="12">
        <v>80</v>
      </c>
      <c r="AD46" s="12">
        <f t="shared" si="10"/>
        <v>80</v>
      </c>
    </row>
    <row r="47" spans="1:30" x14ac:dyDescent="0.3">
      <c r="A47" t="s">
        <v>179</v>
      </c>
      <c r="B47" t="s">
        <v>180</v>
      </c>
      <c r="C47" t="s">
        <v>2143</v>
      </c>
      <c r="D47" t="s">
        <v>2186</v>
      </c>
      <c r="E47" t="str">
        <f t="shared" si="0"/>
        <v>James Brown</v>
      </c>
      <c r="F47" t="str">
        <f t="shared" si="1"/>
        <v>James Brown</v>
      </c>
      <c r="H47" t="s">
        <v>30</v>
      </c>
      <c r="I47" t="str">
        <f t="shared" si="2"/>
        <v>Male</v>
      </c>
      <c r="J47">
        <v>41</v>
      </c>
      <c r="K47">
        <f t="shared" si="11"/>
        <v>41</v>
      </c>
      <c r="L47" t="str">
        <f t="shared" si="3"/>
        <v>Third level</v>
      </c>
      <c r="M47" t="s">
        <v>164</v>
      </c>
      <c r="N47" t="s">
        <v>165</v>
      </c>
      <c r="O47" t="s">
        <v>39</v>
      </c>
      <c r="P47">
        <v>9</v>
      </c>
      <c r="Q47">
        <f t="shared" si="4"/>
        <v>9</v>
      </c>
      <c r="R47" t="s">
        <v>181</v>
      </c>
      <c r="S47" s="8" t="s">
        <v>181</v>
      </c>
      <c r="T47" s="9">
        <v>75</v>
      </c>
      <c r="U47" s="9">
        <f t="shared" si="5"/>
        <v>75</v>
      </c>
      <c r="V47" s="10">
        <v>75</v>
      </c>
      <c r="W47">
        <v>4.9000000000000004</v>
      </c>
      <c r="X47" s="11">
        <f t="shared" si="6"/>
        <v>4.9000000000000004</v>
      </c>
      <c r="Y47" t="s">
        <v>2103</v>
      </c>
      <c r="Z47" t="str">
        <f t="shared" si="7"/>
        <v>Yes</v>
      </c>
      <c r="AA47" t="str">
        <f t="shared" si="8"/>
        <v>Yes</v>
      </c>
      <c r="AB47" t="str">
        <f t="shared" si="9"/>
        <v>Yes</v>
      </c>
      <c r="AC47" s="12">
        <v>74</v>
      </c>
      <c r="AD47" s="12">
        <f t="shared" si="10"/>
        <v>74</v>
      </c>
    </row>
    <row r="48" spans="1:30" x14ac:dyDescent="0.3">
      <c r="A48" t="s">
        <v>182</v>
      </c>
      <c r="B48" t="s">
        <v>183</v>
      </c>
      <c r="C48" t="s">
        <v>2187</v>
      </c>
      <c r="D48" t="s">
        <v>2188</v>
      </c>
      <c r="E48" t="str">
        <f t="shared" si="0"/>
        <v>Samantha Simmons</v>
      </c>
      <c r="F48" t="str">
        <f t="shared" si="1"/>
        <v>Samantha Simmons</v>
      </c>
      <c r="H48" t="s">
        <v>86</v>
      </c>
      <c r="I48" t="str">
        <f t="shared" si="2"/>
        <v>Female</v>
      </c>
      <c r="J48">
        <v>47</v>
      </c>
      <c r="K48">
        <f t="shared" si="11"/>
        <v>47</v>
      </c>
      <c r="L48" t="str">
        <f t="shared" si="3"/>
        <v>Third level</v>
      </c>
      <c r="M48" t="s">
        <v>149</v>
      </c>
      <c r="N48" t="s">
        <v>150</v>
      </c>
      <c r="O48" t="s">
        <v>99</v>
      </c>
      <c r="P48">
        <v>15</v>
      </c>
      <c r="Q48">
        <f t="shared" si="4"/>
        <v>15</v>
      </c>
      <c r="R48" t="s">
        <v>119</v>
      </c>
      <c r="S48" s="8" t="s">
        <v>2096</v>
      </c>
      <c r="T48" s="9">
        <v>30</v>
      </c>
      <c r="U48" s="9">
        <f t="shared" si="5"/>
        <v>30</v>
      </c>
      <c r="V48" s="10">
        <v>30</v>
      </c>
      <c r="W48">
        <v>4.5</v>
      </c>
      <c r="X48" s="11">
        <f t="shared" si="6"/>
        <v>4.5</v>
      </c>
      <c r="Y48" t="s">
        <v>2103</v>
      </c>
      <c r="Z48" t="str">
        <f t="shared" si="7"/>
        <v>Yes</v>
      </c>
      <c r="AA48" t="str">
        <f t="shared" si="8"/>
        <v>Yes</v>
      </c>
      <c r="AB48" t="str">
        <f t="shared" si="9"/>
        <v>Yes</v>
      </c>
      <c r="AC48" s="12">
        <v>85</v>
      </c>
      <c r="AD48" s="12">
        <f t="shared" si="10"/>
        <v>85</v>
      </c>
    </row>
    <row r="49" spans="1:30" x14ac:dyDescent="0.3">
      <c r="A49" t="s">
        <v>184</v>
      </c>
      <c r="B49" t="s">
        <v>185</v>
      </c>
      <c r="C49" t="s">
        <v>2189</v>
      </c>
      <c r="D49" t="s">
        <v>2190</v>
      </c>
      <c r="E49" t="str">
        <f t="shared" si="0"/>
        <v>Chase Mason</v>
      </c>
      <c r="F49" t="str">
        <f t="shared" si="1"/>
        <v>Chase Mason</v>
      </c>
      <c r="H49" t="s">
        <v>30</v>
      </c>
      <c r="I49" t="str">
        <f t="shared" si="2"/>
        <v>Male</v>
      </c>
      <c r="J49">
        <v>25</v>
      </c>
      <c r="K49">
        <f t="shared" si="11"/>
        <v>25</v>
      </c>
      <c r="L49" t="str">
        <f t="shared" si="3"/>
        <v>First level</v>
      </c>
      <c r="M49" t="s">
        <v>186</v>
      </c>
      <c r="N49" t="s">
        <v>187</v>
      </c>
      <c r="O49" t="s">
        <v>33</v>
      </c>
      <c r="P49">
        <v>4</v>
      </c>
      <c r="Q49">
        <f t="shared" si="4"/>
        <v>4</v>
      </c>
      <c r="R49" t="s">
        <v>34</v>
      </c>
      <c r="S49" s="8" t="s">
        <v>34</v>
      </c>
      <c r="T49" s="9">
        <v>50</v>
      </c>
      <c r="U49" s="9">
        <f t="shared" si="5"/>
        <v>50</v>
      </c>
      <c r="V49" s="10">
        <v>50</v>
      </c>
      <c r="W49">
        <v>2.7</v>
      </c>
      <c r="X49" s="11">
        <f t="shared" si="6"/>
        <v>2.7</v>
      </c>
      <c r="Y49" t="s">
        <v>2102</v>
      </c>
      <c r="Z49" t="str">
        <f t="shared" si="7"/>
        <v>No</v>
      </c>
      <c r="AA49" t="str">
        <f t="shared" si="8"/>
        <v>No</v>
      </c>
      <c r="AB49" t="str">
        <f t="shared" si="9"/>
        <v>No</v>
      </c>
      <c r="AC49" s="12">
        <v>77</v>
      </c>
      <c r="AD49" s="12">
        <f t="shared" si="10"/>
        <v>77</v>
      </c>
    </row>
    <row r="50" spans="1:30" x14ac:dyDescent="0.3">
      <c r="A50" t="s">
        <v>188</v>
      </c>
      <c r="B50" t="s">
        <v>189</v>
      </c>
      <c r="C50" t="s">
        <v>2191</v>
      </c>
      <c r="D50" t="s">
        <v>2192</v>
      </c>
      <c r="E50" t="str">
        <f t="shared" si="0"/>
        <v>Dominique Ward</v>
      </c>
      <c r="F50" t="str">
        <f t="shared" si="1"/>
        <v>Dominique Ward</v>
      </c>
      <c r="H50" t="s">
        <v>86</v>
      </c>
      <c r="I50" t="str">
        <f t="shared" si="2"/>
        <v>Female</v>
      </c>
      <c r="J50">
        <v>25</v>
      </c>
      <c r="K50">
        <f t="shared" si="11"/>
        <v>25</v>
      </c>
      <c r="L50" t="str">
        <f t="shared" si="3"/>
        <v>First level</v>
      </c>
      <c r="M50" t="s">
        <v>190</v>
      </c>
      <c r="N50" t="s">
        <v>81</v>
      </c>
      <c r="O50" t="s">
        <v>25</v>
      </c>
      <c r="P50">
        <v>7</v>
      </c>
      <c r="Q50">
        <f t="shared" si="4"/>
        <v>7</v>
      </c>
      <c r="R50" t="s">
        <v>151</v>
      </c>
      <c r="S50" s="8" t="s">
        <v>151</v>
      </c>
      <c r="T50" s="9">
        <v>20</v>
      </c>
      <c r="U50" s="9">
        <f t="shared" si="5"/>
        <v>20</v>
      </c>
      <c r="V50" s="10">
        <v>20</v>
      </c>
      <c r="W50">
        <v>1.9</v>
      </c>
      <c r="X50" s="11">
        <f t="shared" si="6"/>
        <v>1.9</v>
      </c>
      <c r="Y50" t="s">
        <v>2102</v>
      </c>
      <c r="Z50" t="str">
        <f t="shared" si="7"/>
        <v>No</v>
      </c>
      <c r="AA50" t="str">
        <f t="shared" si="8"/>
        <v>No</v>
      </c>
      <c r="AB50" t="str">
        <f t="shared" si="9"/>
        <v>No</v>
      </c>
      <c r="AC50" s="12"/>
      <c r="AD50" s="12">
        <f t="shared" si="10"/>
        <v>79.315521628498729</v>
      </c>
    </row>
    <row r="51" spans="1:30" x14ac:dyDescent="0.3">
      <c r="A51" t="s">
        <v>191</v>
      </c>
      <c r="B51" t="s">
        <v>192</v>
      </c>
      <c r="C51" t="s">
        <v>2193</v>
      </c>
      <c r="D51" t="s">
        <v>2194</v>
      </c>
      <c r="E51" t="str">
        <f t="shared" si="0"/>
        <v>Lance Griffin</v>
      </c>
      <c r="F51" t="str">
        <f t="shared" si="1"/>
        <v>Lance Griffin</v>
      </c>
      <c r="H51" t="s">
        <v>107</v>
      </c>
      <c r="I51" t="str">
        <f t="shared" si="2"/>
        <v>Male</v>
      </c>
      <c r="J51">
        <v>29</v>
      </c>
      <c r="K51">
        <f t="shared" si="11"/>
        <v>29</v>
      </c>
      <c r="L51" t="str">
        <f t="shared" si="3"/>
        <v>First level</v>
      </c>
      <c r="M51" t="s">
        <v>47</v>
      </c>
      <c r="N51" t="s">
        <v>48</v>
      </c>
      <c r="O51" t="s">
        <v>82</v>
      </c>
      <c r="P51">
        <v>1</v>
      </c>
      <c r="Q51">
        <f t="shared" si="4"/>
        <v>1</v>
      </c>
      <c r="R51" t="s">
        <v>151</v>
      </c>
      <c r="S51" s="8" t="s">
        <v>151</v>
      </c>
      <c r="T51" s="9">
        <v>20</v>
      </c>
      <c r="U51" s="9">
        <f t="shared" si="5"/>
        <v>20</v>
      </c>
      <c r="V51" s="10">
        <v>20</v>
      </c>
      <c r="W51">
        <v>1.4</v>
      </c>
      <c r="X51" s="11">
        <f t="shared" si="6"/>
        <v>1.4</v>
      </c>
      <c r="Y51" t="s">
        <v>2103</v>
      </c>
      <c r="Z51" t="str">
        <f t="shared" si="7"/>
        <v>Yes</v>
      </c>
      <c r="AA51" t="str">
        <f t="shared" si="8"/>
        <v>Yes</v>
      </c>
      <c r="AB51" t="str">
        <f t="shared" si="9"/>
        <v>Yes</v>
      </c>
      <c r="AC51" s="12">
        <v>63</v>
      </c>
      <c r="AD51" s="12">
        <f t="shared" si="10"/>
        <v>63</v>
      </c>
    </row>
    <row r="52" spans="1:30" x14ac:dyDescent="0.3">
      <c r="A52" t="s">
        <v>193</v>
      </c>
      <c r="B52" t="s">
        <v>194</v>
      </c>
      <c r="C52" t="s">
        <v>2195</v>
      </c>
      <c r="D52" t="s">
        <v>2196</v>
      </c>
      <c r="E52" t="str">
        <f t="shared" si="0"/>
        <v>Julie Burgess</v>
      </c>
      <c r="F52" t="str">
        <f t="shared" si="1"/>
        <v>Julie Burgess</v>
      </c>
      <c r="H52" t="s">
        <v>22</v>
      </c>
      <c r="I52" t="str">
        <f t="shared" si="2"/>
        <v>Female</v>
      </c>
      <c r="J52">
        <v>23</v>
      </c>
      <c r="K52">
        <f t="shared" si="11"/>
        <v>23</v>
      </c>
      <c r="L52" t="str">
        <f t="shared" si="3"/>
        <v>First level</v>
      </c>
      <c r="M52" t="s">
        <v>80</v>
      </c>
      <c r="N52" t="s">
        <v>81</v>
      </c>
      <c r="O52" t="s">
        <v>87</v>
      </c>
      <c r="P52">
        <v>0</v>
      </c>
      <c r="Q52">
        <f t="shared" si="4"/>
        <v>0</v>
      </c>
      <c r="R52" t="s">
        <v>92</v>
      </c>
      <c r="S52" s="8" t="s">
        <v>92</v>
      </c>
      <c r="T52" s="9">
        <v>75</v>
      </c>
      <c r="U52" s="9">
        <f t="shared" si="5"/>
        <v>75</v>
      </c>
      <c r="V52" s="10">
        <v>75</v>
      </c>
      <c r="W52">
        <v>1.9</v>
      </c>
      <c r="X52" s="11">
        <f t="shared" si="6"/>
        <v>1.9</v>
      </c>
      <c r="Y52" t="s">
        <v>2103</v>
      </c>
      <c r="Z52" t="str">
        <f t="shared" si="7"/>
        <v>Yes</v>
      </c>
      <c r="AA52" t="str">
        <f t="shared" si="8"/>
        <v>Yes</v>
      </c>
      <c r="AB52" t="str">
        <f t="shared" si="9"/>
        <v>Yes</v>
      </c>
      <c r="AC52" s="12">
        <v>79</v>
      </c>
      <c r="AD52" s="12">
        <f t="shared" si="10"/>
        <v>79</v>
      </c>
    </row>
    <row r="53" spans="1:30" x14ac:dyDescent="0.3">
      <c r="A53" t="s">
        <v>195</v>
      </c>
      <c r="B53" t="s">
        <v>196</v>
      </c>
      <c r="C53" t="s">
        <v>2197</v>
      </c>
      <c r="D53" t="s">
        <v>2138</v>
      </c>
      <c r="E53" t="str">
        <f t="shared" si="0"/>
        <v>Don Scott</v>
      </c>
      <c r="F53" t="str">
        <f t="shared" si="1"/>
        <v>Don Scott</v>
      </c>
      <c r="H53" t="s">
        <v>30</v>
      </c>
      <c r="I53" t="str">
        <f t="shared" si="2"/>
        <v>Male</v>
      </c>
      <c r="J53">
        <v>31</v>
      </c>
      <c r="K53">
        <f t="shared" si="11"/>
        <v>31</v>
      </c>
      <c r="L53" t="str">
        <f t="shared" si="3"/>
        <v>Second level</v>
      </c>
      <c r="M53" t="s">
        <v>145</v>
      </c>
      <c r="N53" t="s">
        <v>146</v>
      </c>
      <c r="O53" t="s">
        <v>57</v>
      </c>
      <c r="P53">
        <v>8</v>
      </c>
      <c r="Q53">
        <f t="shared" si="4"/>
        <v>8</v>
      </c>
      <c r="R53" t="s">
        <v>34</v>
      </c>
      <c r="S53" s="8" t="s">
        <v>34</v>
      </c>
      <c r="T53" s="9">
        <v>50</v>
      </c>
      <c r="U53" s="9">
        <f t="shared" si="5"/>
        <v>50</v>
      </c>
      <c r="V53" s="10">
        <v>50</v>
      </c>
      <c r="W53">
        <v>3.4</v>
      </c>
      <c r="X53" s="11">
        <f t="shared" si="6"/>
        <v>3.4</v>
      </c>
      <c r="Y53" t="s">
        <v>2102</v>
      </c>
      <c r="Z53" t="str">
        <f t="shared" si="7"/>
        <v>No</v>
      </c>
      <c r="AA53" t="str">
        <f t="shared" si="8"/>
        <v>No</v>
      </c>
      <c r="AB53" t="str">
        <f t="shared" si="9"/>
        <v>No</v>
      </c>
      <c r="AC53" s="12"/>
      <c r="AD53" s="12">
        <f t="shared" si="10"/>
        <v>79.336734693877546</v>
      </c>
    </row>
    <row r="54" spans="1:30" x14ac:dyDescent="0.3">
      <c r="A54" t="s">
        <v>197</v>
      </c>
      <c r="B54" t="s">
        <v>198</v>
      </c>
      <c r="C54" t="s">
        <v>2198</v>
      </c>
      <c r="D54" t="s">
        <v>2199</v>
      </c>
      <c r="E54" t="str">
        <f t="shared" si="0"/>
        <v>Kyle Atkinson</v>
      </c>
      <c r="F54" t="str">
        <f t="shared" si="1"/>
        <v>Kyle Atkinson</v>
      </c>
      <c r="H54" t="s">
        <v>107</v>
      </c>
      <c r="I54" t="str">
        <f t="shared" si="2"/>
        <v>Male</v>
      </c>
      <c r="J54">
        <v>51</v>
      </c>
      <c r="K54">
        <f t="shared" si="11"/>
        <v>51</v>
      </c>
      <c r="L54" t="str">
        <f t="shared" si="3"/>
        <v>Fourth level</v>
      </c>
      <c r="M54" t="s">
        <v>31</v>
      </c>
      <c r="N54" t="s">
        <v>32</v>
      </c>
      <c r="O54" t="s">
        <v>124</v>
      </c>
      <c r="P54">
        <v>33</v>
      </c>
      <c r="Q54">
        <f t="shared" si="4"/>
        <v>33</v>
      </c>
      <c r="R54" t="s">
        <v>92</v>
      </c>
      <c r="S54" s="8" t="s">
        <v>92</v>
      </c>
      <c r="T54" s="9">
        <v>75</v>
      </c>
      <c r="U54" s="9">
        <f t="shared" si="5"/>
        <v>75</v>
      </c>
      <c r="V54" s="10">
        <v>75</v>
      </c>
      <c r="W54">
        <v>3.3</v>
      </c>
      <c r="X54" s="11">
        <f t="shared" si="6"/>
        <v>3.3</v>
      </c>
      <c r="AA54" t="str">
        <f t="shared" si="8"/>
        <v>Unknown</v>
      </c>
      <c r="AB54" t="str">
        <f t="shared" si="9"/>
        <v>Unknown</v>
      </c>
      <c r="AC54" s="12">
        <v>68</v>
      </c>
      <c r="AD54" s="12">
        <f t="shared" si="10"/>
        <v>68</v>
      </c>
    </row>
    <row r="55" spans="1:30" x14ac:dyDescent="0.3">
      <c r="A55" t="s">
        <v>199</v>
      </c>
      <c r="B55" t="s">
        <v>200</v>
      </c>
      <c r="C55" t="s">
        <v>2200</v>
      </c>
      <c r="D55" t="s">
        <v>2201</v>
      </c>
      <c r="E55" t="str">
        <f t="shared" si="0"/>
        <v>Jimmy Hogan</v>
      </c>
      <c r="F55" t="str">
        <f t="shared" si="1"/>
        <v>Jimmy Hogan</v>
      </c>
      <c r="H55" t="s">
        <v>107</v>
      </c>
      <c r="I55" t="str">
        <f t="shared" si="2"/>
        <v>Male</v>
      </c>
      <c r="K55">
        <f t="shared" si="11"/>
        <v>41</v>
      </c>
      <c r="L55" t="str">
        <f t="shared" si="3"/>
        <v>Third level</v>
      </c>
      <c r="M55" t="s">
        <v>201</v>
      </c>
      <c r="N55" t="s">
        <v>81</v>
      </c>
      <c r="O55" t="s">
        <v>82</v>
      </c>
      <c r="P55">
        <v>1</v>
      </c>
      <c r="Q55">
        <f t="shared" si="4"/>
        <v>1</v>
      </c>
      <c r="R55" t="s">
        <v>44</v>
      </c>
      <c r="S55" s="8" t="s">
        <v>44</v>
      </c>
      <c r="T55" s="9">
        <v>30</v>
      </c>
      <c r="U55" s="9">
        <f t="shared" si="5"/>
        <v>30</v>
      </c>
      <c r="V55" s="10">
        <v>30</v>
      </c>
      <c r="W55">
        <v>0</v>
      </c>
      <c r="X55" s="11">
        <f t="shared" si="6"/>
        <v>0</v>
      </c>
      <c r="Y55" t="s">
        <v>2102</v>
      </c>
      <c r="Z55" t="str">
        <f t="shared" si="7"/>
        <v>No</v>
      </c>
      <c r="AA55" t="str">
        <f t="shared" si="8"/>
        <v>No</v>
      </c>
      <c r="AB55" t="str">
        <f t="shared" si="9"/>
        <v>No</v>
      </c>
      <c r="AC55" s="12">
        <v>68</v>
      </c>
      <c r="AD55" s="12">
        <f t="shared" si="10"/>
        <v>68</v>
      </c>
    </row>
    <row r="56" spans="1:30" x14ac:dyDescent="0.3">
      <c r="A56" t="s">
        <v>202</v>
      </c>
      <c r="B56" t="s">
        <v>203</v>
      </c>
      <c r="C56" t="s">
        <v>2151</v>
      </c>
      <c r="D56" t="s">
        <v>2202</v>
      </c>
      <c r="E56" t="str">
        <f t="shared" si="0"/>
        <v>Jennifer Mcintyre</v>
      </c>
      <c r="F56" t="str">
        <f t="shared" si="1"/>
        <v>Jennifer Mcintyre</v>
      </c>
      <c r="H56" t="s">
        <v>86</v>
      </c>
      <c r="I56" t="str">
        <f t="shared" si="2"/>
        <v>Female</v>
      </c>
      <c r="J56">
        <v>29</v>
      </c>
      <c r="K56">
        <f t="shared" si="11"/>
        <v>29</v>
      </c>
      <c r="L56" t="str">
        <f t="shared" si="3"/>
        <v>First level</v>
      </c>
      <c r="M56" t="s">
        <v>70</v>
      </c>
      <c r="N56" t="s">
        <v>71</v>
      </c>
      <c r="O56" t="s">
        <v>87</v>
      </c>
      <c r="P56">
        <v>11</v>
      </c>
      <c r="Q56">
        <f t="shared" si="4"/>
        <v>11</v>
      </c>
      <c r="R56" t="s">
        <v>18</v>
      </c>
      <c r="S56" s="8" t="s">
        <v>18</v>
      </c>
      <c r="T56" s="9">
        <v>100</v>
      </c>
      <c r="U56" s="9">
        <f t="shared" si="5"/>
        <v>100</v>
      </c>
      <c r="V56" s="10">
        <v>100</v>
      </c>
      <c r="W56">
        <v>2.2999999999999998</v>
      </c>
      <c r="X56" s="11">
        <f t="shared" si="6"/>
        <v>2.2999999999999998</v>
      </c>
      <c r="Y56" t="s">
        <v>2103</v>
      </c>
      <c r="Z56" t="str">
        <f t="shared" si="7"/>
        <v>Yes</v>
      </c>
      <c r="AA56" t="str">
        <f t="shared" si="8"/>
        <v>Yes</v>
      </c>
      <c r="AB56" t="str">
        <f t="shared" si="9"/>
        <v>Yes</v>
      </c>
      <c r="AC56" s="12">
        <v>72</v>
      </c>
      <c r="AD56" s="12">
        <f t="shared" si="10"/>
        <v>72</v>
      </c>
    </row>
    <row r="57" spans="1:30" x14ac:dyDescent="0.3">
      <c r="A57" t="s">
        <v>204</v>
      </c>
      <c r="B57" t="s">
        <v>205</v>
      </c>
      <c r="C57" t="s">
        <v>2203</v>
      </c>
      <c r="D57" t="s">
        <v>2204</v>
      </c>
      <c r="E57" t="str">
        <f t="shared" si="0"/>
        <v>Larry Simpson</v>
      </c>
      <c r="F57" t="str">
        <f t="shared" si="1"/>
        <v>Larry Simpson</v>
      </c>
      <c r="H57" t="s">
        <v>107</v>
      </c>
      <c r="I57" t="str">
        <f t="shared" si="2"/>
        <v>Male</v>
      </c>
      <c r="J57">
        <v>50</v>
      </c>
      <c r="K57">
        <f t="shared" si="11"/>
        <v>50</v>
      </c>
      <c r="L57" t="str">
        <f t="shared" si="3"/>
        <v>Third level</v>
      </c>
      <c r="M57" t="s">
        <v>75</v>
      </c>
      <c r="N57" t="s">
        <v>24</v>
      </c>
      <c r="O57" t="s">
        <v>49</v>
      </c>
      <c r="P57">
        <v>15</v>
      </c>
      <c r="Q57">
        <f t="shared" si="4"/>
        <v>15</v>
      </c>
      <c r="R57" t="s">
        <v>65</v>
      </c>
      <c r="S57" s="8" t="s">
        <v>65</v>
      </c>
      <c r="T57" s="9"/>
      <c r="U57" s="9">
        <f t="shared" si="5"/>
        <v>52.683352735739234</v>
      </c>
      <c r="V57" s="10">
        <v>52.683352735739234</v>
      </c>
      <c r="W57">
        <v>2</v>
      </c>
      <c r="X57" s="11">
        <f t="shared" si="6"/>
        <v>2</v>
      </c>
      <c r="Y57" t="s">
        <v>77</v>
      </c>
      <c r="Z57" t="str">
        <f t="shared" si="7"/>
        <v>yes</v>
      </c>
      <c r="AA57" t="str">
        <f t="shared" si="8"/>
        <v>yes</v>
      </c>
      <c r="AB57" t="str">
        <f t="shared" si="9"/>
        <v>Yes</v>
      </c>
      <c r="AC57" s="12">
        <v>65</v>
      </c>
      <c r="AD57" s="12">
        <f t="shared" si="10"/>
        <v>65</v>
      </c>
    </row>
    <row r="58" spans="1:30" x14ac:dyDescent="0.3">
      <c r="A58" t="s">
        <v>206</v>
      </c>
      <c r="B58" t="s">
        <v>207</v>
      </c>
      <c r="C58" t="s">
        <v>2137</v>
      </c>
      <c r="D58" t="s">
        <v>2205</v>
      </c>
      <c r="E58" t="str">
        <f t="shared" si="0"/>
        <v>Laura Price</v>
      </c>
      <c r="F58" t="str">
        <f t="shared" si="1"/>
        <v>Laura Price</v>
      </c>
      <c r="H58" t="s">
        <v>86</v>
      </c>
      <c r="I58" t="str">
        <f t="shared" si="2"/>
        <v>Female</v>
      </c>
      <c r="J58">
        <v>26</v>
      </c>
      <c r="K58">
        <f t="shared" si="11"/>
        <v>26</v>
      </c>
      <c r="L58" t="str">
        <f t="shared" si="3"/>
        <v>First level</v>
      </c>
      <c r="M58" t="s">
        <v>75</v>
      </c>
      <c r="N58" t="s">
        <v>24</v>
      </c>
      <c r="O58" t="s">
        <v>99</v>
      </c>
      <c r="P58">
        <v>8</v>
      </c>
      <c r="Q58">
        <f t="shared" si="4"/>
        <v>8</v>
      </c>
      <c r="R58" t="s">
        <v>34</v>
      </c>
      <c r="S58" s="8" t="s">
        <v>34</v>
      </c>
      <c r="T58" s="9">
        <v>50</v>
      </c>
      <c r="U58" s="9">
        <f t="shared" si="5"/>
        <v>50</v>
      </c>
      <c r="V58" s="10">
        <v>50</v>
      </c>
      <c r="W58">
        <v>1.3</v>
      </c>
      <c r="X58" s="11">
        <f t="shared" si="6"/>
        <v>1.3</v>
      </c>
      <c r="Y58" t="s">
        <v>2102</v>
      </c>
      <c r="Z58" t="str">
        <f t="shared" si="7"/>
        <v>No</v>
      </c>
      <c r="AA58" t="str">
        <f t="shared" si="8"/>
        <v>No</v>
      </c>
      <c r="AB58" t="str">
        <f t="shared" si="9"/>
        <v>No</v>
      </c>
      <c r="AC58" s="12">
        <v>76</v>
      </c>
      <c r="AD58" s="12">
        <f t="shared" si="10"/>
        <v>76</v>
      </c>
    </row>
    <row r="59" spans="1:30" x14ac:dyDescent="0.3">
      <c r="A59" t="s">
        <v>208</v>
      </c>
      <c r="B59" t="s">
        <v>209</v>
      </c>
      <c r="C59" t="s">
        <v>2206</v>
      </c>
      <c r="D59" t="s">
        <v>2207</v>
      </c>
      <c r="E59" t="str">
        <f t="shared" si="0"/>
        <v>Mark Wright</v>
      </c>
      <c r="F59" t="str">
        <f t="shared" si="1"/>
        <v>Mark Wright</v>
      </c>
      <c r="H59" t="s">
        <v>107</v>
      </c>
      <c r="I59" t="str">
        <f t="shared" si="2"/>
        <v>Male</v>
      </c>
      <c r="J59">
        <v>38</v>
      </c>
      <c r="K59">
        <f t="shared" si="11"/>
        <v>38</v>
      </c>
      <c r="L59" t="str">
        <f t="shared" si="3"/>
        <v>Second level</v>
      </c>
      <c r="M59" t="s">
        <v>138</v>
      </c>
      <c r="N59" t="s">
        <v>24</v>
      </c>
      <c r="O59" t="s">
        <v>49</v>
      </c>
      <c r="P59">
        <v>17</v>
      </c>
      <c r="Q59">
        <f t="shared" si="4"/>
        <v>17</v>
      </c>
      <c r="R59" t="s">
        <v>61</v>
      </c>
      <c r="S59" s="8" t="s">
        <v>2094</v>
      </c>
      <c r="T59" s="9">
        <v>40</v>
      </c>
      <c r="U59" s="9">
        <f t="shared" si="5"/>
        <v>40</v>
      </c>
      <c r="V59" s="10">
        <v>40</v>
      </c>
      <c r="W59">
        <v>4</v>
      </c>
      <c r="X59" s="11">
        <f t="shared" si="6"/>
        <v>4</v>
      </c>
      <c r="Y59" t="s">
        <v>2103</v>
      </c>
      <c r="Z59" t="str">
        <f t="shared" si="7"/>
        <v>Yes</v>
      </c>
      <c r="AA59" t="str">
        <f t="shared" si="8"/>
        <v>Yes</v>
      </c>
      <c r="AB59" t="str">
        <f t="shared" si="9"/>
        <v>Yes</v>
      </c>
      <c r="AC59" s="12">
        <v>90</v>
      </c>
      <c r="AD59" s="12">
        <f t="shared" si="10"/>
        <v>90</v>
      </c>
    </row>
    <row r="60" spans="1:30" x14ac:dyDescent="0.3">
      <c r="A60" t="s">
        <v>210</v>
      </c>
      <c r="B60" t="s">
        <v>211</v>
      </c>
      <c r="C60" t="s">
        <v>2187</v>
      </c>
      <c r="D60" t="s">
        <v>2208</v>
      </c>
      <c r="E60" t="str">
        <f t="shared" si="0"/>
        <v>Samantha Mcdaniel</v>
      </c>
      <c r="F60" t="str">
        <f t="shared" si="1"/>
        <v>Samantha Mcdaniel</v>
      </c>
      <c r="H60" t="s">
        <v>22</v>
      </c>
      <c r="I60" t="str">
        <f t="shared" si="2"/>
        <v>Female</v>
      </c>
      <c r="J60">
        <v>23</v>
      </c>
      <c r="K60">
        <f t="shared" si="11"/>
        <v>23</v>
      </c>
      <c r="L60" t="str">
        <f t="shared" si="3"/>
        <v>First level</v>
      </c>
      <c r="M60" t="s">
        <v>103</v>
      </c>
      <c r="N60" t="s">
        <v>104</v>
      </c>
      <c r="O60" t="s">
        <v>25</v>
      </c>
      <c r="Q60">
        <f t="shared" si="4"/>
        <v>3</v>
      </c>
      <c r="R60" t="s">
        <v>92</v>
      </c>
      <c r="S60" s="8" t="s">
        <v>92</v>
      </c>
      <c r="T60" s="9">
        <v>75</v>
      </c>
      <c r="U60" s="9">
        <f t="shared" si="5"/>
        <v>75</v>
      </c>
      <c r="V60" s="10">
        <v>75</v>
      </c>
      <c r="W60">
        <v>3.6</v>
      </c>
      <c r="X60" s="11">
        <f t="shared" si="6"/>
        <v>3.6</v>
      </c>
      <c r="Y60" t="s">
        <v>2103</v>
      </c>
      <c r="Z60" t="str">
        <f t="shared" si="7"/>
        <v>Yes</v>
      </c>
      <c r="AA60" t="str">
        <f t="shared" si="8"/>
        <v>Yes</v>
      </c>
      <c r="AB60" t="str">
        <f t="shared" si="9"/>
        <v>Yes</v>
      </c>
      <c r="AC60" s="12">
        <v>65</v>
      </c>
      <c r="AD60" s="12">
        <f t="shared" si="10"/>
        <v>65</v>
      </c>
    </row>
    <row r="61" spans="1:30" x14ac:dyDescent="0.3">
      <c r="A61" t="s">
        <v>212</v>
      </c>
      <c r="B61" t="s">
        <v>213</v>
      </c>
      <c r="C61" t="s">
        <v>2209</v>
      </c>
      <c r="D61" t="s">
        <v>2210</v>
      </c>
      <c r="E61" t="str">
        <f t="shared" si="0"/>
        <v>Barbara Foster</v>
      </c>
      <c r="F61" t="str">
        <f t="shared" si="1"/>
        <v>Barbara Foster</v>
      </c>
      <c r="H61" t="s">
        <v>86</v>
      </c>
      <c r="I61" t="str">
        <f t="shared" si="2"/>
        <v>Female</v>
      </c>
      <c r="J61">
        <v>51</v>
      </c>
      <c r="K61">
        <f t="shared" si="11"/>
        <v>51</v>
      </c>
      <c r="L61" t="str">
        <f t="shared" si="3"/>
        <v>Fourth level</v>
      </c>
      <c r="M61" t="s">
        <v>164</v>
      </c>
      <c r="N61" t="s">
        <v>165</v>
      </c>
      <c r="O61" t="s">
        <v>99</v>
      </c>
      <c r="P61">
        <v>28</v>
      </c>
      <c r="Q61">
        <f t="shared" si="4"/>
        <v>28</v>
      </c>
      <c r="R61" t="s">
        <v>76</v>
      </c>
      <c r="S61" s="8" t="s">
        <v>76</v>
      </c>
      <c r="T61" s="9">
        <v>40</v>
      </c>
      <c r="U61" s="9">
        <f t="shared" si="5"/>
        <v>40</v>
      </c>
      <c r="V61" s="10">
        <v>40</v>
      </c>
      <c r="W61">
        <v>3.9</v>
      </c>
      <c r="X61" s="11">
        <f t="shared" si="6"/>
        <v>3.9</v>
      </c>
      <c r="Y61" t="s">
        <v>2102</v>
      </c>
      <c r="Z61" t="str">
        <f t="shared" si="7"/>
        <v>No</v>
      </c>
      <c r="AA61" t="str">
        <f t="shared" si="8"/>
        <v>No</v>
      </c>
      <c r="AB61" t="str">
        <f t="shared" si="9"/>
        <v>No</v>
      </c>
      <c r="AC61" s="12">
        <v>63</v>
      </c>
      <c r="AD61" s="12">
        <f t="shared" si="10"/>
        <v>63</v>
      </c>
    </row>
    <row r="62" spans="1:30" x14ac:dyDescent="0.3">
      <c r="A62" t="s">
        <v>214</v>
      </c>
      <c r="B62" t="s">
        <v>215</v>
      </c>
      <c r="C62" t="s">
        <v>2211</v>
      </c>
      <c r="D62" t="s">
        <v>2212</v>
      </c>
      <c r="E62" t="str">
        <f t="shared" si="0"/>
        <v>Courtney Tran</v>
      </c>
      <c r="F62" t="str">
        <f t="shared" si="1"/>
        <v>Courtney Tran</v>
      </c>
      <c r="H62" t="s">
        <v>86</v>
      </c>
      <c r="I62" t="str">
        <f t="shared" si="2"/>
        <v>Female</v>
      </c>
      <c r="J62">
        <v>51</v>
      </c>
      <c r="K62">
        <f t="shared" si="11"/>
        <v>51</v>
      </c>
      <c r="L62" t="str">
        <f t="shared" si="3"/>
        <v>Fourth level</v>
      </c>
      <c r="M62" t="s">
        <v>55</v>
      </c>
      <c r="N62" t="s">
        <v>56</v>
      </c>
      <c r="O62" t="s">
        <v>49</v>
      </c>
      <c r="P62">
        <v>33</v>
      </c>
      <c r="Q62">
        <f t="shared" si="4"/>
        <v>33</v>
      </c>
      <c r="R62" t="s">
        <v>181</v>
      </c>
      <c r="S62" s="8" t="s">
        <v>181</v>
      </c>
      <c r="T62" s="9">
        <v>75</v>
      </c>
      <c r="U62" s="9">
        <f t="shared" si="5"/>
        <v>75</v>
      </c>
      <c r="V62" s="10">
        <v>75</v>
      </c>
      <c r="W62">
        <v>0</v>
      </c>
      <c r="X62" s="11">
        <f t="shared" si="6"/>
        <v>0</v>
      </c>
      <c r="Y62" t="s">
        <v>2103</v>
      </c>
      <c r="Z62" t="str">
        <f t="shared" si="7"/>
        <v>Yes</v>
      </c>
      <c r="AA62" t="str">
        <f t="shared" si="8"/>
        <v>Yes</v>
      </c>
      <c r="AB62" t="str">
        <f t="shared" si="9"/>
        <v>Yes</v>
      </c>
      <c r="AC62" s="12"/>
      <c r="AD62" s="12">
        <f t="shared" si="10"/>
        <v>79.423969072164951</v>
      </c>
    </row>
    <row r="63" spans="1:30" x14ac:dyDescent="0.3">
      <c r="A63" t="s">
        <v>216</v>
      </c>
      <c r="B63" t="s">
        <v>217</v>
      </c>
      <c r="C63" t="s">
        <v>2213</v>
      </c>
      <c r="D63" t="s">
        <v>2214</v>
      </c>
      <c r="E63" t="str">
        <f t="shared" si="0"/>
        <v>Eddie Todd</v>
      </c>
      <c r="F63" t="str">
        <f t="shared" si="1"/>
        <v>Eddie Todd</v>
      </c>
      <c r="H63" t="s">
        <v>107</v>
      </c>
      <c r="I63" t="str">
        <f t="shared" si="2"/>
        <v>Male</v>
      </c>
      <c r="J63">
        <v>47</v>
      </c>
      <c r="K63">
        <f t="shared" si="11"/>
        <v>47</v>
      </c>
      <c r="L63" t="str">
        <f t="shared" si="3"/>
        <v>Third level</v>
      </c>
      <c r="M63" t="s">
        <v>31</v>
      </c>
      <c r="N63" t="s">
        <v>32</v>
      </c>
      <c r="O63" t="s">
        <v>49</v>
      </c>
      <c r="P63">
        <v>18</v>
      </c>
      <c r="Q63">
        <f t="shared" si="4"/>
        <v>18</v>
      </c>
      <c r="R63" t="s">
        <v>92</v>
      </c>
      <c r="S63" s="8" t="s">
        <v>92</v>
      </c>
      <c r="T63" s="9">
        <v>75</v>
      </c>
      <c r="U63" s="9">
        <f t="shared" si="5"/>
        <v>75</v>
      </c>
      <c r="V63" s="10">
        <v>75</v>
      </c>
      <c r="W63">
        <v>0</v>
      </c>
      <c r="X63" s="11">
        <f t="shared" si="6"/>
        <v>0</v>
      </c>
      <c r="Y63" t="s">
        <v>2102</v>
      </c>
      <c r="Z63" t="str">
        <f t="shared" si="7"/>
        <v>No</v>
      </c>
      <c r="AA63" t="str">
        <f t="shared" si="8"/>
        <v>No</v>
      </c>
      <c r="AB63" t="str">
        <f t="shared" si="9"/>
        <v>No</v>
      </c>
      <c r="AC63" s="12"/>
      <c r="AD63" s="12">
        <f t="shared" si="10"/>
        <v>79.423969072164951</v>
      </c>
    </row>
    <row r="64" spans="1:30" x14ac:dyDescent="0.3">
      <c r="A64" t="s">
        <v>218</v>
      </c>
      <c r="B64" t="s">
        <v>219</v>
      </c>
      <c r="C64" t="s">
        <v>2215</v>
      </c>
      <c r="D64" t="s">
        <v>2117</v>
      </c>
      <c r="E64" t="str">
        <f t="shared" si="0"/>
        <v>Christine Johnson</v>
      </c>
      <c r="F64" t="str">
        <f t="shared" si="1"/>
        <v>Christine Johnson</v>
      </c>
      <c r="H64" t="s">
        <v>86</v>
      </c>
      <c r="I64" t="str">
        <f t="shared" si="2"/>
        <v>Female</v>
      </c>
      <c r="J64">
        <v>34</v>
      </c>
      <c r="K64">
        <f t="shared" si="11"/>
        <v>34</v>
      </c>
      <c r="L64" t="str">
        <f t="shared" si="3"/>
        <v>Second level</v>
      </c>
      <c r="M64" t="s">
        <v>134</v>
      </c>
      <c r="N64" t="s">
        <v>135</v>
      </c>
      <c r="O64" t="s">
        <v>82</v>
      </c>
      <c r="P64">
        <v>16</v>
      </c>
      <c r="Q64">
        <f t="shared" si="4"/>
        <v>16</v>
      </c>
      <c r="R64" t="s">
        <v>131</v>
      </c>
      <c r="S64" s="8" t="s">
        <v>131</v>
      </c>
      <c r="T64" s="9">
        <v>20</v>
      </c>
      <c r="U64" s="9">
        <f t="shared" si="5"/>
        <v>20</v>
      </c>
      <c r="V64" s="10">
        <v>20</v>
      </c>
      <c r="W64">
        <v>2.2999999999999998</v>
      </c>
      <c r="X64" s="11">
        <f t="shared" si="6"/>
        <v>2.2999999999999998</v>
      </c>
      <c r="Y64" t="s">
        <v>77</v>
      </c>
      <c r="Z64" t="str">
        <f t="shared" si="7"/>
        <v>yes</v>
      </c>
      <c r="AA64" t="str">
        <f t="shared" si="8"/>
        <v>yes</v>
      </c>
      <c r="AB64" t="str">
        <f t="shared" si="9"/>
        <v>Yes</v>
      </c>
      <c r="AC64" s="12">
        <v>93</v>
      </c>
      <c r="AD64" s="12">
        <f t="shared" si="10"/>
        <v>93</v>
      </c>
    </row>
    <row r="65" spans="1:30" x14ac:dyDescent="0.3">
      <c r="A65" t="s">
        <v>220</v>
      </c>
      <c r="B65" t="s">
        <v>221</v>
      </c>
      <c r="C65" t="s">
        <v>2216</v>
      </c>
      <c r="D65" t="s">
        <v>2217</v>
      </c>
      <c r="E65" t="str">
        <f t="shared" si="0"/>
        <v>Leah Phelps</v>
      </c>
      <c r="F65" t="str">
        <f t="shared" si="1"/>
        <v>Leah Phelps</v>
      </c>
      <c r="H65" t="s">
        <v>86</v>
      </c>
      <c r="I65" t="str">
        <f t="shared" si="2"/>
        <v>Female</v>
      </c>
      <c r="J65">
        <v>58</v>
      </c>
      <c r="K65">
        <f t="shared" si="11"/>
        <v>58</v>
      </c>
      <c r="L65" t="str">
        <f t="shared" si="3"/>
        <v>Fourth level</v>
      </c>
      <c r="M65" t="s">
        <v>55</v>
      </c>
      <c r="N65" t="s">
        <v>56</v>
      </c>
      <c r="O65" t="s">
        <v>57</v>
      </c>
      <c r="P65">
        <v>35</v>
      </c>
      <c r="Q65">
        <f t="shared" si="4"/>
        <v>35</v>
      </c>
      <c r="R65" t="s">
        <v>108</v>
      </c>
      <c r="S65" s="8" t="s">
        <v>2095</v>
      </c>
      <c r="T65" s="9">
        <v>50</v>
      </c>
      <c r="U65" s="9">
        <f t="shared" si="5"/>
        <v>50</v>
      </c>
      <c r="V65" s="10">
        <v>50</v>
      </c>
      <c r="W65">
        <v>4.7</v>
      </c>
      <c r="X65" s="11">
        <f t="shared" si="6"/>
        <v>4.7</v>
      </c>
      <c r="Y65" t="s">
        <v>170</v>
      </c>
      <c r="Z65" t="str">
        <f t="shared" si="7"/>
        <v>no</v>
      </c>
      <c r="AA65" t="str">
        <f t="shared" si="8"/>
        <v>no</v>
      </c>
      <c r="AB65" t="str">
        <f t="shared" si="9"/>
        <v>No</v>
      </c>
      <c r="AC65" s="12">
        <v>70</v>
      </c>
      <c r="AD65" s="12">
        <f t="shared" si="10"/>
        <v>70</v>
      </c>
    </row>
    <row r="66" spans="1:30" x14ac:dyDescent="0.3">
      <c r="A66" t="s">
        <v>222</v>
      </c>
      <c r="B66" t="s">
        <v>223</v>
      </c>
      <c r="C66" t="s">
        <v>2218</v>
      </c>
      <c r="D66" t="s">
        <v>2181</v>
      </c>
      <c r="E66" t="str">
        <f t="shared" si="0"/>
        <v>Rebekah Williams</v>
      </c>
      <c r="F66" t="str">
        <f t="shared" si="1"/>
        <v>Rebekah Williams</v>
      </c>
      <c r="H66" t="s">
        <v>86</v>
      </c>
      <c r="I66" t="str">
        <f t="shared" si="2"/>
        <v>Female</v>
      </c>
      <c r="J66">
        <v>50</v>
      </c>
      <c r="K66">
        <f t="shared" si="11"/>
        <v>50</v>
      </c>
      <c r="L66" t="str">
        <f t="shared" si="3"/>
        <v>Third level</v>
      </c>
      <c r="M66" t="s">
        <v>134</v>
      </c>
      <c r="N66" t="s">
        <v>135</v>
      </c>
      <c r="O66" t="s">
        <v>49</v>
      </c>
      <c r="P66">
        <v>14</v>
      </c>
      <c r="Q66">
        <f t="shared" si="4"/>
        <v>14</v>
      </c>
      <c r="R66" t="s">
        <v>65</v>
      </c>
      <c r="S66" s="8" t="s">
        <v>65</v>
      </c>
      <c r="T66" s="9"/>
      <c r="U66" s="9">
        <f t="shared" si="5"/>
        <v>52.620446533490011</v>
      </c>
      <c r="V66" s="10">
        <v>52.620446533490011</v>
      </c>
      <c r="W66">
        <v>3.5</v>
      </c>
      <c r="X66" s="11">
        <f t="shared" si="6"/>
        <v>3.5</v>
      </c>
      <c r="Y66" t="s">
        <v>2103</v>
      </c>
      <c r="Z66" t="str">
        <f t="shared" si="7"/>
        <v>Yes</v>
      </c>
      <c r="AA66" t="str">
        <f t="shared" si="8"/>
        <v>Yes</v>
      </c>
      <c r="AB66" t="str">
        <f t="shared" si="9"/>
        <v>Yes</v>
      </c>
      <c r="AC66" s="12">
        <v>83</v>
      </c>
      <c r="AD66" s="12">
        <f t="shared" si="10"/>
        <v>83</v>
      </c>
    </row>
    <row r="67" spans="1:30" x14ac:dyDescent="0.3">
      <c r="A67" t="s">
        <v>224</v>
      </c>
      <c r="B67" t="s">
        <v>225</v>
      </c>
      <c r="C67" t="s">
        <v>2219</v>
      </c>
      <c r="D67" t="s">
        <v>2220</v>
      </c>
      <c r="E67" t="str">
        <f t="shared" ref="E67:E130" si="12">CONCATENATE(C67," ",D67)</f>
        <v>Crystal Wilson</v>
      </c>
      <c r="F67" t="str">
        <f t="shared" ref="F67:F130" si="13">PROPER(E67)</f>
        <v>Crystal Wilson</v>
      </c>
      <c r="H67" t="s">
        <v>22</v>
      </c>
      <c r="I67" t="str">
        <f t="shared" ref="I67:I130" si="14">PROPER(H67)</f>
        <v>Female</v>
      </c>
      <c r="J67">
        <v>34</v>
      </c>
      <c r="K67">
        <f t="shared" ref="K67:K130" si="15">IF(ISBLANK(J67),ROUND(AVERAGEIF($I$2:$I$1001,I67,$J$2:$J$1001),0),J67)</f>
        <v>34</v>
      </c>
      <c r="L67" t="str">
        <f t="shared" ref="L67:L130" si="16">IF(AND(K67&gt;=20,K67&lt;=30),"First level",IF(AND(K67&gt;30,K67&lt;=40),"Second level",IF(AND(K67&gt;40,K67&lt;=50),"Third level",IF(H74&gt;50,"Fourth level"))))</f>
        <v>Second level</v>
      </c>
      <c r="M67" t="s">
        <v>201</v>
      </c>
      <c r="N67" t="s">
        <v>81</v>
      </c>
      <c r="O67" t="s">
        <v>39</v>
      </c>
      <c r="P67">
        <v>12</v>
      </c>
      <c r="Q67">
        <f t="shared" ref="Q67:Q130" si="17">IF(ISBLANK(P67),ROUND(AVERAGEIF($L$2:$L$1001,L67,$P$2:$P$1001),0),P67)</f>
        <v>12</v>
      </c>
      <c r="R67" t="s">
        <v>76</v>
      </c>
      <c r="S67" s="8" t="s">
        <v>76</v>
      </c>
      <c r="T67" s="9">
        <v>40</v>
      </c>
      <c r="U67" s="9">
        <f t="shared" ref="U67:U130" si="18">IF(ISBLANK(T67),AVERAGE(T66:T1066),T67)</f>
        <v>40</v>
      </c>
      <c r="V67" s="10">
        <v>40</v>
      </c>
      <c r="W67">
        <v>2.4</v>
      </c>
      <c r="X67" s="11">
        <f t="shared" ref="X67:X130" si="19">IF(ISBLANK(W67),AVERAGE(W67:W1066),W67)</f>
        <v>2.4</v>
      </c>
      <c r="Y67" t="s">
        <v>2103</v>
      </c>
      <c r="Z67" t="str">
        <f t="shared" ref="Z67:Z82" si="20">CLEAN(TRIM(Y67))</f>
        <v>Yes</v>
      </c>
      <c r="AA67" t="str">
        <f t="shared" ref="AA67:AA130" si="21">IF(ISBLANK(Z67),"Unknown",Z67)</f>
        <v>Yes</v>
      </c>
      <c r="AB67" t="str">
        <f t="shared" ref="AB67:AB130" si="22">PROPER(AA67)</f>
        <v>Yes</v>
      </c>
      <c r="AC67" s="12">
        <v>64</v>
      </c>
      <c r="AD67" s="12">
        <f t="shared" ref="AD67:AD130" si="23">IF(ISBLANK(AC67),AVERAGE(AC67:AC1066),AC67)</f>
        <v>64</v>
      </c>
    </row>
    <row r="68" spans="1:30" x14ac:dyDescent="0.3">
      <c r="A68" t="s">
        <v>226</v>
      </c>
      <c r="B68" t="s">
        <v>227</v>
      </c>
      <c r="C68" t="s">
        <v>2221</v>
      </c>
      <c r="D68" t="s">
        <v>2222</v>
      </c>
      <c r="E68" t="str">
        <f t="shared" si="12"/>
        <v>Ashley Cordova</v>
      </c>
      <c r="F68" t="str">
        <f t="shared" si="13"/>
        <v>Ashley Cordova</v>
      </c>
      <c r="H68" t="s">
        <v>86</v>
      </c>
      <c r="I68" t="str">
        <f t="shared" si="14"/>
        <v>Female</v>
      </c>
      <c r="J68">
        <v>45</v>
      </c>
      <c r="K68">
        <f t="shared" si="15"/>
        <v>45</v>
      </c>
      <c r="L68" t="str">
        <f t="shared" si="16"/>
        <v>Third level</v>
      </c>
      <c r="M68" t="s">
        <v>117</v>
      </c>
      <c r="N68" t="s">
        <v>118</v>
      </c>
      <c r="O68" t="s">
        <v>49</v>
      </c>
      <c r="P68">
        <v>11</v>
      </c>
      <c r="Q68">
        <f t="shared" si="17"/>
        <v>11</v>
      </c>
      <c r="R68" t="s">
        <v>58</v>
      </c>
      <c r="S68" s="8" t="s">
        <v>2093</v>
      </c>
      <c r="T68" s="9">
        <v>75</v>
      </c>
      <c r="U68" s="9">
        <f t="shared" si="18"/>
        <v>75</v>
      </c>
      <c r="V68" s="10">
        <v>75</v>
      </c>
      <c r="W68">
        <v>4</v>
      </c>
      <c r="X68" s="11">
        <f t="shared" si="19"/>
        <v>4</v>
      </c>
      <c r="Y68" t="s">
        <v>2102</v>
      </c>
      <c r="Z68" t="str">
        <f t="shared" si="20"/>
        <v>No</v>
      </c>
      <c r="AA68" t="str">
        <f t="shared" si="21"/>
        <v>No</v>
      </c>
      <c r="AB68" t="str">
        <f t="shared" si="22"/>
        <v>No</v>
      </c>
      <c r="AC68" s="12">
        <v>100</v>
      </c>
      <c r="AD68" s="12">
        <f t="shared" si="23"/>
        <v>100</v>
      </c>
    </row>
    <row r="69" spans="1:30" x14ac:dyDescent="0.3">
      <c r="A69" t="s">
        <v>228</v>
      </c>
      <c r="B69" t="s">
        <v>229</v>
      </c>
      <c r="C69" t="s">
        <v>2223</v>
      </c>
      <c r="D69" t="s">
        <v>2224</v>
      </c>
      <c r="E69" t="str">
        <f t="shared" si="12"/>
        <v>Vicki Kelly</v>
      </c>
      <c r="F69" t="str">
        <f t="shared" si="13"/>
        <v>Vicki Kelly</v>
      </c>
      <c r="H69" t="s">
        <v>22</v>
      </c>
      <c r="I69" t="str">
        <f t="shared" si="14"/>
        <v>Female</v>
      </c>
      <c r="J69">
        <v>55</v>
      </c>
      <c r="K69">
        <f t="shared" si="15"/>
        <v>55</v>
      </c>
      <c r="L69" t="str">
        <f t="shared" si="16"/>
        <v>Fourth level</v>
      </c>
      <c r="M69" t="s">
        <v>117</v>
      </c>
      <c r="N69" t="s">
        <v>118</v>
      </c>
      <c r="O69" t="s">
        <v>39</v>
      </c>
      <c r="P69">
        <v>0</v>
      </c>
      <c r="Q69">
        <f t="shared" si="17"/>
        <v>0</v>
      </c>
      <c r="R69" t="s">
        <v>40</v>
      </c>
      <c r="S69" s="8" t="s">
        <v>40</v>
      </c>
      <c r="T69" s="9">
        <v>40</v>
      </c>
      <c r="U69" s="9">
        <f t="shared" si="18"/>
        <v>40</v>
      </c>
      <c r="V69" s="10">
        <v>40</v>
      </c>
      <c r="W69">
        <v>0</v>
      </c>
      <c r="X69" s="11">
        <f t="shared" si="19"/>
        <v>0</v>
      </c>
      <c r="Y69" t="s">
        <v>2103</v>
      </c>
      <c r="Z69" t="str">
        <f t="shared" si="20"/>
        <v>Yes</v>
      </c>
      <c r="AA69" t="str">
        <f t="shared" si="21"/>
        <v>Yes</v>
      </c>
      <c r="AB69" t="str">
        <f t="shared" si="22"/>
        <v>Yes</v>
      </c>
      <c r="AC69" s="12"/>
      <c r="AD69" s="12">
        <f t="shared" si="23"/>
        <v>79.407263294422833</v>
      </c>
    </row>
    <row r="70" spans="1:30" x14ac:dyDescent="0.3">
      <c r="A70" t="s">
        <v>230</v>
      </c>
      <c r="B70" t="s">
        <v>231</v>
      </c>
      <c r="C70" t="s">
        <v>2225</v>
      </c>
      <c r="D70" t="s">
        <v>2226</v>
      </c>
      <c r="E70" t="str">
        <f t="shared" si="12"/>
        <v>Corey Warren</v>
      </c>
      <c r="F70" t="str">
        <f t="shared" si="13"/>
        <v>Corey Warren</v>
      </c>
      <c r="H70" t="s">
        <v>107</v>
      </c>
      <c r="I70" t="str">
        <f t="shared" si="14"/>
        <v>Male</v>
      </c>
      <c r="K70">
        <f t="shared" si="15"/>
        <v>41</v>
      </c>
      <c r="L70" t="str">
        <f t="shared" si="16"/>
        <v>Third level</v>
      </c>
      <c r="M70" t="s">
        <v>80</v>
      </c>
      <c r="N70" t="s">
        <v>81</v>
      </c>
      <c r="O70" t="s">
        <v>82</v>
      </c>
      <c r="P70">
        <v>6</v>
      </c>
      <c r="Q70">
        <f t="shared" si="17"/>
        <v>6</v>
      </c>
      <c r="R70" t="s">
        <v>18</v>
      </c>
      <c r="S70" s="8" t="s">
        <v>18</v>
      </c>
      <c r="T70" s="9">
        <v>100</v>
      </c>
      <c r="U70" s="9">
        <f t="shared" si="18"/>
        <v>100</v>
      </c>
      <c r="V70" s="10">
        <v>100</v>
      </c>
      <c r="W70">
        <v>1.5</v>
      </c>
      <c r="X70" s="11">
        <f t="shared" si="19"/>
        <v>1.5</v>
      </c>
      <c r="Y70" t="s">
        <v>2102</v>
      </c>
      <c r="Z70" t="str">
        <f t="shared" si="20"/>
        <v>No</v>
      </c>
      <c r="AA70" t="str">
        <f t="shared" si="21"/>
        <v>No</v>
      </c>
      <c r="AB70" t="str">
        <f t="shared" si="22"/>
        <v>No</v>
      </c>
      <c r="AC70" s="12"/>
      <c r="AD70" s="12">
        <f t="shared" si="23"/>
        <v>79.407263294422833</v>
      </c>
    </row>
    <row r="71" spans="1:30" x14ac:dyDescent="0.3">
      <c r="A71" t="s">
        <v>232</v>
      </c>
      <c r="B71" t="s">
        <v>233</v>
      </c>
      <c r="C71" t="s">
        <v>2227</v>
      </c>
      <c r="D71" t="s">
        <v>2228</v>
      </c>
      <c r="E71" t="str">
        <f t="shared" si="12"/>
        <v>Gina Thompson</v>
      </c>
      <c r="F71" t="str">
        <f t="shared" si="13"/>
        <v>Gina Thompson</v>
      </c>
      <c r="H71" t="s">
        <v>22</v>
      </c>
      <c r="I71" t="str">
        <f t="shared" si="14"/>
        <v>Female</v>
      </c>
      <c r="J71">
        <v>60</v>
      </c>
      <c r="K71">
        <f t="shared" si="15"/>
        <v>60</v>
      </c>
      <c r="L71" t="str">
        <f t="shared" si="16"/>
        <v>Fourth level</v>
      </c>
      <c r="M71" t="s">
        <v>186</v>
      </c>
      <c r="N71" t="s">
        <v>187</v>
      </c>
      <c r="O71" t="s">
        <v>82</v>
      </c>
      <c r="P71">
        <v>38</v>
      </c>
      <c r="Q71">
        <f t="shared" si="17"/>
        <v>38</v>
      </c>
      <c r="R71" t="s">
        <v>131</v>
      </c>
      <c r="S71" s="8" t="s">
        <v>131</v>
      </c>
      <c r="T71" s="9">
        <v>20</v>
      </c>
      <c r="U71" s="9">
        <f t="shared" si="18"/>
        <v>20</v>
      </c>
      <c r="V71" s="10">
        <v>20</v>
      </c>
      <c r="W71">
        <v>2</v>
      </c>
      <c r="X71" s="11">
        <f t="shared" si="19"/>
        <v>2</v>
      </c>
      <c r="Y71" t="s">
        <v>170</v>
      </c>
      <c r="Z71" t="str">
        <f t="shared" si="20"/>
        <v>no</v>
      </c>
      <c r="AA71" t="str">
        <f t="shared" si="21"/>
        <v>no</v>
      </c>
      <c r="AB71" t="str">
        <f t="shared" si="22"/>
        <v>No</v>
      </c>
      <c r="AC71" s="12">
        <v>71</v>
      </c>
      <c r="AD71" s="12">
        <f t="shared" si="23"/>
        <v>71</v>
      </c>
    </row>
    <row r="72" spans="1:30" x14ac:dyDescent="0.3">
      <c r="A72" t="s">
        <v>234</v>
      </c>
      <c r="B72" t="s">
        <v>235</v>
      </c>
      <c r="C72" t="s">
        <v>2229</v>
      </c>
      <c r="D72" t="s">
        <v>2230</v>
      </c>
      <c r="E72" t="str">
        <f t="shared" si="12"/>
        <v>Yvonne Berg</v>
      </c>
      <c r="F72" t="str">
        <f t="shared" si="13"/>
        <v>Yvonne Berg</v>
      </c>
      <c r="H72" t="s">
        <v>86</v>
      </c>
      <c r="I72" t="str">
        <f t="shared" si="14"/>
        <v>Female</v>
      </c>
      <c r="J72">
        <v>33</v>
      </c>
      <c r="K72">
        <f t="shared" si="15"/>
        <v>33</v>
      </c>
      <c r="L72" t="str">
        <f t="shared" si="16"/>
        <v>Second level</v>
      </c>
      <c r="M72" t="s">
        <v>164</v>
      </c>
      <c r="N72" t="s">
        <v>165</v>
      </c>
      <c r="O72" t="s">
        <v>25</v>
      </c>
      <c r="P72">
        <v>11</v>
      </c>
      <c r="Q72">
        <f t="shared" si="17"/>
        <v>11</v>
      </c>
      <c r="R72" t="s">
        <v>65</v>
      </c>
      <c r="S72" s="8" t="s">
        <v>65</v>
      </c>
      <c r="T72" s="9"/>
      <c r="U72" s="9">
        <f t="shared" si="18"/>
        <v>52.570921985815602</v>
      </c>
      <c r="V72" s="10">
        <v>52.570921985815602</v>
      </c>
      <c r="X72" s="11">
        <f t="shared" si="19"/>
        <v>2.525988023952094</v>
      </c>
      <c r="Y72" t="s">
        <v>77</v>
      </c>
      <c r="Z72" t="str">
        <f t="shared" si="20"/>
        <v>yes</v>
      </c>
      <c r="AA72" t="str">
        <f t="shared" si="21"/>
        <v>yes</v>
      </c>
      <c r="AB72" t="str">
        <f t="shared" si="22"/>
        <v>Yes</v>
      </c>
      <c r="AC72" s="12">
        <v>84</v>
      </c>
      <c r="AD72" s="12">
        <f t="shared" si="23"/>
        <v>84</v>
      </c>
    </row>
    <row r="73" spans="1:30" x14ac:dyDescent="0.3">
      <c r="A73" t="s">
        <v>236</v>
      </c>
      <c r="B73" t="s">
        <v>237</v>
      </c>
      <c r="C73" t="s">
        <v>2231</v>
      </c>
      <c r="D73" t="s">
        <v>2232</v>
      </c>
      <c r="E73" t="str">
        <f t="shared" si="12"/>
        <v>Thomas Miller</v>
      </c>
      <c r="F73" t="str">
        <f t="shared" si="13"/>
        <v>Thomas Miller</v>
      </c>
      <c r="H73" t="s">
        <v>107</v>
      </c>
      <c r="I73" t="str">
        <f t="shared" si="14"/>
        <v>Male</v>
      </c>
      <c r="J73">
        <v>60</v>
      </c>
      <c r="K73">
        <f t="shared" si="15"/>
        <v>60</v>
      </c>
      <c r="L73" t="str">
        <f t="shared" si="16"/>
        <v>Fourth level</v>
      </c>
      <c r="M73" t="s">
        <v>15</v>
      </c>
      <c r="N73" t="s">
        <v>16</v>
      </c>
      <c r="O73" t="s">
        <v>99</v>
      </c>
      <c r="P73">
        <v>13</v>
      </c>
      <c r="Q73">
        <f t="shared" si="17"/>
        <v>13</v>
      </c>
      <c r="R73" t="s">
        <v>108</v>
      </c>
      <c r="S73" s="8" t="s">
        <v>2095</v>
      </c>
      <c r="T73" s="9">
        <v>50</v>
      </c>
      <c r="U73" s="9">
        <f t="shared" si="18"/>
        <v>50</v>
      </c>
      <c r="V73" s="10">
        <v>50</v>
      </c>
      <c r="W73">
        <v>1</v>
      </c>
      <c r="X73" s="11">
        <f t="shared" si="19"/>
        <v>1</v>
      </c>
      <c r="Y73" t="s">
        <v>2102</v>
      </c>
      <c r="Z73" t="str">
        <f t="shared" si="20"/>
        <v>No</v>
      </c>
      <c r="AA73" t="str">
        <f t="shared" si="21"/>
        <v>No</v>
      </c>
      <c r="AB73" t="str">
        <f t="shared" si="22"/>
        <v>No</v>
      </c>
      <c r="AC73" s="12"/>
      <c r="AD73" s="12">
        <f t="shared" si="23"/>
        <v>79.412223667100136</v>
      </c>
    </row>
    <row r="74" spans="1:30" x14ac:dyDescent="0.3">
      <c r="A74" t="s">
        <v>238</v>
      </c>
      <c r="B74" t="s">
        <v>239</v>
      </c>
      <c r="C74" t="s">
        <v>2233</v>
      </c>
      <c r="D74" t="s">
        <v>2234</v>
      </c>
      <c r="E74" t="str">
        <f t="shared" si="12"/>
        <v>Nicholas Burton</v>
      </c>
      <c r="F74" t="str">
        <f t="shared" si="13"/>
        <v>Nicholas Burton</v>
      </c>
      <c r="H74" t="s">
        <v>69</v>
      </c>
      <c r="I74" t="str">
        <f t="shared" si="14"/>
        <v>Male</v>
      </c>
      <c r="J74">
        <v>40</v>
      </c>
      <c r="K74">
        <f t="shared" si="15"/>
        <v>40</v>
      </c>
      <c r="L74" t="str">
        <f t="shared" si="16"/>
        <v>Second level</v>
      </c>
      <c r="M74" t="s">
        <v>64</v>
      </c>
      <c r="N74" t="s">
        <v>24</v>
      </c>
      <c r="O74" t="s">
        <v>39</v>
      </c>
      <c r="P74">
        <v>9</v>
      </c>
      <c r="Q74">
        <f t="shared" si="17"/>
        <v>9</v>
      </c>
      <c r="R74" t="s">
        <v>240</v>
      </c>
      <c r="S74" s="8" t="s">
        <v>18</v>
      </c>
      <c r="T74" s="9">
        <v>100</v>
      </c>
      <c r="U74" s="9">
        <f t="shared" si="18"/>
        <v>100</v>
      </c>
      <c r="V74" s="10">
        <v>100</v>
      </c>
      <c r="W74">
        <v>4.5</v>
      </c>
      <c r="X74" s="11">
        <f t="shared" si="19"/>
        <v>4.5</v>
      </c>
      <c r="Y74" t="s">
        <v>77</v>
      </c>
      <c r="Z74" t="str">
        <f t="shared" si="20"/>
        <v>yes</v>
      </c>
      <c r="AA74" t="str">
        <f t="shared" si="21"/>
        <v>yes</v>
      </c>
      <c r="AB74" t="str">
        <f t="shared" si="22"/>
        <v>Yes</v>
      </c>
      <c r="AC74" s="12">
        <v>69</v>
      </c>
      <c r="AD74" s="12">
        <f t="shared" si="23"/>
        <v>69</v>
      </c>
    </row>
    <row r="75" spans="1:30" x14ac:dyDescent="0.3">
      <c r="A75" t="s">
        <v>241</v>
      </c>
      <c r="B75" t="s">
        <v>242</v>
      </c>
      <c r="C75" t="s">
        <v>2235</v>
      </c>
      <c r="D75" t="s">
        <v>2236</v>
      </c>
      <c r="E75" t="str">
        <f t="shared" si="12"/>
        <v>Jorge Riley</v>
      </c>
      <c r="F75" t="str">
        <f t="shared" si="13"/>
        <v>Jorge Riley</v>
      </c>
      <c r="H75" t="s">
        <v>107</v>
      </c>
      <c r="I75" t="str">
        <f t="shared" si="14"/>
        <v>Male</v>
      </c>
      <c r="J75">
        <v>59</v>
      </c>
      <c r="K75">
        <f t="shared" si="15"/>
        <v>59</v>
      </c>
      <c r="L75" t="str">
        <f t="shared" si="16"/>
        <v>Fourth level</v>
      </c>
      <c r="M75" t="s">
        <v>23</v>
      </c>
      <c r="N75" t="s">
        <v>24</v>
      </c>
      <c r="O75" t="s">
        <v>17</v>
      </c>
      <c r="P75">
        <v>4</v>
      </c>
      <c r="Q75">
        <f t="shared" si="17"/>
        <v>4</v>
      </c>
      <c r="R75" t="s">
        <v>65</v>
      </c>
      <c r="S75" s="8" t="s">
        <v>65</v>
      </c>
      <c r="T75" s="9"/>
      <c r="U75" s="9">
        <f t="shared" si="18"/>
        <v>52.612559241706158</v>
      </c>
      <c r="V75" s="10">
        <v>52.612559241706158</v>
      </c>
      <c r="W75">
        <v>1.9</v>
      </c>
      <c r="X75" s="11">
        <f t="shared" si="19"/>
        <v>1.9</v>
      </c>
      <c r="Y75" t="s">
        <v>2102</v>
      </c>
      <c r="Z75" t="str">
        <f t="shared" si="20"/>
        <v>No</v>
      </c>
      <c r="AA75" t="str">
        <f t="shared" si="21"/>
        <v>No</v>
      </c>
      <c r="AB75" t="str">
        <f t="shared" si="22"/>
        <v>No</v>
      </c>
      <c r="AC75" s="12">
        <v>88</v>
      </c>
      <c r="AD75" s="12">
        <f t="shared" si="23"/>
        <v>88</v>
      </c>
    </row>
    <row r="76" spans="1:30" x14ac:dyDescent="0.3">
      <c r="A76" t="s">
        <v>243</v>
      </c>
      <c r="B76" t="s">
        <v>244</v>
      </c>
      <c r="C76" t="s">
        <v>2237</v>
      </c>
      <c r="D76" t="s">
        <v>2238</v>
      </c>
      <c r="E76" t="str">
        <f t="shared" si="12"/>
        <v>Melvin Harris</v>
      </c>
      <c r="F76" t="str">
        <f t="shared" si="13"/>
        <v>Melvin Harris</v>
      </c>
      <c r="H76" t="s">
        <v>107</v>
      </c>
      <c r="I76" t="str">
        <f t="shared" si="14"/>
        <v>Male</v>
      </c>
      <c r="J76">
        <v>36</v>
      </c>
      <c r="K76">
        <f t="shared" si="15"/>
        <v>36</v>
      </c>
      <c r="L76" t="str">
        <f t="shared" si="16"/>
        <v>Second level</v>
      </c>
      <c r="M76" t="s">
        <v>15</v>
      </c>
      <c r="N76" t="s">
        <v>16</v>
      </c>
      <c r="O76" t="s">
        <v>124</v>
      </c>
      <c r="P76">
        <v>14</v>
      </c>
      <c r="Q76">
        <f t="shared" si="17"/>
        <v>14</v>
      </c>
      <c r="R76" t="s">
        <v>240</v>
      </c>
      <c r="S76" s="8" t="s">
        <v>18</v>
      </c>
      <c r="T76" s="9">
        <v>100</v>
      </c>
      <c r="U76" s="9">
        <f t="shared" si="18"/>
        <v>100</v>
      </c>
      <c r="V76" s="10">
        <v>100</v>
      </c>
      <c r="W76">
        <v>3.7</v>
      </c>
      <c r="X76" s="11">
        <f t="shared" si="19"/>
        <v>3.7</v>
      </c>
      <c r="Y76" t="s">
        <v>2102</v>
      </c>
      <c r="Z76" t="str">
        <f t="shared" si="20"/>
        <v>No</v>
      </c>
      <c r="AA76" t="str">
        <f t="shared" si="21"/>
        <v>No</v>
      </c>
      <c r="AB76" t="str">
        <f t="shared" si="22"/>
        <v>No</v>
      </c>
      <c r="AC76" s="12"/>
      <c r="AD76" s="12">
        <f t="shared" si="23"/>
        <v>79.414602346805736</v>
      </c>
    </row>
    <row r="77" spans="1:30" x14ac:dyDescent="0.3">
      <c r="A77" t="s">
        <v>245</v>
      </c>
      <c r="B77" t="s">
        <v>246</v>
      </c>
      <c r="C77" t="s">
        <v>2239</v>
      </c>
      <c r="D77" t="s">
        <v>2240</v>
      </c>
      <c r="E77" t="str">
        <f t="shared" si="12"/>
        <v>Jeremy Meyer</v>
      </c>
      <c r="F77" t="str">
        <f t="shared" si="13"/>
        <v>Jeremy Meyer</v>
      </c>
      <c r="H77" t="s">
        <v>107</v>
      </c>
      <c r="I77" t="str">
        <f t="shared" si="14"/>
        <v>Male</v>
      </c>
      <c r="J77">
        <v>32</v>
      </c>
      <c r="K77">
        <f t="shared" si="15"/>
        <v>32</v>
      </c>
      <c r="L77" t="str">
        <f t="shared" si="16"/>
        <v>Second level</v>
      </c>
      <c r="M77" t="s">
        <v>103</v>
      </c>
      <c r="N77" t="s">
        <v>104</v>
      </c>
      <c r="O77" t="s">
        <v>57</v>
      </c>
      <c r="Q77">
        <f t="shared" si="17"/>
        <v>9</v>
      </c>
      <c r="R77" t="s">
        <v>44</v>
      </c>
      <c r="S77" s="8" t="s">
        <v>44</v>
      </c>
      <c r="T77" s="9">
        <v>30</v>
      </c>
      <c r="U77" s="9">
        <f t="shared" si="18"/>
        <v>30</v>
      </c>
      <c r="V77" s="10">
        <v>30</v>
      </c>
      <c r="W77">
        <v>1.9</v>
      </c>
      <c r="X77" s="11">
        <f t="shared" si="19"/>
        <v>1.9</v>
      </c>
      <c r="Y77" t="s">
        <v>2103</v>
      </c>
      <c r="Z77" t="str">
        <f t="shared" si="20"/>
        <v>Yes</v>
      </c>
      <c r="AA77" t="str">
        <f t="shared" si="21"/>
        <v>Yes</v>
      </c>
      <c r="AB77" t="str">
        <f t="shared" si="22"/>
        <v>Yes</v>
      </c>
      <c r="AC77" s="12">
        <v>96</v>
      </c>
      <c r="AD77" s="12">
        <f t="shared" si="23"/>
        <v>96</v>
      </c>
    </row>
    <row r="78" spans="1:30" x14ac:dyDescent="0.3">
      <c r="A78" t="s">
        <v>247</v>
      </c>
      <c r="B78" t="s">
        <v>248</v>
      </c>
      <c r="C78" t="s">
        <v>2163</v>
      </c>
      <c r="D78" t="s">
        <v>2241</v>
      </c>
      <c r="E78" t="str">
        <f t="shared" si="12"/>
        <v>Timothy Lee</v>
      </c>
      <c r="F78" t="str">
        <f t="shared" si="13"/>
        <v>Timothy Lee</v>
      </c>
      <c r="H78" t="s">
        <v>30</v>
      </c>
      <c r="I78" t="str">
        <f t="shared" si="14"/>
        <v>Male</v>
      </c>
      <c r="J78">
        <v>59</v>
      </c>
      <c r="K78">
        <f t="shared" si="15"/>
        <v>59</v>
      </c>
      <c r="L78" t="str">
        <f t="shared" si="16"/>
        <v>Fourth level</v>
      </c>
      <c r="M78" t="s">
        <v>23</v>
      </c>
      <c r="N78" t="s">
        <v>24</v>
      </c>
      <c r="O78" t="s">
        <v>49</v>
      </c>
      <c r="P78">
        <v>9</v>
      </c>
      <c r="Q78">
        <f t="shared" si="17"/>
        <v>9</v>
      </c>
      <c r="R78" t="s">
        <v>58</v>
      </c>
      <c r="S78" s="8" t="s">
        <v>2093</v>
      </c>
      <c r="T78" s="9">
        <v>75</v>
      </c>
      <c r="U78" s="9">
        <f t="shared" si="18"/>
        <v>75</v>
      </c>
      <c r="V78" s="10">
        <v>75</v>
      </c>
      <c r="W78">
        <v>4</v>
      </c>
      <c r="X78" s="11">
        <f t="shared" si="19"/>
        <v>4</v>
      </c>
      <c r="Y78" t="s">
        <v>2103</v>
      </c>
      <c r="Z78" t="str">
        <f t="shared" si="20"/>
        <v>Yes</v>
      </c>
      <c r="AA78" t="str">
        <f t="shared" si="21"/>
        <v>Yes</v>
      </c>
      <c r="AB78" t="str">
        <f t="shared" si="22"/>
        <v>Yes</v>
      </c>
      <c r="AC78" s="12">
        <v>96</v>
      </c>
      <c r="AD78" s="12">
        <f t="shared" si="23"/>
        <v>96</v>
      </c>
    </row>
    <row r="79" spans="1:30" x14ac:dyDescent="0.3">
      <c r="A79" t="s">
        <v>249</v>
      </c>
      <c r="B79" t="s">
        <v>250</v>
      </c>
      <c r="C79" t="s">
        <v>2242</v>
      </c>
      <c r="D79" t="s">
        <v>2243</v>
      </c>
      <c r="E79" t="str">
        <f t="shared" si="12"/>
        <v>Diana Bautista</v>
      </c>
      <c r="F79" t="str">
        <f t="shared" si="13"/>
        <v>Diana Bautista</v>
      </c>
      <c r="H79" t="s">
        <v>86</v>
      </c>
      <c r="I79" t="str">
        <f t="shared" si="14"/>
        <v>Female</v>
      </c>
      <c r="J79">
        <v>54</v>
      </c>
      <c r="K79">
        <f t="shared" si="15"/>
        <v>54</v>
      </c>
      <c r="L79" t="str">
        <f t="shared" si="16"/>
        <v>Fourth level</v>
      </c>
      <c r="M79" t="s">
        <v>201</v>
      </c>
      <c r="N79" t="s">
        <v>81</v>
      </c>
      <c r="O79" t="s">
        <v>99</v>
      </c>
      <c r="P79">
        <v>32</v>
      </c>
      <c r="Q79">
        <f t="shared" si="17"/>
        <v>32</v>
      </c>
      <c r="R79" t="s">
        <v>61</v>
      </c>
      <c r="S79" s="8" t="s">
        <v>2094</v>
      </c>
      <c r="T79" s="9">
        <v>40</v>
      </c>
      <c r="U79" s="9">
        <f t="shared" si="18"/>
        <v>40</v>
      </c>
      <c r="V79" s="10">
        <v>40</v>
      </c>
      <c r="W79">
        <v>1.8</v>
      </c>
      <c r="X79" s="11">
        <f t="shared" si="19"/>
        <v>1.8</v>
      </c>
      <c r="Y79" t="s">
        <v>2102</v>
      </c>
      <c r="Z79" t="str">
        <f t="shared" si="20"/>
        <v>No</v>
      </c>
      <c r="AA79" t="str">
        <f t="shared" si="21"/>
        <v>No</v>
      </c>
      <c r="AB79" t="str">
        <f t="shared" si="22"/>
        <v>No</v>
      </c>
      <c r="AC79" s="12"/>
      <c r="AD79" s="12">
        <f t="shared" si="23"/>
        <v>79.371241830065358</v>
      </c>
    </row>
    <row r="80" spans="1:30" x14ac:dyDescent="0.3">
      <c r="A80" t="s">
        <v>251</v>
      </c>
      <c r="B80" t="s">
        <v>252</v>
      </c>
      <c r="C80" t="s">
        <v>2244</v>
      </c>
      <c r="D80" t="s">
        <v>2245</v>
      </c>
      <c r="E80" t="str">
        <f t="shared" si="12"/>
        <v>Leslie Rodriguez</v>
      </c>
      <c r="F80" t="str">
        <f t="shared" si="13"/>
        <v>Leslie Rodriguez</v>
      </c>
      <c r="H80" t="s">
        <v>86</v>
      </c>
      <c r="I80" t="str">
        <f t="shared" si="14"/>
        <v>Female</v>
      </c>
      <c r="J80">
        <v>37</v>
      </c>
      <c r="K80">
        <f t="shared" si="15"/>
        <v>37</v>
      </c>
      <c r="L80" t="str">
        <f t="shared" si="16"/>
        <v>Second level</v>
      </c>
      <c r="M80" t="s">
        <v>138</v>
      </c>
      <c r="N80" t="s">
        <v>24</v>
      </c>
      <c r="O80" t="s">
        <v>33</v>
      </c>
      <c r="P80">
        <v>9</v>
      </c>
      <c r="Q80">
        <f t="shared" si="17"/>
        <v>9</v>
      </c>
      <c r="R80" t="s">
        <v>65</v>
      </c>
      <c r="S80" s="8" t="s">
        <v>65</v>
      </c>
      <c r="T80" s="9"/>
      <c r="U80" s="9">
        <f t="shared" si="18"/>
        <v>52.5</v>
      </c>
      <c r="V80" s="10">
        <v>52.5</v>
      </c>
      <c r="W80">
        <v>0</v>
      </c>
      <c r="X80" s="11">
        <f t="shared" si="19"/>
        <v>0</v>
      </c>
      <c r="Y80" t="s">
        <v>2103</v>
      </c>
      <c r="Z80" t="str">
        <f t="shared" si="20"/>
        <v>Yes</v>
      </c>
      <c r="AA80" t="str">
        <f t="shared" si="21"/>
        <v>Yes</v>
      </c>
      <c r="AB80" t="str">
        <f t="shared" si="22"/>
        <v>Yes</v>
      </c>
      <c r="AC80" s="12">
        <v>89</v>
      </c>
      <c r="AD80" s="12">
        <f t="shared" si="23"/>
        <v>89</v>
      </c>
    </row>
    <row r="81" spans="1:30" x14ac:dyDescent="0.3">
      <c r="A81" t="s">
        <v>253</v>
      </c>
      <c r="B81" t="s">
        <v>254</v>
      </c>
      <c r="C81" t="s">
        <v>2246</v>
      </c>
      <c r="D81" t="s">
        <v>2247</v>
      </c>
      <c r="E81" t="str">
        <f t="shared" si="12"/>
        <v>Noah Wiggins</v>
      </c>
      <c r="F81" t="str">
        <f t="shared" si="13"/>
        <v>Noah Wiggins</v>
      </c>
      <c r="H81" t="s">
        <v>69</v>
      </c>
      <c r="I81" t="str">
        <f t="shared" si="14"/>
        <v>Male</v>
      </c>
      <c r="J81">
        <v>54</v>
      </c>
      <c r="K81">
        <f t="shared" si="15"/>
        <v>54</v>
      </c>
      <c r="L81" t="str">
        <f t="shared" si="16"/>
        <v>Fourth level</v>
      </c>
      <c r="M81" t="s">
        <v>103</v>
      </c>
      <c r="N81" t="s">
        <v>104</v>
      </c>
      <c r="O81" t="s">
        <v>124</v>
      </c>
      <c r="P81">
        <v>21</v>
      </c>
      <c r="Q81">
        <f t="shared" si="17"/>
        <v>21</v>
      </c>
      <c r="R81" t="s">
        <v>240</v>
      </c>
      <c r="S81" s="8" t="s">
        <v>18</v>
      </c>
      <c r="T81" s="9">
        <v>100</v>
      </c>
      <c r="U81" s="9">
        <f t="shared" si="18"/>
        <v>100</v>
      </c>
      <c r="V81" s="10">
        <v>100</v>
      </c>
      <c r="W81">
        <v>4.5999999999999996</v>
      </c>
      <c r="X81" s="11">
        <f t="shared" si="19"/>
        <v>4.5999999999999996</v>
      </c>
      <c r="Y81" t="s">
        <v>2102</v>
      </c>
      <c r="Z81" t="str">
        <f t="shared" si="20"/>
        <v>No</v>
      </c>
      <c r="AA81" t="str">
        <f t="shared" si="21"/>
        <v>No</v>
      </c>
      <c r="AB81" t="str">
        <f t="shared" si="22"/>
        <v>No</v>
      </c>
      <c r="AC81" s="12"/>
      <c r="AD81" s="12">
        <f t="shared" si="23"/>
        <v>79.358638743455501</v>
      </c>
    </row>
    <row r="82" spans="1:30" x14ac:dyDescent="0.3">
      <c r="A82" t="s">
        <v>255</v>
      </c>
      <c r="B82" t="s">
        <v>256</v>
      </c>
      <c r="C82" t="s">
        <v>2248</v>
      </c>
      <c r="D82" t="s">
        <v>2181</v>
      </c>
      <c r="E82" t="str">
        <f t="shared" si="12"/>
        <v>Bridget Williams</v>
      </c>
      <c r="F82" t="str">
        <f t="shared" si="13"/>
        <v>Bridget Williams</v>
      </c>
      <c r="H82" t="s">
        <v>86</v>
      </c>
      <c r="I82" t="str">
        <f t="shared" si="14"/>
        <v>Female</v>
      </c>
      <c r="J82">
        <v>33</v>
      </c>
      <c r="K82">
        <f t="shared" si="15"/>
        <v>33</v>
      </c>
      <c r="L82" t="str">
        <f t="shared" si="16"/>
        <v>Second level</v>
      </c>
      <c r="M82" t="s">
        <v>80</v>
      </c>
      <c r="N82" t="s">
        <v>81</v>
      </c>
      <c r="O82" t="s">
        <v>82</v>
      </c>
      <c r="P82">
        <v>12</v>
      </c>
      <c r="Q82">
        <f t="shared" si="17"/>
        <v>12</v>
      </c>
      <c r="R82" t="s">
        <v>18</v>
      </c>
      <c r="S82" s="8" t="s">
        <v>18</v>
      </c>
      <c r="T82" s="9">
        <v>100</v>
      </c>
      <c r="U82" s="9">
        <f t="shared" si="18"/>
        <v>100</v>
      </c>
      <c r="V82" s="10">
        <v>100</v>
      </c>
      <c r="W82">
        <v>3.6</v>
      </c>
      <c r="X82" s="11">
        <f t="shared" si="19"/>
        <v>3.6</v>
      </c>
      <c r="Y82" t="s">
        <v>2102</v>
      </c>
      <c r="Z82" t="str">
        <f t="shared" si="20"/>
        <v>No</v>
      </c>
      <c r="AA82" t="str">
        <f t="shared" si="21"/>
        <v>No</v>
      </c>
      <c r="AB82" t="str">
        <f t="shared" si="22"/>
        <v>No</v>
      </c>
      <c r="AC82" s="12">
        <v>63</v>
      </c>
      <c r="AD82" s="12">
        <f t="shared" si="23"/>
        <v>63</v>
      </c>
    </row>
    <row r="83" spans="1:30" x14ac:dyDescent="0.3">
      <c r="A83" t="s">
        <v>257</v>
      </c>
      <c r="B83" t="s">
        <v>258</v>
      </c>
      <c r="C83" t="s">
        <v>2249</v>
      </c>
      <c r="D83" t="s">
        <v>2250</v>
      </c>
      <c r="E83" t="str">
        <f t="shared" si="12"/>
        <v>Veronica Baker</v>
      </c>
      <c r="F83" t="str">
        <f t="shared" si="13"/>
        <v>Veronica Baker</v>
      </c>
      <c r="H83" t="s">
        <v>86</v>
      </c>
      <c r="I83" t="str">
        <f t="shared" si="14"/>
        <v>Female</v>
      </c>
      <c r="J83">
        <v>25</v>
      </c>
      <c r="K83">
        <f t="shared" si="15"/>
        <v>25</v>
      </c>
      <c r="L83" t="str">
        <f t="shared" si="16"/>
        <v>First level</v>
      </c>
      <c r="M83" t="s">
        <v>149</v>
      </c>
      <c r="N83" t="s">
        <v>150</v>
      </c>
      <c r="O83" t="s">
        <v>39</v>
      </c>
      <c r="P83">
        <v>7</v>
      </c>
      <c r="Q83">
        <f t="shared" si="17"/>
        <v>7</v>
      </c>
      <c r="R83" t="s">
        <v>61</v>
      </c>
      <c r="S83" s="8" t="s">
        <v>2094</v>
      </c>
      <c r="T83" s="9">
        <v>40</v>
      </c>
      <c r="U83" s="9">
        <f t="shared" si="18"/>
        <v>40</v>
      </c>
      <c r="V83" s="10">
        <v>40</v>
      </c>
      <c r="W83">
        <v>4.4000000000000004</v>
      </c>
      <c r="X83" s="11">
        <f t="shared" si="19"/>
        <v>4.4000000000000004</v>
      </c>
      <c r="AA83" t="str">
        <f t="shared" si="21"/>
        <v>Unknown</v>
      </c>
      <c r="AB83" t="str">
        <f t="shared" si="22"/>
        <v>Unknown</v>
      </c>
      <c r="AC83" s="12">
        <v>81</v>
      </c>
      <c r="AD83" s="12">
        <f t="shared" si="23"/>
        <v>81</v>
      </c>
    </row>
    <row r="84" spans="1:30" x14ac:dyDescent="0.3">
      <c r="A84" t="s">
        <v>259</v>
      </c>
      <c r="B84" t="s">
        <v>260</v>
      </c>
      <c r="C84" t="s">
        <v>2251</v>
      </c>
      <c r="D84" t="s">
        <v>2252</v>
      </c>
      <c r="E84" t="str">
        <f t="shared" si="12"/>
        <v>Andrew Avila</v>
      </c>
      <c r="F84" t="str">
        <f t="shared" si="13"/>
        <v>Andrew Avila</v>
      </c>
      <c r="H84" t="s">
        <v>107</v>
      </c>
      <c r="I84" t="str">
        <f t="shared" si="14"/>
        <v>Male</v>
      </c>
      <c r="K84">
        <f t="shared" si="15"/>
        <v>41</v>
      </c>
      <c r="L84" t="str">
        <f t="shared" si="16"/>
        <v>Third level</v>
      </c>
      <c r="M84" t="s">
        <v>186</v>
      </c>
      <c r="N84" t="s">
        <v>187</v>
      </c>
      <c r="O84" t="s">
        <v>99</v>
      </c>
      <c r="P84">
        <v>3</v>
      </c>
      <c r="Q84">
        <f t="shared" si="17"/>
        <v>3</v>
      </c>
      <c r="R84" t="s">
        <v>76</v>
      </c>
      <c r="S84" s="8" t="s">
        <v>76</v>
      </c>
      <c r="T84" s="9">
        <v>40</v>
      </c>
      <c r="U84" s="9">
        <f t="shared" si="18"/>
        <v>40</v>
      </c>
      <c r="V84" s="10">
        <v>40</v>
      </c>
      <c r="W84">
        <v>4.5999999999999996</v>
      </c>
      <c r="X84" s="11">
        <f t="shared" si="19"/>
        <v>4.5999999999999996</v>
      </c>
      <c r="Y84" t="s">
        <v>2102</v>
      </c>
      <c r="Z84" t="str">
        <f t="shared" ref="Z84:Z130" si="24">CLEAN(Y84)</f>
        <v>No</v>
      </c>
      <c r="AA84" t="str">
        <f t="shared" si="21"/>
        <v>No</v>
      </c>
      <c r="AB84" t="str">
        <f t="shared" si="22"/>
        <v>No</v>
      </c>
      <c r="AC84" s="12">
        <v>74</v>
      </c>
      <c r="AD84" s="12">
        <f t="shared" si="23"/>
        <v>74</v>
      </c>
    </row>
    <row r="85" spans="1:30" x14ac:dyDescent="0.3">
      <c r="A85" t="s">
        <v>261</v>
      </c>
      <c r="B85" t="s">
        <v>262</v>
      </c>
      <c r="C85" t="s">
        <v>2166</v>
      </c>
      <c r="D85" t="s">
        <v>2253</v>
      </c>
      <c r="E85" t="str">
        <f t="shared" si="12"/>
        <v>Michael Roberson</v>
      </c>
      <c r="F85" t="str">
        <f t="shared" si="13"/>
        <v>Michael Roberson</v>
      </c>
      <c r="H85" t="s">
        <v>30</v>
      </c>
      <c r="I85" t="str">
        <f t="shared" si="14"/>
        <v>Male</v>
      </c>
      <c r="J85">
        <v>35</v>
      </c>
      <c r="K85">
        <f t="shared" si="15"/>
        <v>35</v>
      </c>
      <c r="L85" t="str">
        <f t="shared" si="16"/>
        <v>Second level</v>
      </c>
      <c r="M85" t="s">
        <v>122</v>
      </c>
      <c r="N85" t="s">
        <v>123</v>
      </c>
      <c r="O85" t="s">
        <v>39</v>
      </c>
      <c r="P85">
        <v>5</v>
      </c>
      <c r="Q85">
        <f t="shared" si="17"/>
        <v>5</v>
      </c>
      <c r="R85" t="s">
        <v>181</v>
      </c>
      <c r="S85" s="8" t="s">
        <v>181</v>
      </c>
      <c r="T85" s="9">
        <v>75</v>
      </c>
      <c r="U85" s="9">
        <f t="shared" si="18"/>
        <v>75</v>
      </c>
      <c r="V85" s="10">
        <v>75</v>
      </c>
      <c r="W85">
        <v>3.2</v>
      </c>
      <c r="X85" s="11">
        <f t="shared" si="19"/>
        <v>3.2</v>
      </c>
      <c r="Y85" t="s">
        <v>2102</v>
      </c>
      <c r="Z85" t="str">
        <f t="shared" si="24"/>
        <v>No</v>
      </c>
      <c r="AA85" t="str">
        <f t="shared" si="21"/>
        <v>No</v>
      </c>
      <c r="AB85" t="str">
        <f t="shared" si="22"/>
        <v>No</v>
      </c>
      <c r="AC85" s="12">
        <v>72</v>
      </c>
      <c r="AD85" s="12">
        <f t="shared" si="23"/>
        <v>72</v>
      </c>
    </row>
    <row r="86" spans="1:30" x14ac:dyDescent="0.3">
      <c r="A86" t="s">
        <v>263</v>
      </c>
      <c r="B86" t="s">
        <v>264</v>
      </c>
      <c r="C86" t="s">
        <v>2254</v>
      </c>
      <c r="D86" t="s">
        <v>2255</v>
      </c>
      <c r="E86" t="str">
        <f t="shared" si="12"/>
        <v>Austin Jenkins</v>
      </c>
      <c r="F86" t="str">
        <f t="shared" si="13"/>
        <v>Austin Jenkins</v>
      </c>
      <c r="H86" t="s">
        <v>107</v>
      </c>
      <c r="I86" t="str">
        <f t="shared" si="14"/>
        <v>Male</v>
      </c>
      <c r="J86">
        <v>59</v>
      </c>
      <c r="K86">
        <f t="shared" si="15"/>
        <v>59</v>
      </c>
      <c r="L86" t="str">
        <f t="shared" si="16"/>
        <v>Fourth level</v>
      </c>
      <c r="M86" t="s">
        <v>122</v>
      </c>
      <c r="N86" t="s">
        <v>123</v>
      </c>
      <c r="O86" t="s">
        <v>49</v>
      </c>
      <c r="P86">
        <v>30</v>
      </c>
      <c r="Q86">
        <f t="shared" si="17"/>
        <v>30</v>
      </c>
      <c r="R86" t="s">
        <v>40</v>
      </c>
      <c r="S86" s="8" t="s">
        <v>40</v>
      </c>
      <c r="T86" s="9">
        <v>40</v>
      </c>
      <c r="U86" s="9">
        <f t="shared" si="18"/>
        <v>40</v>
      </c>
      <c r="V86" s="10">
        <v>40</v>
      </c>
      <c r="W86">
        <v>0</v>
      </c>
      <c r="X86" s="11">
        <f t="shared" si="19"/>
        <v>0</v>
      </c>
      <c r="Y86" t="s">
        <v>2103</v>
      </c>
      <c r="Z86" t="str">
        <f t="shared" si="24"/>
        <v>Yes</v>
      </c>
      <c r="AA86" t="str">
        <f t="shared" si="21"/>
        <v>Yes</v>
      </c>
      <c r="AB86" t="str">
        <f t="shared" si="22"/>
        <v>Yes</v>
      </c>
      <c r="AC86" s="12"/>
      <c r="AD86" s="12">
        <f t="shared" si="23"/>
        <v>79.39473684210526</v>
      </c>
    </row>
    <row r="87" spans="1:30" x14ac:dyDescent="0.3">
      <c r="A87" t="s">
        <v>265</v>
      </c>
      <c r="B87" t="s">
        <v>266</v>
      </c>
      <c r="C87" t="s">
        <v>2256</v>
      </c>
      <c r="D87" t="s">
        <v>2257</v>
      </c>
      <c r="E87" t="str">
        <f t="shared" si="12"/>
        <v>Brenda Green</v>
      </c>
      <c r="F87" t="str">
        <f t="shared" si="13"/>
        <v>Brenda Green</v>
      </c>
      <c r="H87" t="s">
        <v>43</v>
      </c>
      <c r="I87" t="str">
        <f t="shared" si="14"/>
        <v>Female</v>
      </c>
      <c r="J87">
        <v>21</v>
      </c>
      <c r="K87">
        <f t="shared" si="15"/>
        <v>21</v>
      </c>
      <c r="L87" t="str">
        <f t="shared" si="16"/>
        <v>First level</v>
      </c>
      <c r="M87" t="s">
        <v>186</v>
      </c>
      <c r="N87" t="s">
        <v>187</v>
      </c>
      <c r="O87" t="s">
        <v>99</v>
      </c>
      <c r="P87">
        <v>2</v>
      </c>
      <c r="Q87">
        <f t="shared" si="17"/>
        <v>2</v>
      </c>
      <c r="R87" t="s">
        <v>18</v>
      </c>
      <c r="S87" s="8" t="s">
        <v>18</v>
      </c>
      <c r="T87" s="9">
        <v>100</v>
      </c>
      <c r="U87" s="9">
        <f t="shared" si="18"/>
        <v>100</v>
      </c>
      <c r="V87" s="10">
        <v>100</v>
      </c>
      <c r="W87">
        <v>2.6</v>
      </c>
      <c r="X87" s="11">
        <f t="shared" si="19"/>
        <v>2.6</v>
      </c>
      <c r="Y87" t="s">
        <v>2103</v>
      </c>
      <c r="Z87" t="str">
        <f t="shared" si="24"/>
        <v>Yes</v>
      </c>
      <c r="AA87" t="str">
        <f t="shared" si="21"/>
        <v>Yes</v>
      </c>
      <c r="AB87" t="str">
        <f t="shared" si="22"/>
        <v>Yes</v>
      </c>
      <c r="AC87" s="12">
        <v>85</v>
      </c>
      <c r="AD87" s="12">
        <f t="shared" si="23"/>
        <v>85</v>
      </c>
    </row>
    <row r="88" spans="1:30" x14ac:dyDescent="0.3">
      <c r="A88" t="s">
        <v>267</v>
      </c>
      <c r="B88" t="s">
        <v>268</v>
      </c>
      <c r="C88" t="s">
        <v>2145</v>
      </c>
      <c r="D88" t="s">
        <v>2258</v>
      </c>
      <c r="E88" t="str">
        <f t="shared" si="12"/>
        <v>Samuel Pierce</v>
      </c>
      <c r="F88" t="str">
        <f t="shared" si="13"/>
        <v>Samuel Pierce</v>
      </c>
      <c r="H88" t="s">
        <v>107</v>
      </c>
      <c r="I88" t="str">
        <f t="shared" si="14"/>
        <v>Male</v>
      </c>
      <c r="J88">
        <v>25</v>
      </c>
      <c r="K88">
        <f t="shared" si="15"/>
        <v>25</v>
      </c>
      <c r="L88" t="str">
        <f t="shared" si="16"/>
        <v>First level</v>
      </c>
      <c r="M88" t="s">
        <v>64</v>
      </c>
      <c r="N88" t="s">
        <v>24</v>
      </c>
      <c r="O88" t="s">
        <v>25</v>
      </c>
      <c r="P88">
        <v>2</v>
      </c>
      <c r="Q88">
        <f t="shared" si="17"/>
        <v>2</v>
      </c>
      <c r="R88" t="s">
        <v>181</v>
      </c>
      <c r="S88" s="8" t="s">
        <v>181</v>
      </c>
      <c r="T88" s="9">
        <v>75</v>
      </c>
      <c r="U88" s="9">
        <f t="shared" si="18"/>
        <v>75</v>
      </c>
      <c r="V88" s="10">
        <v>75</v>
      </c>
      <c r="W88">
        <v>3.7</v>
      </c>
      <c r="X88" s="11">
        <f t="shared" si="19"/>
        <v>3.7</v>
      </c>
      <c r="Y88" t="s">
        <v>2102</v>
      </c>
      <c r="Z88" t="str">
        <f t="shared" si="24"/>
        <v>No</v>
      </c>
      <c r="AA88" t="str">
        <f t="shared" si="21"/>
        <v>No</v>
      </c>
      <c r="AB88" t="str">
        <f t="shared" si="22"/>
        <v>No</v>
      </c>
      <c r="AC88" s="12"/>
      <c r="AD88" s="12">
        <f t="shared" si="23"/>
        <v>79.387351778656125</v>
      </c>
    </row>
    <row r="89" spans="1:30" x14ac:dyDescent="0.3">
      <c r="A89" t="s">
        <v>269</v>
      </c>
      <c r="B89" t="s">
        <v>270</v>
      </c>
      <c r="C89" t="s">
        <v>2259</v>
      </c>
      <c r="D89" t="s">
        <v>2161</v>
      </c>
      <c r="E89" t="str">
        <f t="shared" si="12"/>
        <v>Briana Smith</v>
      </c>
      <c r="F89" t="str">
        <f t="shared" si="13"/>
        <v>Briana Smith</v>
      </c>
      <c r="H89" t="s">
        <v>86</v>
      </c>
      <c r="I89" t="str">
        <f t="shared" si="14"/>
        <v>Female</v>
      </c>
      <c r="J89">
        <v>38</v>
      </c>
      <c r="K89">
        <f t="shared" si="15"/>
        <v>38</v>
      </c>
      <c r="L89" t="str">
        <f t="shared" si="16"/>
        <v>Second level</v>
      </c>
      <c r="M89" t="s">
        <v>190</v>
      </c>
      <c r="N89" t="s">
        <v>81</v>
      </c>
      <c r="O89" t="s">
        <v>39</v>
      </c>
      <c r="P89">
        <v>19</v>
      </c>
      <c r="Q89">
        <f t="shared" si="17"/>
        <v>19</v>
      </c>
      <c r="R89" t="s">
        <v>92</v>
      </c>
      <c r="S89" s="8" t="s">
        <v>92</v>
      </c>
      <c r="T89" s="9">
        <v>75</v>
      </c>
      <c r="U89" s="9">
        <f t="shared" si="18"/>
        <v>75</v>
      </c>
      <c r="V89" s="10">
        <v>75</v>
      </c>
      <c r="W89">
        <v>2.2999999999999998</v>
      </c>
      <c r="X89" s="11">
        <f t="shared" si="19"/>
        <v>2.2999999999999998</v>
      </c>
      <c r="Y89" t="s">
        <v>2102</v>
      </c>
      <c r="Z89" t="str">
        <f t="shared" si="24"/>
        <v>No</v>
      </c>
      <c r="AA89" t="str">
        <f t="shared" si="21"/>
        <v>No</v>
      </c>
      <c r="AB89" t="str">
        <f t="shared" si="22"/>
        <v>No</v>
      </c>
      <c r="AC89" s="12">
        <v>61</v>
      </c>
      <c r="AD89" s="12">
        <f t="shared" si="23"/>
        <v>61</v>
      </c>
    </row>
    <row r="90" spans="1:30" x14ac:dyDescent="0.3">
      <c r="A90" t="s">
        <v>271</v>
      </c>
      <c r="B90" t="s">
        <v>272</v>
      </c>
      <c r="C90" t="s">
        <v>2260</v>
      </c>
      <c r="D90" t="s">
        <v>2261</v>
      </c>
      <c r="E90" t="str">
        <f t="shared" si="12"/>
        <v>Ronald Barrett</v>
      </c>
      <c r="F90" t="str">
        <f t="shared" si="13"/>
        <v>Ronald Barrett</v>
      </c>
      <c r="H90" t="s">
        <v>107</v>
      </c>
      <c r="I90" t="str">
        <f t="shared" si="14"/>
        <v>Male</v>
      </c>
      <c r="J90">
        <v>57</v>
      </c>
      <c r="K90">
        <f t="shared" si="15"/>
        <v>57</v>
      </c>
      <c r="L90" t="str">
        <f t="shared" si="16"/>
        <v>Fourth level</v>
      </c>
      <c r="M90" t="s">
        <v>134</v>
      </c>
      <c r="N90" t="s">
        <v>135</v>
      </c>
      <c r="O90" t="s">
        <v>49</v>
      </c>
      <c r="P90">
        <v>16</v>
      </c>
      <c r="Q90">
        <f t="shared" si="17"/>
        <v>16</v>
      </c>
      <c r="R90" t="s">
        <v>18</v>
      </c>
      <c r="S90" s="8" t="s">
        <v>18</v>
      </c>
      <c r="T90" s="9">
        <v>100</v>
      </c>
      <c r="U90" s="9">
        <f t="shared" si="18"/>
        <v>100</v>
      </c>
      <c r="V90" s="10">
        <v>100</v>
      </c>
      <c r="W90">
        <v>3.1</v>
      </c>
      <c r="X90" s="11">
        <f t="shared" si="19"/>
        <v>3.1</v>
      </c>
      <c r="Y90" t="s">
        <v>2102</v>
      </c>
      <c r="Z90" t="str">
        <f t="shared" si="24"/>
        <v>No</v>
      </c>
      <c r="AA90" t="str">
        <f t="shared" si="21"/>
        <v>No</v>
      </c>
      <c r="AB90" t="str">
        <f t="shared" si="22"/>
        <v>No</v>
      </c>
      <c r="AC90" s="12"/>
      <c r="AD90" s="12">
        <f t="shared" si="23"/>
        <v>79.411609498680733</v>
      </c>
    </row>
    <row r="91" spans="1:30" x14ac:dyDescent="0.3">
      <c r="A91" t="s">
        <v>273</v>
      </c>
      <c r="B91" t="s">
        <v>274</v>
      </c>
      <c r="C91" t="s">
        <v>2124</v>
      </c>
      <c r="D91" t="s">
        <v>2161</v>
      </c>
      <c r="E91" t="str">
        <f t="shared" si="12"/>
        <v>Matthew Smith</v>
      </c>
      <c r="F91" t="str">
        <f t="shared" si="13"/>
        <v>Matthew Smith</v>
      </c>
      <c r="H91" t="s">
        <v>107</v>
      </c>
      <c r="I91" t="str">
        <f t="shared" si="14"/>
        <v>Male</v>
      </c>
      <c r="J91">
        <v>32</v>
      </c>
      <c r="K91">
        <f t="shared" si="15"/>
        <v>32</v>
      </c>
      <c r="L91" t="str">
        <f t="shared" si="16"/>
        <v>Second level</v>
      </c>
      <c r="M91" t="s">
        <v>103</v>
      </c>
      <c r="N91" t="s">
        <v>104</v>
      </c>
      <c r="O91" t="s">
        <v>25</v>
      </c>
      <c r="P91">
        <v>10</v>
      </c>
      <c r="Q91">
        <f t="shared" si="17"/>
        <v>10</v>
      </c>
      <c r="R91" t="s">
        <v>131</v>
      </c>
      <c r="S91" s="8" t="s">
        <v>131</v>
      </c>
      <c r="T91" s="9">
        <v>20</v>
      </c>
      <c r="U91" s="9">
        <f t="shared" si="18"/>
        <v>20</v>
      </c>
      <c r="V91" s="10">
        <v>20</v>
      </c>
      <c r="W91">
        <v>2.4</v>
      </c>
      <c r="X91" s="11">
        <f t="shared" si="19"/>
        <v>2.4</v>
      </c>
      <c r="Y91" t="s">
        <v>2102</v>
      </c>
      <c r="Z91" t="str">
        <f t="shared" si="24"/>
        <v>No</v>
      </c>
      <c r="AA91" t="str">
        <f t="shared" si="21"/>
        <v>No</v>
      </c>
      <c r="AB91" t="str">
        <f t="shared" si="22"/>
        <v>No</v>
      </c>
      <c r="AC91" s="12">
        <v>86</v>
      </c>
      <c r="AD91" s="12">
        <f t="shared" si="23"/>
        <v>86</v>
      </c>
    </row>
    <row r="92" spans="1:30" x14ac:dyDescent="0.3">
      <c r="A92" t="s">
        <v>275</v>
      </c>
      <c r="B92" t="s">
        <v>276</v>
      </c>
      <c r="C92" t="s">
        <v>2262</v>
      </c>
      <c r="D92" t="s">
        <v>2263</v>
      </c>
      <c r="E92" t="str">
        <f t="shared" si="12"/>
        <v>Logan Huang</v>
      </c>
      <c r="F92" t="str">
        <f t="shared" si="13"/>
        <v>Logan Huang</v>
      </c>
      <c r="H92" t="s">
        <v>30</v>
      </c>
      <c r="I92" t="str">
        <f t="shared" si="14"/>
        <v>Male</v>
      </c>
      <c r="J92">
        <v>21</v>
      </c>
      <c r="K92">
        <f t="shared" si="15"/>
        <v>21</v>
      </c>
      <c r="L92" t="str">
        <f t="shared" si="16"/>
        <v>First level</v>
      </c>
      <c r="M92" t="s">
        <v>15</v>
      </c>
      <c r="N92" t="s">
        <v>16</v>
      </c>
      <c r="O92" t="s">
        <v>99</v>
      </c>
      <c r="P92">
        <v>2</v>
      </c>
      <c r="Q92">
        <f t="shared" si="17"/>
        <v>2</v>
      </c>
      <c r="R92" t="s">
        <v>26</v>
      </c>
      <c r="S92" s="8" t="s">
        <v>18</v>
      </c>
      <c r="T92" s="9">
        <v>100</v>
      </c>
      <c r="U92" s="9">
        <f t="shared" si="18"/>
        <v>100</v>
      </c>
      <c r="V92" s="10">
        <v>100</v>
      </c>
      <c r="W92">
        <v>1.6</v>
      </c>
      <c r="X92" s="11">
        <f t="shared" si="19"/>
        <v>1.6</v>
      </c>
      <c r="Y92" t="s">
        <v>77</v>
      </c>
      <c r="Z92" t="str">
        <f t="shared" si="24"/>
        <v>yes</v>
      </c>
      <c r="AA92" t="str">
        <f t="shared" si="21"/>
        <v>yes</v>
      </c>
      <c r="AB92" t="str">
        <f t="shared" si="22"/>
        <v>Yes</v>
      </c>
      <c r="AC92" s="12">
        <v>97</v>
      </c>
      <c r="AD92" s="12">
        <f t="shared" si="23"/>
        <v>97</v>
      </c>
    </row>
    <row r="93" spans="1:30" x14ac:dyDescent="0.3">
      <c r="A93" t="s">
        <v>277</v>
      </c>
      <c r="B93" t="s">
        <v>278</v>
      </c>
      <c r="C93" t="s">
        <v>2264</v>
      </c>
      <c r="D93" t="s">
        <v>2265</v>
      </c>
      <c r="E93" t="str">
        <f t="shared" si="12"/>
        <v>Miranda Hutchinson</v>
      </c>
      <c r="F93" t="str">
        <f t="shared" si="13"/>
        <v>Miranda Hutchinson</v>
      </c>
      <c r="H93" t="s">
        <v>86</v>
      </c>
      <c r="I93" t="str">
        <f t="shared" si="14"/>
        <v>Female</v>
      </c>
      <c r="J93">
        <v>57</v>
      </c>
      <c r="K93">
        <f t="shared" si="15"/>
        <v>57</v>
      </c>
      <c r="L93" t="str">
        <f t="shared" si="16"/>
        <v>Fourth level</v>
      </c>
      <c r="M93" t="s">
        <v>138</v>
      </c>
      <c r="N93" t="s">
        <v>24</v>
      </c>
      <c r="O93" t="s">
        <v>87</v>
      </c>
      <c r="P93">
        <v>18</v>
      </c>
      <c r="Q93">
        <f t="shared" si="17"/>
        <v>18</v>
      </c>
      <c r="R93" t="s">
        <v>34</v>
      </c>
      <c r="S93" s="8" t="s">
        <v>34</v>
      </c>
      <c r="T93" s="9">
        <v>50</v>
      </c>
      <c r="U93" s="9">
        <f t="shared" si="18"/>
        <v>50</v>
      </c>
      <c r="V93" s="10">
        <v>50</v>
      </c>
      <c r="W93">
        <v>2.4</v>
      </c>
      <c r="X93" s="11">
        <f t="shared" si="19"/>
        <v>2.4</v>
      </c>
      <c r="Y93" t="s">
        <v>2103</v>
      </c>
      <c r="Z93" t="str">
        <f t="shared" si="24"/>
        <v>Yes</v>
      </c>
      <c r="AA93" t="str">
        <f t="shared" si="21"/>
        <v>Yes</v>
      </c>
      <c r="AB93" t="str">
        <f t="shared" si="22"/>
        <v>Yes</v>
      </c>
      <c r="AC93" s="12">
        <v>63</v>
      </c>
      <c r="AD93" s="12">
        <f t="shared" si="23"/>
        <v>63</v>
      </c>
    </row>
    <row r="94" spans="1:30" x14ac:dyDescent="0.3">
      <c r="A94" t="s">
        <v>279</v>
      </c>
      <c r="B94" t="s">
        <v>280</v>
      </c>
      <c r="C94" t="s">
        <v>2266</v>
      </c>
      <c r="D94" t="s">
        <v>2267</v>
      </c>
      <c r="E94" t="str">
        <f t="shared" si="12"/>
        <v>Paul Richardson</v>
      </c>
      <c r="F94" t="str">
        <f t="shared" si="13"/>
        <v>Paul Richardson</v>
      </c>
      <c r="H94" t="s">
        <v>30</v>
      </c>
      <c r="I94" t="str">
        <f t="shared" si="14"/>
        <v>Male</v>
      </c>
      <c r="J94">
        <v>53</v>
      </c>
      <c r="K94">
        <f t="shared" si="15"/>
        <v>53</v>
      </c>
      <c r="L94" t="str">
        <f t="shared" si="16"/>
        <v>Fourth level</v>
      </c>
      <c r="M94" t="s">
        <v>186</v>
      </c>
      <c r="N94" t="s">
        <v>187</v>
      </c>
      <c r="O94" t="s">
        <v>82</v>
      </c>
      <c r="P94">
        <v>21</v>
      </c>
      <c r="Q94">
        <f t="shared" si="17"/>
        <v>21</v>
      </c>
      <c r="R94" t="s">
        <v>26</v>
      </c>
      <c r="S94" s="8" t="s">
        <v>18</v>
      </c>
      <c r="T94" s="9">
        <v>100</v>
      </c>
      <c r="U94" s="9">
        <f t="shared" si="18"/>
        <v>100</v>
      </c>
      <c r="V94" s="10">
        <v>100</v>
      </c>
      <c r="X94" s="11">
        <f t="shared" si="19"/>
        <v>2.5207616707616696</v>
      </c>
      <c r="Y94" t="s">
        <v>2103</v>
      </c>
      <c r="Z94" t="str">
        <f t="shared" si="24"/>
        <v>Yes</v>
      </c>
      <c r="AA94" t="str">
        <f t="shared" si="21"/>
        <v>Yes</v>
      </c>
      <c r="AB94" t="str">
        <f t="shared" si="22"/>
        <v>Yes</v>
      </c>
      <c r="AC94" s="12">
        <v>97</v>
      </c>
      <c r="AD94" s="12">
        <f t="shared" si="23"/>
        <v>97</v>
      </c>
    </row>
    <row r="95" spans="1:30" x14ac:dyDescent="0.3">
      <c r="A95" t="s">
        <v>281</v>
      </c>
      <c r="B95" t="s">
        <v>282</v>
      </c>
      <c r="C95" t="s">
        <v>2268</v>
      </c>
      <c r="D95" t="s">
        <v>2159</v>
      </c>
      <c r="E95" t="str">
        <f t="shared" si="12"/>
        <v>Jose Jones</v>
      </c>
      <c r="F95" t="str">
        <f t="shared" si="13"/>
        <v>Jose Jones</v>
      </c>
      <c r="H95" t="s">
        <v>107</v>
      </c>
      <c r="I95" t="str">
        <f t="shared" si="14"/>
        <v>Male</v>
      </c>
      <c r="J95">
        <v>35</v>
      </c>
      <c r="K95">
        <f t="shared" si="15"/>
        <v>35</v>
      </c>
      <c r="L95" t="str">
        <f t="shared" si="16"/>
        <v>Second level</v>
      </c>
      <c r="M95" t="s">
        <v>134</v>
      </c>
      <c r="N95" t="s">
        <v>135</v>
      </c>
      <c r="O95" t="s">
        <v>17</v>
      </c>
      <c r="P95">
        <v>3</v>
      </c>
      <c r="Q95">
        <f t="shared" si="17"/>
        <v>3</v>
      </c>
      <c r="R95" t="s">
        <v>119</v>
      </c>
      <c r="S95" s="8" t="s">
        <v>2096</v>
      </c>
      <c r="T95" s="9">
        <v>30</v>
      </c>
      <c r="U95" s="9">
        <f t="shared" si="18"/>
        <v>30</v>
      </c>
      <c r="V95" s="10">
        <v>30</v>
      </c>
      <c r="W95">
        <v>3.8</v>
      </c>
      <c r="X95" s="11">
        <f t="shared" si="19"/>
        <v>3.8</v>
      </c>
      <c r="Y95" t="s">
        <v>77</v>
      </c>
      <c r="Z95" t="str">
        <f t="shared" si="24"/>
        <v>yes</v>
      </c>
      <c r="AA95" t="str">
        <f t="shared" si="21"/>
        <v>yes</v>
      </c>
      <c r="AB95" t="str">
        <f t="shared" si="22"/>
        <v>Yes</v>
      </c>
      <c r="AC95" s="12">
        <v>81</v>
      </c>
      <c r="AD95" s="12">
        <f t="shared" si="23"/>
        <v>81</v>
      </c>
    </row>
    <row r="96" spans="1:30" x14ac:dyDescent="0.3">
      <c r="A96" t="s">
        <v>283</v>
      </c>
      <c r="B96" t="s">
        <v>284</v>
      </c>
      <c r="C96" t="s">
        <v>2269</v>
      </c>
      <c r="D96" t="s">
        <v>2161</v>
      </c>
      <c r="E96" t="str">
        <f t="shared" si="12"/>
        <v>Denise Smith</v>
      </c>
      <c r="F96" t="str">
        <f t="shared" si="13"/>
        <v>Denise Smith</v>
      </c>
      <c r="H96" t="s">
        <v>86</v>
      </c>
      <c r="I96" t="str">
        <f t="shared" si="14"/>
        <v>Female</v>
      </c>
      <c r="J96">
        <v>54</v>
      </c>
      <c r="K96">
        <f t="shared" si="15"/>
        <v>54</v>
      </c>
      <c r="L96" t="str">
        <f t="shared" si="16"/>
        <v>Fourth level</v>
      </c>
      <c r="M96" t="s">
        <v>186</v>
      </c>
      <c r="N96" t="s">
        <v>187</v>
      </c>
      <c r="O96" t="s">
        <v>124</v>
      </c>
      <c r="P96">
        <v>17</v>
      </c>
      <c r="Q96">
        <f t="shared" si="17"/>
        <v>17</v>
      </c>
      <c r="R96" t="s">
        <v>151</v>
      </c>
      <c r="S96" s="8" t="s">
        <v>151</v>
      </c>
      <c r="T96" s="9">
        <v>20</v>
      </c>
      <c r="U96" s="9">
        <f t="shared" si="18"/>
        <v>20</v>
      </c>
      <c r="V96" s="10">
        <v>20</v>
      </c>
      <c r="W96">
        <v>1.7</v>
      </c>
      <c r="X96" s="11">
        <f t="shared" si="19"/>
        <v>1.7</v>
      </c>
      <c r="Y96" t="s">
        <v>2102</v>
      </c>
      <c r="Z96" t="str">
        <f t="shared" si="24"/>
        <v>No</v>
      </c>
      <c r="AA96" t="str">
        <f t="shared" si="21"/>
        <v>No</v>
      </c>
      <c r="AB96" t="str">
        <f t="shared" si="22"/>
        <v>No</v>
      </c>
      <c r="AC96" s="12">
        <v>69</v>
      </c>
      <c r="AD96" s="12">
        <f t="shared" si="23"/>
        <v>69</v>
      </c>
    </row>
    <row r="97" spans="1:30" x14ac:dyDescent="0.3">
      <c r="A97" t="s">
        <v>285</v>
      </c>
      <c r="B97" t="s">
        <v>286</v>
      </c>
      <c r="C97" t="s">
        <v>2270</v>
      </c>
      <c r="D97" t="s">
        <v>2271</v>
      </c>
      <c r="E97" t="str">
        <f t="shared" si="12"/>
        <v>Shelby Mcmahon</v>
      </c>
      <c r="F97" t="str">
        <f t="shared" si="13"/>
        <v>Shelby Mcmahon</v>
      </c>
      <c r="H97" t="s">
        <v>22</v>
      </c>
      <c r="I97" t="str">
        <f t="shared" si="14"/>
        <v>Female</v>
      </c>
      <c r="J97">
        <v>36</v>
      </c>
      <c r="K97">
        <f t="shared" si="15"/>
        <v>36</v>
      </c>
      <c r="L97" t="str">
        <f t="shared" si="16"/>
        <v>Second level</v>
      </c>
      <c r="M97" t="s">
        <v>15</v>
      </c>
      <c r="N97" t="s">
        <v>16</v>
      </c>
      <c r="O97" t="s">
        <v>82</v>
      </c>
      <c r="P97">
        <v>0</v>
      </c>
      <c r="Q97">
        <f t="shared" si="17"/>
        <v>0</v>
      </c>
      <c r="R97" t="s">
        <v>151</v>
      </c>
      <c r="S97" s="8" t="s">
        <v>151</v>
      </c>
      <c r="T97" s="9">
        <v>20</v>
      </c>
      <c r="U97" s="9">
        <f t="shared" si="18"/>
        <v>20</v>
      </c>
      <c r="V97" s="10">
        <v>20</v>
      </c>
      <c r="W97">
        <v>1.3</v>
      </c>
      <c r="X97" s="11">
        <f t="shared" si="19"/>
        <v>1.3</v>
      </c>
      <c r="Y97" t="s">
        <v>2103</v>
      </c>
      <c r="Z97" t="str">
        <f t="shared" si="24"/>
        <v>Yes</v>
      </c>
      <c r="AA97" t="str">
        <f t="shared" si="21"/>
        <v>Yes</v>
      </c>
      <c r="AB97" t="str">
        <f t="shared" si="22"/>
        <v>Yes</v>
      </c>
      <c r="AC97" s="12">
        <v>64</v>
      </c>
      <c r="AD97" s="12">
        <f t="shared" si="23"/>
        <v>64</v>
      </c>
    </row>
    <row r="98" spans="1:30" x14ac:dyDescent="0.3">
      <c r="A98" t="s">
        <v>287</v>
      </c>
      <c r="B98" t="s">
        <v>288</v>
      </c>
      <c r="C98" t="s">
        <v>2272</v>
      </c>
      <c r="D98" t="s">
        <v>2207</v>
      </c>
      <c r="E98" t="str">
        <f t="shared" si="12"/>
        <v>Bethany Wright</v>
      </c>
      <c r="F98" t="str">
        <f t="shared" si="13"/>
        <v>Bethany Wright</v>
      </c>
      <c r="H98" t="s">
        <v>86</v>
      </c>
      <c r="I98" t="str">
        <f t="shared" si="14"/>
        <v>Female</v>
      </c>
      <c r="J98">
        <v>49</v>
      </c>
      <c r="K98">
        <f t="shared" si="15"/>
        <v>49</v>
      </c>
      <c r="L98" t="str">
        <f t="shared" si="16"/>
        <v>Third level</v>
      </c>
      <c r="M98" t="s">
        <v>201</v>
      </c>
      <c r="N98" t="s">
        <v>81</v>
      </c>
      <c r="O98" t="s">
        <v>87</v>
      </c>
      <c r="P98">
        <v>25</v>
      </c>
      <c r="Q98">
        <f t="shared" si="17"/>
        <v>25</v>
      </c>
      <c r="R98" t="s">
        <v>34</v>
      </c>
      <c r="S98" s="8" t="s">
        <v>34</v>
      </c>
      <c r="T98" s="9">
        <v>50</v>
      </c>
      <c r="U98" s="9">
        <f t="shared" si="18"/>
        <v>50</v>
      </c>
      <c r="V98" s="10">
        <v>50</v>
      </c>
      <c r="W98">
        <v>5</v>
      </c>
      <c r="X98" s="11">
        <f t="shared" si="19"/>
        <v>5</v>
      </c>
      <c r="Y98" t="s">
        <v>2102</v>
      </c>
      <c r="Z98" t="str">
        <f t="shared" si="24"/>
        <v>No</v>
      </c>
      <c r="AA98" t="str">
        <f t="shared" si="21"/>
        <v>No</v>
      </c>
      <c r="AB98" t="str">
        <f t="shared" si="22"/>
        <v>No</v>
      </c>
      <c r="AC98" s="12">
        <v>77</v>
      </c>
      <c r="AD98" s="12">
        <f t="shared" si="23"/>
        <v>77</v>
      </c>
    </row>
    <row r="99" spans="1:30" x14ac:dyDescent="0.3">
      <c r="A99" t="s">
        <v>289</v>
      </c>
      <c r="B99" t="s">
        <v>290</v>
      </c>
      <c r="C99" t="s">
        <v>2273</v>
      </c>
      <c r="D99" t="s">
        <v>2274</v>
      </c>
      <c r="E99" t="str">
        <f t="shared" si="12"/>
        <v>David Ortiz</v>
      </c>
      <c r="F99" t="str">
        <f t="shared" si="13"/>
        <v>David Ortiz</v>
      </c>
      <c r="H99" t="s">
        <v>107</v>
      </c>
      <c r="I99" t="str">
        <f t="shared" si="14"/>
        <v>Male</v>
      </c>
      <c r="J99">
        <v>37</v>
      </c>
      <c r="K99">
        <f t="shared" si="15"/>
        <v>37</v>
      </c>
      <c r="L99" t="str">
        <f t="shared" si="16"/>
        <v>Second level</v>
      </c>
      <c r="M99" t="s">
        <v>64</v>
      </c>
      <c r="N99" t="s">
        <v>24</v>
      </c>
      <c r="O99" t="s">
        <v>17</v>
      </c>
      <c r="P99">
        <v>17</v>
      </c>
      <c r="Q99">
        <f t="shared" si="17"/>
        <v>17</v>
      </c>
      <c r="R99" t="s">
        <v>151</v>
      </c>
      <c r="S99" s="8" t="s">
        <v>151</v>
      </c>
      <c r="T99" s="9">
        <v>20</v>
      </c>
      <c r="U99" s="9">
        <f t="shared" si="18"/>
        <v>20</v>
      </c>
      <c r="V99" s="10">
        <v>20</v>
      </c>
      <c r="W99">
        <v>3.3</v>
      </c>
      <c r="X99" s="11">
        <f t="shared" si="19"/>
        <v>3.3</v>
      </c>
      <c r="Y99" t="s">
        <v>2102</v>
      </c>
      <c r="Z99" t="str">
        <f t="shared" si="24"/>
        <v>No</v>
      </c>
      <c r="AA99" t="str">
        <f t="shared" si="21"/>
        <v>No</v>
      </c>
      <c r="AB99" t="str">
        <f t="shared" si="22"/>
        <v>No</v>
      </c>
      <c r="AC99" s="12">
        <v>96</v>
      </c>
      <c r="AD99" s="12">
        <f t="shared" si="23"/>
        <v>96</v>
      </c>
    </row>
    <row r="100" spans="1:30" x14ac:dyDescent="0.3">
      <c r="A100" t="s">
        <v>291</v>
      </c>
      <c r="B100" t="s">
        <v>292</v>
      </c>
      <c r="C100" t="s">
        <v>2251</v>
      </c>
      <c r="D100" t="s">
        <v>2275</v>
      </c>
      <c r="E100" t="str">
        <f t="shared" si="12"/>
        <v>Andrew Lynch</v>
      </c>
      <c r="F100" t="str">
        <f t="shared" si="13"/>
        <v>Andrew Lynch</v>
      </c>
      <c r="H100" t="s">
        <v>69</v>
      </c>
      <c r="I100" t="str">
        <f t="shared" si="14"/>
        <v>Male</v>
      </c>
      <c r="K100">
        <f t="shared" si="15"/>
        <v>41</v>
      </c>
      <c r="L100" t="str">
        <f t="shared" si="16"/>
        <v>Third level</v>
      </c>
      <c r="M100" t="s">
        <v>64</v>
      </c>
      <c r="N100" t="s">
        <v>24</v>
      </c>
      <c r="O100" t="s">
        <v>82</v>
      </c>
      <c r="P100">
        <v>5</v>
      </c>
      <c r="Q100">
        <f t="shared" si="17"/>
        <v>5</v>
      </c>
      <c r="R100" t="s">
        <v>131</v>
      </c>
      <c r="S100" s="8" t="s">
        <v>131</v>
      </c>
      <c r="T100" s="9">
        <v>20</v>
      </c>
      <c r="U100" s="9">
        <f t="shared" si="18"/>
        <v>20</v>
      </c>
      <c r="V100" s="10">
        <v>20</v>
      </c>
      <c r="W100">
        <v>1.1000000000000001</v>
      </c>
      <c r="X100" s="11">
        <f t="shared" si="19"/>
        <v>1.1000000000000001</v>
      </c>
      <c r="Y100" t="s">
        <v>170</v>
      </c>
      <c r="Z100" t="str">
        <f t="shared" si="24"/>
        <v>no</v>
      </c>
      <c r="AA100" t="str">
        <f t="shared" si="21"/>
        <v>no</v>
      </c>
      <c r="AB100" t="str">
        <f t="shared" si="22"/>
        <v>No</v>
      </c>
      <c r="AC100" s="12">
        <v>74</v>
      </c>
      <c r="AD100" s="12">
        <f t="shared" si="23"/>
        <v>74</v>
      </c>
    </row>
    <row r="101" spans="1:30" x14ac:dyDescent="0.3">
      <c r="A101" t="s">
        <v>293</v>
      </c>
      <c r="B101" t="s">
        <v>294</v>
      </c>
      <c r="C101" t="s">
        <v>2276</v>
      </c>
      <c r="D101" t="s">
        <v>2277</v>
      </c>
      <c r="E101" t="str">
        <f t="shared" si="12"/>
        <v>Kristopher Meyers</v>
      </c>
      <c r="F101" t="str">
        <f t="shared" si="13"/>
        <v>Kristopher Meyers</v>
      </c>
      <c r="H101" t="s">
        <v>107</v>
      </c>
      <c r="I101" t="str">
        <f t="shared" si="14"/>
        <v>Male</v>
      </c>
      <c r="J101">
        <v>32</v>
      </c>
      <c r="K101">
        <f t="shared" si="15"/>
        <v>32</v>
      </c>
      <c r="L101" t="str">
        <f t="shared" si="16"/>
        <v>Second level</v>
      </c>
      <c r="M101" t="s">
        <v>149</v>
      </c>
      <c r="N101" t="s">
        <v>150</v>
      </c>
      <c r="O101" t="s">
        <v>82</v>
      </c>
      <c r="P101">
        <v>10</v>
      </c>
      <c r="Q101">
        <f t="shared" si="17"/>
        <v>10</v>
      </c>
      <c r="R101" t="s">
        <v>34</v>
      </c>
      <c r="S101" s="8" t="s">
        <v>34</v>
      </c>
      <c r="T101" s="9">
        <v>50</v>
      </c>
      <c r="U101" s="9">
        <f t="shared" si="18"/>
        <v>50</v>
      </c>
      <c r="V101" s="10">
        <v>50</v>
      </c>
      <c r="W101">
        <v>1.2</v>
      </c>
      <c r="X101" s="11">
        <f t="shared" si="19"/>
        <v>1.2</v>
      </c>
      <c r="Y101" t="s">
        <v>2102</v>
      </c>
      <c r="Z101" t="str">
        <f t="shared" si="24"/>
        <v>No</v>
      </c>
      <c r="AA101" t="str">
        <f t="shared" si="21"/>
        <v>No</v>
      </c>
      <c r="AB101" t="str">
        <f t="shared" si="22"/>
        <v>No</v>
      </c>
      <c r="AC101" s="12">
        <v>89</v>
      </c>
      <c r="AD101" s="12">
        <f t="shared" si="23"/>
        <v>89</v>
      </c>
    </row>
    <row r="102" spans="1:30" x14ac:dyDescent="0.3">
      <c r="A102" t="s">
        <v>295</v>
      </c>
      <c r="B102" t="s">
        <v>296</v>
      </c>
      <c r="C102" t="s">
        <v>2231</v>
      </c>
      <c r="D102" t="s">
        <v>2278</v>
      </c>
      <c r="E102" t="str">
        <f t="shared" si="12"/>
        <v>Thomas Roth</v>
      </c>
      <c r="F102" t="str">
        <f t="shared" si="13"/>
        <v>Thomas Roth</v>
      </c>
      <c r="H102" t="s">
        <v>107</v>
      </c>
      <c r="I102" t="str">
        <f t="shared" si="14"/>
        <v>Male</v>
      </c>
      <c r="J102">
        <v>35</v>
      </c>
      <c r="K102">
        <f t="shared" si="15"/>
        <v>35</v>
      </c>
      <c r="L102" t="str">
        <f t="shared" si="16"/>
        <v>Second level</v>
      </c>
      <c r="M102" t="s">
        <v>103</v>
      </c>
      <c r="N102" t="s">
        <v>104</v>
      </c>
      <c r="O102" t="s">
        <v>25</v>
      </c>
      <c r="P102">
        <v>0</v>
      </c>
      <c r="Q102">
        <f t="shared" si="17"/>
        <v>0</v>
      </c>
      <c r="R102" t="s">
        <v>65</v>
      </c>
      <c r="S102" s="8" t="s">
        <v>65</v>
      </c>
      <c r="T102" s="9"/>
      <c r="U102" s="9">
        <f t="shared" si="18"/>
        <v>52.362637362637365</v>
      </c>
      <c r="V102" s="10">
        <v>52.362637362637365</v>
      </c>
      <c r="W102">
        <v>2</v>
      </c>
      <c r="X102" s="11">
        <f t="shared" si="19"/>
        <v>2</v>
      </c>
      <c r="Y102" t="s">
        <v>2103</v>
      </c>
      <c r="Z102" t="str">
        <f t="shared" si="24"/>
        <v>Yes</v>
      </c>
      <c r="AA102" t="str">
        <f t="shared" si="21"/>
        <v>Yes</v>
      </c>
      <c r="AB102" t="str">
        <f t="shared" si="22"/>
        <v>Yes</v>
      </c>
      <c r="AC102" s="12">
        <v>64</v>
      </c>
      <c r="AD102" s="12">
        <f t="shared" si="23"/>
        <v>64</v>
      </c>
    </row>
    <row r="103" spans="1:30" x14ac:dyDescent="0.3">
      <c r="A103" t="s">
        <v>297</v>
      </c>
      <c r="B103" t="s">
        <v>298</v>
      </c>
      <c r="C103" t="s">
        <v>2223</v>
      </c>
      <c r="D103" t="s">
        <v>2186</v>
      </c>
      <c r="E103" t="str">
        <f t="shared" si="12"/>
        <v>Vicki Brown</v>
      </c>
      <c r="F103" t="str">
        <f t="shared" si="13"/>
        <v>Vicki Brown</v>
      </c>
      <c r="H103" t="s">
        <v>86</v>
      </c>
      <c r="I103" t="str">
        <f t="shared" si="14"/>
        <v>Female</v>
      </c>
      <c r="J103">
        <v>51</v>
      </c>
      <c r="K103">
        <f t="shared" si="15"/>
        <v>51</v>
      </c>
      <c r="L103" t="str">
        <f t="shared" si="16"/>
        <v>Fourth level</v>
      </c>
      <c r="M103" t="s">
        <v>134</v>
      </c>
      <c r="N103" t="s">
        <v>135</v>
      </c>
      <c r="O103" t="s">
        <v>33</v>
      </c>
      <c r="P103">
        <v>2</v>
      </c>
      <c r="Q103">
        <f t="shared" si="17"/>
        <v>2</v>
      </c>
      <c r="R103" t="s">
        <v>50</v>
      </c>
      <c r="S103" s="8" t="s">
        <v>50</v>
      </c>
      <c r="T103" s="9">
        <v>30</v>
      </c>
      <c r="U103" s="9">
        <f t="shared" si="18"/>
        <v>30</v>
      </c>
      <c r="V103" s="10">
        <v>30</v>
      </c>
      <c r="W103">
        <v>4.5</v>
      </c>
      <c r="X103" s="11">
        <f t="shared" si="19"/>
        <v>4.5</v>
      </c>
      <c r="Y103" t="s">
        <v>2102</v>
      </c>
      <c r="Z103" t="str">
        <f t="shared" si="24"/>
        <v>No</v>
      </c>
      <c r="AA103" t="str">
        <f t="shared" si="21"/>
        <v>No</v>
      </c>
      <c r="AB103" t="str">
        <f t="shared" si="22"/>
        <v>No</v>
      </c>
      <c r="AC103" s="12">
        <v>64</v>
      </c>
      <c r="AD103" s="12">
        <f t="shared" si="23"/>
        <v>64</v>
      </c>
    </row>
    <row r="104" spans="1:30" x14ac:dyDescent="0.3">
      <c r="A104" t="s">
        <v>299</v>
      </c>
      <c r="B104" t="s">
        <v>300</v>
      </c>
      <c r="C104" t="s">
        <v>2279</v>
      </c>
      <c r="D104" t="s">
        <v>2280</v>
      </c>
      <c r="E104" t="str">
        <f t="shared" si="12"/>
        <v>Stacy Sutton</v>
      </c>
      <c r="F104" t="str">
        <f t="shared" si="13"/>
        <v>Stacy Sutton</v>
      </c>
      <c r="H104" t="s">
        <v>86</v>
      </c>
      <c r="I104" t="str">
        <f t="shared" si="14"/>
        <v>Female</v>
      </c>
      <c r="J104">
        <v>50</v>
      </c>
      <c r="K104">
        <f t="shared" si="15"/>
        <v>50</v>
      </c>
      <c r="L104" t="str">
        <f t="shared" si="16"/>
        <v>Third level</v>
      </c>
      <c r="M104" t="s">
        <v>134</v>
      </c>
      <c r="N104" t="s">
        <v>135</v>
      </c>
      <c r="O104" t="s">
        <v>99</v>
      </c>
      <c r="P104">
        <v>30</v>
      </c>
      <c r="Q104">
        <f t="shared" si="17"/>
        <v>30</v>
      </c>
      <c r="R104" t="s">
        <v>18</v>
      </c>
      <c r="S104" s="8" t="s">
        <v>18</v>
      </c>
      <c r="T104" s="9">
        <v>100</v>
      </c>
      <c r="U104" s="9">
        <f t="shared" si="18"/>
        <v>100</v>
      </c>
      <c r="V104" s="10">
        <v>100</v>
      </c>
      <c r="W104">
        <v>3</v>
      </c>
      <c r="X104" s="11">
        <f t="shared" si="19"/>
        <v>3</v>
      </c>
      <c r="Y104" t="s">
        <v>2103</v>
      </c>
      <c r="Z104" t="str">
        <f t="shared" si="24"/>
        <v>Yes</v>
      </c>
      <c r="AA104" t="str">
        <f t="shared" si="21"/>
        <v>Yes</v>
      </c>
      <c r="AB104" t="str">
        <f t="shared" si="22"/>
        <v>Yes</v>
      </c>
      <c r="AC104" s="12">
        <v>73</v>
      </c>
      <c r="AD104" s="12">
        <f t="shared" si="23"/>
        <v>73</v>
      </c>
    </row>
    <row r="105" spans="1:30" x14ac:dyDescent="0.3">
      <c r="A105" t="s">
        <v>301</v>
      </c>
      <c r="B105" t="s">
        <v>302</v>
      </c>
      <c r="C105" t="s">
        <v>2281</v>
      </c>
      <c r="D105" t="s">
        <v>2282</v>
      </c>
      <c r="E105" t="str">
        <f t="shared" si="12"/>
        <v>Kimberly Holland</v>
      </c>
      <c r="F105" t="str">
        <f t="shared" si="13"/>
        <v>Kimberly Holland</v>
      </c>
      <c r="H105" t="s">
        <v>86</v>
      </c>
      <c r="I105" t="str">
        <f t="shared" si="14"/>
        <v>Female</v>
      </c>
      <c r="J105">
        <v>21</v>
      </c>
      <c r="K105">
        <f t="shared" si="15"/>
        <v>21</v>
      </c>
      <c r="L105" t="str">
        <f t="shared" si="16"/>
        <v>First level</v>
      </c>
      <c r="M105" t="s">
        <v>70</v>
      </c>
      <c r="N105" t="s">
        <v>71</v>
      </c>
      <c r="O105" t="s">
        <v>17</v>
      </c>
      <c r="P105">
        <v>2</v>
      </c>
      <c r="Q105">
        <f t="shared" si="17"/>
        <v>2</v>
      </c>
      <c r="R105" t="s">
        <v>72</v>
      </c>
      <c r="S105" s="8" t="s">
        <v>72</v>
      </c>
      <c r="T105" s="9">
        <v>50</v>
      </c>
      <c r="U105" s="9">
        <f t="shared" si="18"/>
        <v>50</v>
      </c>
      <c r="V105" s="10">
        <v>50</v>
      </c>
      <c r="W105">
        <v>4.9000000000000004</v>
      </c>
      <c r="X105" s="11">
        <f t="shared" si="19"/>
        <v>4.9000000000000004</v>
      </c>
      <c r="Y105" t="s">
        <v>77</v>
      </c>
      <c r="Z105" t="str">
        <f t="shared" si="24"/>
        <v>yes</v>
      </c>
      <c r="AA105" t="str">
        <f t="shared" si="21"/>
        <v>yes</v>
      </c>
      <c r="AB105" t="str">
        <f t="shared" si="22"/>
        <v>Yes</v>
      </c>
      <c r="AC105" s="12">
        <v>68</v>
      </c>
      <c r="AD105" s="12">
        <f t="shared" si="23"/>
        <v>68</v>
      </c>
    </row>
    <row r="106" spans="1:30" x14ac:dyDescent="0.3">
      <c r="A106" t="s">
        <v>303</v>
      </c>
      <c r="B106" t="s">
        <v>304</v>
      </c>
      <c r="C106" t="s">
        <v>2283</v>
      </c>
      <c r="D106" t="s">
        <v>2267</v>
      </c>
      <c r="E106" t="str">
        <f t="shared" si="12"/>
        <v>Travis Richardson</v>
      </c>
      <c r="F106" t="str">
        <f t="shared" si="13"/>
        <v>Travis Richardson</v>
      </c>
      <c r="H106" t="s">
        <v>69</v>
      </c>
      <c r="I106" t="str">
        <f t="shared" si="14"/>
        <v>Male</v>
      </c>
      <c r="J106">
        <v>25</v>
      </c>
      <c r="K106">
        <f t="shared" si="15"/>
        <v>25</v>
      </c>
      <c r="L106" t="str">
        <f t="shared" si="16"/>
        <v>First level</v>
      </c>
      <c r="M106" t="s">
        <v>64</v>
      </c>
      <c r="N106" t="s">
        <v>24</v>
      </c>
      <c r="O106" t="s">
        <v>33</v>
      </c>
      <c r="P106">
        <v>3</v>
      </c>
      <c r="Q106">
        <f t="shared" si="17"/>
        <v>3</v>
      </c>
      <c r="R106" t="s">
        <v>50</v>
      </c>
      <c r="S106" s="8" t="s">
        <v>50</v>
      </c>
      <c r="T106" s="9">
        <v>30</v>
      </c>
      <c r="U106" s="9">
        <f t="shared" si="18"/>
        <v>30</v>
      </c>
      <c r="V106" s="10">
        <v>30</v>
      </c>
      <c r="X106" s="11">
        <f t="shared" si="19"/>
        <v>2.515691158156911</v>
      </c>
      <c r="Y106" t="s">
        <v>170</v>
      </c>
      <c r="Z106" t="str">
        <f t="shared" si="24"/>
        <v>no</v>
      </c>
      <c r="AA106" t="str">
        <f t="shared" si="21"/>
        <v>no</v>
      </c>
      <c r="AB106" t="str">
        <f t="shared" si="22"/>
        <v>No</v>
      </c>
      <c r="AC106" s="12">
        <v>88</v>
      </c>
      <c r="AD106" s="12">
        <f t="shared" si="23"/>
        <v>88</v>
      </c>
    </row>
    <row r="107" spans="1:30" x14ac:dyDescent="0.3">
      <c r="A107" t="s">
        <v>305</v>
      </c>
      <c r="B107" t="s">
        <v>306</v>
      </c>
      <c r="C107" t="s">
        <v>2284</v>
      </c>
      <c r="D107" t="s">
        <v>2285</v>
      </c>
      <c r="E107" t="str">
        <f t="shared" si="12"/>
        <v>Jasmin Ho</v>
      </c>
      <c r="F107" t="str">
        <f t="shared" si="13"/>
        <v>Jasmin Ho</v>
      </c>
      <c r="H107" t="s">
        <v>22</v>
      </c>
      <c r="I107" t="str">
        <f t="shared" si="14"/>
        <v>Female</v>
      </c>
      <c r="J107">
        <v>57</v>
      </c>
      <c r="K107">
        <f t="shared" si="15"/>
        <v>57</v>
      </c>
      <c r="L107" t="str">
        <f t="shared" si="16"/>
        <v>Fourth level</v>
      </c>
      <c r="M107" t="s">
        <v>145</v>
      </c>
      <c r="N107" t="s">
        <v>146</v>
      </c>
      <c r="O107" t="s">
        <v>99</v>
      </c>
      <c r="P107">
        <v>21</v>
      </c>
      <c r="Q107">
        <f t="shared" si="17"/>
        <v>21</v>
      </c>
      <c r="R107" t="s">
        <v>40</v>
      </c>
      <c r="S107" s="8" t="s">
        <v>40</v>
      </c>
      <c r="T107" s="9">
        <v>40</v>
      </c>
      <c r="U107" s="9">
        <f t="shared" si="18"/>
        <v>40</v>
      </c>
      <c r="V107" s="10">
        <v>40</v>
      </c>
      <c r="W107">
        <v>2.5</v>
      </c>
      <c r="X107" s="11">
        <f t="shared" si="19"/>
        <v>2.5</v>
      </c>
      <c r="Y107" t="s">
        <v>2102</v>
      </c>
      <c r="Z107" t="str">
        <f t="shared" si="24"/>
        <v>No</v>
      </c>
      <c r="AA107" t="str">
        <f t="shared" si="21"/>
        <v>No</v>
      </c>
      <c r="AB107" t="str">
        <f t="shared" si="22"/>
        <v>No</v>
      </c>
      <c r="AC107" s="12">
        <v>77</v>
      </c>
      <c r="AD107" s="12">
        <f t="shared" si="23"/>
        <v>77</v>
      </c>
    </row>
    <row r="108" spans="1:30" x14ac:dyDescent="0.3">
      <c r="A108" t="s">
        <v>307</v>
      </c>
      <c r="B108" t="s">
        <v>308</v>
      </c>
      <c r="C108" t="s">
        <v>2206</v>
      </c>
      <c r="D108" t="s">
        <v>2266</v>
      </c>
      <c r="E108" t="str">
        <f t="shared" si="12"/>
        <v>Mark Paul</v>
      </c>
      <c r="F108" t="str">
        <f t="shared" si="13"/>
        <v>Mark Paul</v>
      </c>
      <c r="H108" t="s">
        <v>107</v>
      </c>
      <c r="I108" t="str">
        <f t="shared" si="14"/>
        <v>Male</v>
      </c>
      <c r="J108">
        <v>58</v>
      </c>
      <c r="K108">
        <f t="shared" si="15"/>
        <v>58</v>
      </c>
      <c r="L108" t="str">
        <f t="shared" si="16"/>
        <v>Fourth level</v>
      </c>
      <c r="M108" t="s">
        <v>134</v>
      </c>
      <c r="N108" t="s">
        <v>135</v>
      </c>
      <c r="O108" t="s">
        <v>17</v>
      </c>
      <c r="P108">
        <v>3</v>
      </c>
      <c r="Q108">
        <f t="shared" si="17"/>
        <v>3</v>
      </c>
      <c r="R108" t="s">
        <v>65</v>
      </c>
      <c r="S108" s="8" t="s">
        <v>65</v>
      </c>
      <c r="T108" s="9"/>
      <c r="U108" s="9">
        <f t="shared" si="18"/>
        <v>52.364864864864863</v>
      </c>
      <c r="V108" s="10">
        <v>52.364864864864863</v>
      </c>
      <c r="W108">
        <v>0</v>
      </c>
      <c r="X108" s="11">
        <f t="shared" si="19"/>
        <v>0</v>
      </c>
      <c r="Y108" t="s">
        <v>2103</v>
      </c>
      <c r="Z108" t="str">
        <f t="shared" si="24"/>
        <v>Yes</v>
      </c>
      <c r="AA108" t="str">
        <f t="shared" si="21"/>
        <v>Yes</v>
      </c>
      <c r="AB108" t="str">
        <f t="shared" si="22"/>
        <v>Yes</v>
      </c>
      <c r="AC108" s="12"/>
      <c r="AD108" s="12">
        <f t="shared" si="23"/>
        <v>79.442645074224018</v>
      </c>
    </row>
    <row r="109" spans="1:30" x14ac:dyDescent="0.3">
      <c r="A109" t="s">
        <v>309</v>
      </c>
      <c r="B109" t="s">
        <v>310</v>
      </c>
      <c r="C109" t="s">
        <v>2151</v>
      </c>
      <c r="D109" t="s">
        <v>2286</v>
      </c>
      <c r="E109" t="str">
        <f t="shared" si="12"/>
        <v>Jennifer Lewis</v>
      </c>
      <c r="F109" t="str">
        <f t="shared" si="13"/>
        <v>Jennifer Lewis</v>
      </c>
      <c r="H109" t="s">
        <v>86</v>
      </c>
      <c r="I109" t="str">
        <f t="shared" si="14"/>
        <v>Female</v>
      </c>
      <c r="J109">
        <v>45</v>
      </c>
      <c r="K109">
        <f t="shared" si="15"/>
        <v>45</v>
      </c>
      <c r="L109" t="str">
        <f t="shared" si="16"/>
        <v>Third level</v>
      </c>
      <c r="M109" t="s">
        <v>55</v>
      </c>
      <c r="N109" t="s">
        <v>56</v>
      </c>
      <c r="O109" t="s">
        <v>25</v>
      </c>
      <c r="P109">
        <v>19</v>
      </c>
      <c r="Q109">
        <f t="shared" si="17"/>
        <v>19</v>
      </c>
      <c r="R109" t="s">
        <v>76</v>
      </c>
      <c r="S109" s="8" t="s">
        <v>76</v>
      </c>
      <c r="T109" s="9">
        <v>40</v>
      </c>
      <c r="U109" s="9">
        <f t="shared" si="18"/>
        <v>40</v>
      </c>
      <c r="V109" s="10">
        <v>40</v>
      </c>
      <c r="X109" s="11">
        <f t="shared" si="19"/>
        <v>2.5188514357053675</v>
      </c>
      <c r="Y109" t="s">
        <v>2103</v>
      </c>
      <c r="Z109" t="str">
        <f t="shared" si="24"/>
        <v>Yes</v>
      </c>
      <c r="AA109" t="str">
        <f t="shared" si="21"/>
        <v>Yes</v>
      </c>
      <c r="AB109" t="str">
        <f t="shared" si="22"/>
        <v>Yes</v>
      </c>
      <c r="AC109" s="12">
        <v>72</v>
      </c>
      <c r="AD109" s="12">
        <f t="shared" si="23"/>
        <v>72</v>
      </c>
    </row>
    <row r="110" spans="1:30" x14ac:dyDescent="0.3">
      <c r="A110" t="s">
        <v>311</v>
      </c>
      <c r="B110" t="s">
        <v>312</v>
      </c>
      <c r="C110" t="s">
        <v>2287</v>
      </c>
      <c r="D110" t="s">
        <v>2288</v>
      </c>
      <c r="E110" t="str">
        <f t="shared" si="12"/>
        <v>Elizabeth Lester</v>
      </c>
      <c r="F110" t="str">
        <f t="shared" si="13"/>
        <v>Elizabeth Lester</v>
      </c>
      <c r="H110" t="s">
        <v>86</v>
      </c>
      <c r="I110" t="str">
        <f t="shared" si="14"/>
        <v>Female</v>
      </c>
      <c r="J110">
        <v>23</v>
      </c>
      <c r="K110">
        <f t="shared" si="15"/>
        <v>23</v>
      </c>
      <c r="L110" t="str">
        <f t="shared" si="16"/>
        <v>First level</v>
      </c>
      <c r="M110" t="s">
        <v>64</v>
      </c>
      <c r="N110" t="s">
        <v>24</v>
      </c>
      <c r="O110" t="s">
        <v>39</v>
      </c>
      <c r="P110">
        <v>0</v>
      </c>
      <c r="Q110">
        <f t="shared" si="17"/>
        <v>0</v>
      </c>
      <c r="R110" t="s">
        <v>151</v>
      </c>
      <c r="S110" s="8" t="s">
        <v>151</v>
      </c>
      <c r="T110" s="9">
        <v>20</v>
      </c>
      <c r="U110" s="9">
        <f t="shared" si="18"/>
        <v>20</v>
      </c>
      <c r="V110" s="10">
        <v>20</v>
      </c>
      <c r="W110">
        <v>4.7</v>
      </c>
      <c r="X110" s="11">
        <f t="shared" si="19"/>
        <v>4.7</v>
      </c>
      <c r="Y110" t="s">
        <v>2103</v>
      </c>
      <c r="Z110" t="str">
        <f t="shared" si="24"/>
        <v>Yes</v>
      </c>
      <c r="AA110" t="str">
        <f t="shared" si="21"/>
        <v>Yes</v>
      </c>
      <c r="AB110" t="str">
        <f t="shared" si="22"/>
        <v>Yes</v>
      </c>
      <c r="AC110" s="12">
        <v>60</v>
      </c>
      <c r="AD110" s="12">
        <f t="shared" si="23"/>
        <v>60</v>
      </c>
    </row>
    <row r="111" spans="1:30" x14ac:dyDescent="0.3">
      <c r="A111" t="s">
        <v>313</v>
      </c>
      <c r="B111" t="s">
        <v>314</v>
      </c>
      <c r="C111" t="s">
        <v>2281</v>
      </c>
      <c r="D111" t="s">
        <v>2194</v>
      </c>
      <c r="E111" t="str">
        <f t="shared" si="12"/>
        <v>Kimberly Griffin</v>
      </c>
      <c r="F111" t="str">
        <f t="shared" si="13"/>
        <v>Kimberly Griffin</v>
      </c>
      <c r="H111" t="s">
        <v>22</v>
      </c>
      <c r="I111" t="str">
        <f t="shared" si="14"/>
        <v>Female</v>
      </c>
      <c r="J111">
        <v>46</v>
      </c>
      <c r="K111">
        <f t="shared" si="15"/>
        <v>46</v>
      </c>
      <c r="L111" t="str">
        <f t="shared" si="16"/>
        <v>Third level</v>
      </c>
      <c r="M111" t="s">
        <v>64</v>
      </c>
      <c r="N111" t="s">
        <v>24</v>
      </c>
      <c r="O111" t="s">
        <v>49</v>
      </c>
      <c r="P111">
        <v>9</v>
      </c>
      <c r="Q111">
        <f t="shared" si="17"/>
        <v>9</v>
      </c>
      <c r="R111" t="s">
        <v>50</v>
      </c>
      <c r="S111" s="8" t="s">
        <v>50</v>
      </c>
      <c r="T111" s="9">
        <v>30</v>
      </c>
      <c r="U111" s="9">
        <f t="shared" si="18"/>
        <v>30</v>
      </c>
      <c r="V111" s="10">
        <v>30</v>
      </c>
      <c r="W111">
        <v>3.5</v>
      </c>
      <c r="X111" s="11">
        <f t="shared" si="19"/>
        <v>3.5</v>
      </c>
      <c r="Y111" t="s">
        <v>65</v>
      </c>
      <c r="AA111" t="str">
        <f t="shared" si="21"/>
        <v>Unknown</v>
      </c>
      <c r="AB111" t="str">
        <f t="shared" si="22"/>
        <v>Unknown</v>
      </c>
      <c r="AC111" s="12">
        <v>72</v>
      </c>
      <c r="AD111" s="12">
        <f t="shared" si="23"/>
        <v>72</v>
      </c>
    </row>
    <row r="112" spans="1:30" x14ac:dyDescent="0.3">
      <c r="A112" t="s">
        <v>315</v>
      </c>
      <c r="B112" t="s">
        <v>316</v>
      </c>
      <c r="C112" t="s">
        <v>2140</v>
      </c>
      <c r="D112" t="s">
        <v>2289</v>
      </c>
      <c r="E112" t="str">
        <f t="shared" si="12"/>
        <v>Tyler Warner</v>
      </c>
      <c r="F112" t="str">
        <f t="shared" si="13"/>
        <v>Tyler Warner</v>
      </c>
      <c r="H112" t="s">
        <v>69</v>
      </c>
      <c r="I112" t="str">
        <f t="shared" si="14"/>
        <v>Male</v>
      </c>
      <c r="J112">
        <v>27</v>
      </c>
      <c r="K112">
        <f t="shared" si="15"/>
        <v>27</v>
      </c>
      <c r="L112" t="str">
        <f t="shared" si="16"/>
        <v>First level</v>
      </c>
      <c r="M112" t="s">
        <v>80</v>
      </c>
      <c r="N112" t="s">
        <v>81</v>
      </c>
      <c r="O112" t="s">
        <v>82</v>
      </c>
      <c r="P112">
        <v>5</v>
      </c>
      <c r="Q112">
        <f t="shared" si="17"/>
        <v>5</v>
      </c>
      <c r="R112" t="s">
        <v>44</v>
      </c>
      <c r="S112" s="8" t="s">
        <v>44</v>
      </c>
      <c r="T112" s="9">
        <v>30</v>
      </c>
      <c r="U112" s="9">
        <f t="shared" si="18"/>
        <v>30</v>
      </c>
      <c r="V112" s="10">
        <v>30</v>
      </c>
      <c r="X112" s="11">
        <f t="shared" si="19"/>
        <v>2.5148936170212757</v>
      </c>
      <c r="Y112" t="s">
        <v>2102</v>
      </c>
      <c r="Z112" t="str">
        <f t="shared" si="24"/>
        <v>No</v>
      </c>
      <c r="AA112" t="str">
        <f t="shared" si="21"/>
        <v>No</v>
      </c>
      <c r="AB112" t="str">
        <f t="shared" si="22"/>
        <v>No</v>
      </c>
      <c r="AC112" s="12">
        <v>92</v>
      </c>
      <c r="AD112" s="12">
        <f t="shared" si="23"/>
        <v>92</v>
      </c>
    </row>
    <row r="113" spans="1:30" x14ac:dyDescent="0.3">
      <c r="A113" t="s">
        <v>317</v>
      </c>
      <c r="B113" t="s">
        <v>318</v>
      </c>
      <c r="C113" t="s">
        <v>2290</v>
      </c>
      <c r="D113" t="s">
        <v>2291</v>
      </c>
      <c r="E113" t="str">
        <f t="shared" si="12"/>
        <v>Jane Cox</v>
      </c>
      <c r="F113" t="str">
        <f t="shared" si="13"/>
        <v>Jane Cox</v>
      </c>
      <c r="H113" t="s">
        <v>22</v>
      </c>
      <c r="I113" t="str">
        <f t="shared" si="14"/>
        <v>Female</v>
      </c>
      <c r="J113">
        <v>32</v>
      </c>
      <c r="K113">
        <f t="shared" si="15"/>
        <v>32</v>
      </c>
      <c r="L113" t="str">
        <f t="shared" si="16"/>
        <v>Second level</v>
      </c>
      <c r="M113" t="s">
        <v>64</v>
      </c>
      <c r="N113" t="s">
        <v>24</v>
      </c>
      <c r="O113" t="s">
        <v>124</v>
      </c>
      <c r="P113">
        <v>6</v>
      </c>
      <c r="Q113">
        <f t="shared" si="17"/>
        <v>6</v>
      </c>
      <c r="R113" t="s">
        <v>108</v>
      </c>
      <c r="S113" s="8" t="s">
        <v>2095</v>
      </c>
      <c r="T113" s="9">
        <v>50</v>
      </c>
      <c r="U113" s="9">
        <f t="shared" si="18"/>
        <v>50</v>
      </c>
      <c r="V113" s="10">
        <v>50</v>
      </c>
      <c r="W113">
        <v>3.4</v>
      </c>
      <c r="X113" s="11">
        <f t="shared" si="19"/>
        <v>3.4</v>
      </c>
      <c r="Y113" t="s">
        <v>2103</v>
      </c>
      <c r="Z113" t="str">
        <f t="shared" si="24"/>
        <v>Yes</v>
      </c>
      <c r="AA113" t="str">
        <f t="shared" si="21"/>
        <v>Yes</v>
      </c>
      <c r="AB113" t="str">
        <f t="shared" si="22"/>
        <v>Yes</v>
      </c>
      <c r="AC113" s="12"/>
      <c r="AD113" s="12">
        <f t="shared" si="23"/>
        <v>79.472184531886029</v>
      </c>
    </row>
    <row r="114" spans="1:30" x14ac:dyDescent="0.3">
      <c r="A114" t="s">
        <v>319</v>
      </c>
      <c r="B114" t="s">
        <v>320</v>
      </c>
      <c r="C114" t="s">
        <v>2216</v>
      </c>
      <c r="D114" t="s">
        <v>2181</v>
      </c>
      <c r="E114" t="str">
        <f t="shared" si="12"/>
        <v>Leah Williams</v>
      </c>
      <c r="F114" t="str">
        <f t="shared" si="13"/>
        <v>Leah Williams</v>
      </c>
      <c r="H114" t="s">
        <v>86</v>
      </c>
      <c r="I114" t="str">
        <f t="shared" si="14"/>
        <v>Female</v>
      </c>
      <c r="J114">
        <v>48</v>
      </c>
      <c r="K114">
        <f t="shared" si="15"/>
        <v>48</v>
      </c>
      <c r="L114" t="str">
        <f t="shared" si="16"/>
        <v>Third level</v>
      </c>
      <c r="M114" t="s">
        <v>80</v>
      </c>
      <c r="N114" t="s">
        <v>81</v>
      </c>
      <c r="O114" t="s">
        <v>124</v>
      </c>
      <c r="P114">
        <v>6</v>
      </c>
      <c r="Q114">
        <f t="shared" si="17"/>
        <v>6</v>
      </c>
      <c r="R114" t="s">
        <v>58</v>
      </c>
      <c r="S114" s="8" t="s">
        <v>2093</v>
      </c>
      <c r="T114" s="9">
        <v>75</v>
      </c>
      <c r="U114" s="9">
        <f t="shared" si="18"/>
        <v>75</v>
      </c>
      <c r="V114" s="10">
        <v>75</v>
      </c>
      <c r="W114">
        <v>2.5</v>
      </c>
      <c r="X114" s="11">
        <f t="shared" si="19"/>
        <v>2.5</v>
      </c>
      <c r="AA114" t="str">
        <f t="shared" si="21"/>
        <v>Unknown</v>
      </c>
      <c r="AB114" t="str">
        <f t="shared" si="22"/>
        <v>Unknown</v>
      </c>
      <c r="AC114" s="12">
        <v>92</v>
      </c>
      <c r="AD114" s="12">
        <f t="shared" si="23"/>
        <v>92</v>
      </c>
    </row>
    <row r="115" spans="1:30" x14ac:dyDescent="0.3">
      <c r="A115" t="s">
        <v>321</v>
      </c>
      <c r="B115" t="s">
        <v>322</v>
      </c>
      <c r="C115" t="s">
        <v>2292</v>
      </c>
      <c r="D115" t="s">
        <v>2293</v>
      </c>
      <c r="E115" t="str">
        <f t="shared" si="12"/>
        <v>Kevin Wong</v>
      </c>
      <c r="F115" t="str">
        <f t="shared" si="13"/>
        <v>Kevin Wong</v>
      </c>
      <c r="H115" t="s">
        <v>30</v>
      </c>
      <c r="I115" t="str">
        <f t="shared" si="14"/>
        <v>Male</v>
      </c>
      <c r="J115">
        <v>30</v>
      </c>
      <c r="K115">
        <f t="shared" si="15"/>
        <v>30</v>
      </c>
      <c r="L115" t="str">
        <f t="shared" si="16"/>
        <v>First level</v>
      </c>
      <c r="M115" t="s">
        <v>70</v>
      </c>
      <c r="N115" t="s">
        <v>71</v>
      </c>
      <c r="O115" t="s">
        <v>25</v>
      </c>
      <c r="P115">
        <v>3</v>
      </c>
      <c r="Q115">
        <f t="shared" si="17"/>
        <v>3</v>
      </c>
      <c r="R115" t="s">
        <v>50</v>
      </c>
      <c r="S115" s="8" t="s">
        <v>50</v>
      </c>
      <c r="T115" s="9">
        <v>30</v>
      </c>
      <c r="U115" s="9">
        <f t="shared" si="18"/>
        <v>30</v>
      </c>
      <c r="V115" s="10">
        <v>30</v>
      </c>
      <c r="W115">
        <v>1.1000000000000001</v>
      </c>
      <c r="X115" s="11">
        <f t="shared" si="19"/>
        <v>1.1000000000000001</v>
      </c>
      <c r="Y115" t="s">
        <v>2103</v>
      </c>
      <c r="Z115" t="str">
        <f t="shared" si="24"/>
        <v>Yes</v>
      </c>
      <c r="AA115" t="str">
        <f t="shared" si="21"/>
        <v>Yes</v>
      </c>
      <c r="AB115" t="str">
        <f t="shared" si="22"/>
        <v>Yes</v>
      </c>
      <c r="AC115" s="12"/>
      <c r="AD115" s="12">
        <f t="shared" si="23"/>
        <v>79.455163043478265</v>
      </c>
    </row>
    <row r="116" spans="1:30" x14ac:dyDescent="0.3">
      <c r="A116" t="s">
        <v>323</v>
      </c>
      <c r="B116" t="s">
        <v>324</v>
      </c>
      <c r="C116" t="s">
        <v>2165</v>
      </c>
      <c r="D116" t="s">
        <v>2294</v>
      </c>
      <c r="E116" t="str">
        <f t="shared" si="12"/>
        <v>Robert Andrews</v>
      </c>
      <c r="F116" t="str">
        <f t="shared" si="13"/>
        <v>Robert Andrews</v>
      </c>
      <c r="H116" t="s">
        <v>107</v>
      </c>
      <c r="I116" t="str">
        <f t="shared" si="14"/>
        <v>Male</v>
      </c>
      <c r="J116">
        <v>59</v>
      </c>
      <c r="K116">
        <f t="shared" si="15"/>
        <v>59</v>
      </c>
      <c r="L116" t="str">
        <f t="shared" si="16"/>
        <v>Fourth level</v>
      </c>
      <c r="M116" t="s">
        <v>70</v>
      </c>
      <c r="N116" t="s">
        <v>71</v>
      </c>
      <c r="O116" t="s">
        <v>49</v>
      </c>
      <c r="P116">
        <v>13</v>
      </c>
      <c r="Q116">
        <f t="shared" si="17"/>
        <v>13</v>
      </c>
      <c r="R116" t="s">
        <v>325</v>
      </c>
      <c r="S116" s="8" t="s">
        <v>2097</v>
      </c>
      <c r="T116" s="9">
        <v>20</v>
      </c>
      <c r="U116" s="9">
        <f t="shared" si="18"/>
        <v>20</v>
      </c>
      <c r="V116" s="10">
        <v>20</v>
      </c>
      <c r="W116">
        <v>4.8</v>
      </c>
      <c r="X116" s="11">
        <f t="shared" si="19"/>
        <v>4.8</v>
      </c>
      <c r="Y116" t="s">
        <v>65</v>
      </c>
      <c r="AA116" t="str">
        <f t="shared" si="21"/>
        <v>Unknown</v>
      </c>
      <c r="AB116" t="str">
        <f t="shared" si="22"/>
        <v>Unknown</v>
      </c>
      <c r="AC116" s="12"/>
      <c r="AD116" s="12">
        <f t="shared" si="23"/>
        <v>79.455163043478265</v>
      </c>
    </row>
    <row r="117" spans="1:30" x14ac:dyDescent="0.3">
      <c r="A117" t="s">
        <v>326</v>
      </c>
      <c r="B117" t="s">
        <v>327</v>
      </c>
      <c r="C117" t="s">
        <v>2168</v>
      </c>
      <c r="D117" t="s">
        <v>2295</v>
      </c>
      <c r="E117" t="str">
        <f t="shared" si="12"/>
        <v>Jessica Torres</v>
      </c>
      <c r="F117" t="str">
        <f t="shared" si="13"/>
        <v>Jessica Torres</v>
      </c>
      <c r="H117" t="s">
        <v>43</v>
      </c>
      <c r="I117" t="str">
        <f t="shared" si="14"/>
        <v>Female</v>
      </c>
      <c r="J117">
        <v>32</v>
      </c>
      <c r="K117">
        <f t="shared" si="15"/>
        <v>32</v>
      </c>
      <c r="L117" t="str">
        <f t="shared" si="16"/>
        <v>Second level</v>
      </c>
      <c r="M117" t="s">
        <v>190</v>
      </c>
      <c r="N117" t="s">
        <v>81</v>
      </c>
      <c r="O117" t="s">
        <v>49</v>
      </c>
      <c r="P117">
        <v>5</v>
      </c>
      <c r="Q117">
        <f t="shared" si="17"/>
        <v>5</v>
      </c>
      <c r="R117" t="s">
        <v>50</v>
      </c>
      <c r="S117" s="8" t="s">
        <v>50</v>
      </c>
      <c r="T117" s="9">
        <v>30</v>
      </c>
      <c r="U117" s="9">
        <f t="shared" si="18"/>
        <v>30</v>
      </c>
      <c r="V117" s="10">
        <v>30</v>
      </c>
      <c r="X117" s="11">
        <f t="shared" si="19"/>
        <v>2.5127044025157219</v>
      </c>
      <c r="Y117" t="s">
        <v>2102</v>
      </c>
      <c r="Z117" t="str">
        <f t="shared" si="24"/>
        <v>No</v>
      </c>
      <c r="AA117" t="str">
        <f t="shared" si="21"/>
        <v>No</v>
      </c>
      <c r="AB117" t="str">
        <f t="shared" si="22"/>
        <v>No</v>
      </c>
      <c r="AC117" s="12">
        <v>86</v>
      </c>
      <c r="AD117" s="12">
        <f t="shared" si="23"/>
        <v>86</v>
      </c>
    </row>
    <row r="118" spans="1:30" x14ac:dyDescent="0.3">
      <c r="A118" t="s">
        <v>328</v>
      </c>
      <c r="B118" t="s">
        <v>329</v>
      </c>
      <c r="C118" t="s">
        <v>2296</v>
      </c>
      <c r="D118" t="s">
        <v>2297</v>
      </c>
      <c r="E118" t="str">
        <f t="shared" si="12"/>
        <v>Teresa Kim</v>
      </c>
      <c r="F118" t="str">
        <f t="shared" si="13"/>
        <v>Teresa Kim</v>
      </c>
      <c r="H118" t="s">
        <v>86</v>
      </c>
      <c r="I118" t="str">
        <f t="shared" si="14"/>
        <v>Female</v>
      </c>
      <c r="J118">
        <v>57</v>
      </c>
      <c r="K118">
        <f t="shared" si="15"/>
        <v>57</v>
      </c>
      <c r="L118" t="str">
        <f t="shared" si="16"/>
        <v>Fourth level</v>
      </c>
      <c r="M118" t="s">
        <v>149</v>
      </c>
      <c r="N118" t="s">
        <v>150</v>
      </c>
      <c r="O118" t="s">
        <v>82</v>
      </c>
      <c r="P118">
        <v>4</v>
      </c>
      <c r="Q118">
        <f t="shared" si="17"/>
        <v>4</v>
      </c>
      <c r="R118" t="s">
        <v>61</v>
      </c>
      <c r="S118" s="8" t="s">
        <v>2094</v>
      </c>
      <c r="T118" s="9">
        <v>40</v>
      </c>
      <c r="U118" s="9">
        <f t="shared" si="18"/>
        <v>40</v>
      </c>
      <c r="V118" s="10">
        <v>40</v>
      </c>
      <c r="W118">
        <v>3.4</v>
      </c>
      <c r="X118" s="11">
        <f t="shared" si="19"/>
        <v>3.4</v>
      </c>
      <c r="Y118" t="s">
        <v>2103</v>
      </c>
      <c r="Z118" t="str">
        <f t="shared" si="24"/>
        <v>Yes</v>
      </c>
      <c r="AA118" t="str">
        <f t="shared" si="21"/>
        <v>Yes</v>
      </c>
      <c r="AB118" t="str">
        <f t="shared" si="22"/>
        <v>Yes</v>
      </c>
      <c r="AC118" s="12">
        <v>68</v>
      </c>
      <c r="AD118" s="12">
        <f t="shared" si="23"/>
        <v>68</v>
      </c>
    </row>
    <row r="119" spans="1:30" x14ac:dyDescent="0.3">
      <c r="A119" t="s">
        <v>330</v>
      </c>
      <c r="B119" t="s">
        <v>331</v>
      </c>
      <c r="C119" t="s">
        <v>2298</v>
      </c>
      <c r="D119" t="s">
        <v>2299</v>
      </c>
      <c r="E119" t="str">
        <f t="shared" si="12"/>
        <v>Jon Morgan</v>
      </c>
      <c r="F119" t="str">
        <f t="shared" si="13"/>
        <v>Jon Morgan</v>
      </c>
      <c r="H119" t="s">
        <v>69</v>
      </c>
      <c r="I119" t="str">
        <f t="shared" si="14"/>
        <v>Male</v>
      </c>
      <c r="J119">
        <v>27</v>
      </c>
      <c r="K119">
        <f t="shared" si="15"/>
        <v>27</v>
      </c>
      <c r="L119" t="str">
        <f t="shared" si="16"/>
        <v>First level</v>
      </c>
      <c r="M119" t="s">
        <v>23</v>
      </c>
      <c r="N119" t="s">
        <v>24</v>
      </c>
      <c r="O119" t="s">
        <v>124</v>
      </c>
      <c r="P119">
        <v>7</v>
      </c>
      <c r="Q119">
        <f t="shared" si="17"/>
        <v>7</v>
      </c>
      <c r="R119" t="s">
        <v>325</v>
      </c>
      <c r="S119" s="8" t="s">
        <v>2097</v>
      </c>
      <c r="T119" s="9">
        <v>20</v>
      </c>
      <c r="U119" s="9">
        <f t="shared" si="18"/>
        <v>20</v>
      </c>
      <c r="V119" s="10">
        <v>20</v>
      </c>
      <c r="W119">
        <v>3.2</v>
      </c>
      <c r="X119" s="11">
        <f t="shared" si="19"/>
        <v>3.2</v>
      </c>
      <c r="Y119" t="s">
        <v>2103</v>
      </c>
      <c r="Z119" t="str">
        <f t="shared" si="24"/>
        <v>Yes</v>
      </c>
      <c r="AA119" t="str">
        <f t="shared" si="21"/>
        <v>Yes</v>
      </c>
      <c r="AB119" t="str">
        <f t="shared" si="22"/>
        <v>Yes</v>
      </c>
      <c r="AC119" s="12">
        <v>62</v>
      </c>
      <c r="AD119" s="12">
        <f t="shared" si="23"/>
        <v>62</v>
      </c>
    </row>
    <row r="120" spans="1:30" x14ac:dyDescent="0.3">
      <c r="A120" t="s">
        <v>332</v>
      </c>
      <c r="B120" t="s">
        <v>333</v>
      </c>
      <c r="C120" t="s">
        <v>2300</v>
      </c>
      <c r="D120" t="s">
        <v>2301</v>
      </c>
      <c r="E120" t="str">
        <f t="shared" si="12"/>
        <v>Gloria Chaney</v>
      </c>
      <c r="F120" t="str">
        <f t="shared" si="13"/>
        <v>Gloria Chaney</v>
      </c>
      <c r="H120" t="s">
        <v>86</v>
      </c>
      <c r="I120" t="str">
        <f t="shared" si="14"/>
        <v>Female</v>
      </c>
      <c r="J120">
        <v>33</v>
      </c>
      <c r="K120">
        <f t="shared" si="15"/>
        <v>33</v>
      </c>
      <c r="L120" t="str">
        <f t="shared" si="16"/>
        <v>Second level</v>
      </c>
      <c r="M120" t="s">
        <v>55</v>
      </c>
      <c r="N120" t="s">
        <v>56</v>
      </c>
      <c r="O120" t="s">
        <v>124</v>
      </c>
      <c r="P120">
        <v>13</v>
      </c>
      <c r="Q120">
        <f t="shared" si="17"/>
        <v>13</v>
      </c>
      <c r="R120" t="s">
        <v>151</v>
      </c>
      <c r="S120" s="8" t="s">
        <v>151</v>
      </c>
      <c r="T120" s="9">
        <v>20</v>
      </c>
      <c r="U120" s="9">
        <f t="shared" si="18"/>
        <v>20</v>
      </c>
      <c r="V120" s="10">
        <v>20</v>
      </c>
      <c r="W120">
        <v>3.2</v>
      </c>
      <c r="X120" s="11">
        <f t="shared" si="19"/>
        <v>3.2</v>
      </c>
      <c r="Y120" t="s">
        <v>2102</v>
      </c>
      <c r="Z120" t="str">
        <f t="shared" si="24"/>
        <v>No</v>
      </c>
      <c r="AA120" t="str">
        <f t="shared" si="21"/>
        <v>No</v>
      </c>
      <c r="AB120" t="str">
        <f t="shared" si="22"/>
        <v>No</v>
      </c>
      <c r="AC120" s="12"/>
      <c r="AD120" s="12">
        <f t="shared" si="23"/>
        <v>79.485675306957702</v>
      </c>
    </row>
    <row r="121" spans="1:30" x14ac:dyDescent="0.3">
      <c r="A121" t="s">
        <v>334</v>
      </c>
      <c r="B121" t="s">
        <v>335</v>
      </c>
      <c r="C121" t="s">
        <v>2302</v>
      </c>
      <c r="D121" t="s">
        <v>2303</v>
      </c>
      <c r="E121" t="str">
        <f t="shared" si="12"/>
        <v>Jesse Campbell</v>
      </c>
      <c r="F121" t="str">
        <f t="shared" si="13"/>
        <v>Jesse Campbell</v>
      </c>
      <c r="H121" t="s">
        <v>30</v>
      </c>
      <c r="I121" t="str">
        <f t="shared" si="14"/>
        <v>Male</v>
      </c>
      <c r="J121">
        <v>29</v>
      </c>
      <c r="K121">
        <f t="shared" si="15"/>
        <v>29</v>
      </c>
      <c r="L121" t="str">
        <f t="shared" si="16"/>
        <v>First level</v>
      </c>
      <c r="M121" t="s">
        <v>122</v>
      </c>
      <c r="N121" t="s">
        <v>123</v>
      </c>
      <c r="O121" t="s">
        <v>57</v>
      </c>
      <c r="P121">
        <v>4</v>
      </c>
      <c r="Q121">
        <f t="shared" si="17"/>
        <v>4</v>
      </c>
      <c r="R121" t="s">
        <v>44</v>
      </c>
      <c r="S121" s="8" t="s">
        <v>44</v>
      </c>
      <c r="T121" s="9">
        <v>30</v>
      </c>
      <c r="U121" s="9">
        <f t="shared" si="18"/>
        <v>30</v>
      </c>
      <c r="V121" s="10">
        <v>30</v>
      </c>
      <c r="W121">
        <v>0</v>
      </c>
      <c r="X121" s="11">
        <f t="shared" si="19"/>
        <v>0</v>
      </c>
      <c r="Y121" t="s">
        <v>2103</v>
      </c>
      <c r="Z121" t="str">
        <f t="shared" si="24"/>
        <v>Yes</v>
      </c>
      <c r="AA121" t="str">
        <f t="shared" si="21"/>
        <v>Yes</v>
      </c>
      <c r="AB121" t="str">
        <f t="shared" si="22"/>
        <v>Yes</v>
      </c>
      <c r="AC121" s="12">
        <v>82</v>
      </c>
      <c r="AD121" s="12">
        <f t="shared" si="23"/>
        <v>82</v>
      </c>
    </row>
    <row r="122" spans="1:30" x14ac:dyDescent="0.3">
      <c r="A122" t="s">
        <v>336</v>
      </c>
      <c r="B122" t="s">
        <v>337</v>
      </c>
      <c r="C122" t="s">
        <v>2304</v>
      </c>
      <c r="D122" t="s">
        <v>2305</v>
      </c>
      <c r="E122" t="str">
        <f t="shared" si="12"/>
        <v>Allison Tucker</v>
      </c>
      <c r="F122" t="str">
        <f t="shared" si="13"/>
        <v>Allison Tucker</v>
      </c>
      <c r="H122" t="s">
        <v>43</v>
      </c>
      <c r="I122" t="str">
        <f t="shared" si="14"/>
        <v>Female</v>
      </c>
      <c r="J122">
        <v>36</v>
      </c>
      <c r="K122">
        <f t="shared" si="15"/>
        <v>36</v>
      </c>
      <c r="L122" t="str">
        <f t="shared" si="16"/>
        <v>Second level</v>
      </c>
      <c r="M122" t="s">
        <v>55</v>
      </c>
      <c r="N122" t="s">
        <v>56</v>
      </c>
      <c r="O122" t="s">
        <v>82</v>
      </c>
      <c r="P122">
        <v>13</v>
      </c>
      <c r="Q122">
        <f t="shared" si="17"/>
        <v>13</v>
      </c>
      <c r="R122" t="s">
        <v>92</v>
      </c>
      <c r="S122" s="8" t="s">
        <v>92</v>
      </c>
      <c r="T122" s="9">
        <v>75</v>
      </c>
      <c r="U122" s="9">
        <f t="shared" si="18"/>
        <v>75</v>
      </c>
      <c r="V122" s="10">
        <v>75</v>
      </c>
      <c r="X122" s="11">
        <f t="shared" si="19"/>
        <v>2.5130214917825526</v>
      </c>
      <c r="Y122" t="s">
        <v>2103</v>
      </c>
      <c r="Z122" t="str">
        <f t="shared" si="24"/>
        <v>Yes</v>
      </c>
      <c r="AA122" t="str">
        <f t="shared" si="21"/>
        <v>Yes</v>
      </c>
      <c r="AB122" t="str">
        <f t="shared" si="22"/>
        <v>Yes</v>
      </c>
      <c r="AC122" s="12"/>
      <c r="AD122" s="12">
        <f t="shared" si="23"/>
        <v>79.482240437158467</v>
      </c>
    </row>
    <row r="123" spans="1:30" x14ac:dyDescent="0.3">
      <c r="A123" t="s">
        <v>338</v>
      </c>
      <c r="B123" t="s">
        <v>339</v>
      </c>
      <c r="C123" t="s">
        <v>2306</v>
      </c>
      <c r="D123" t="s">
        <v>2307</v>
      </c>
      <c r="E123" t="str">
        <f t="shared" si="12"/>
        <v>Candice Petersen</v>
      </c>
      <c r="F123" t="str">
        <f t="shared" si="13"/>
        <v>Candice Petersen</v>
      </c>
      <c r="H123" t="s">
        <v>86</v>
      </c>
      <c r="I123" t="str">
        <f t="shared" si="14"/>
        <v>Female</v>
      </c>
      <c r="J123">
        <v>47</v>
      </c>
      <c r="K123">
        <f t="shared" si="15"/>
        <v>47</v>
      </c>
      <c r="L123" t="str">
        <f t="shared" si="16"/>
        <v>Third level</v>
      </c>
      <c r="M123" t="s">
        <v>15</v>
      </c>
      <c r="N123" t="s">
        <v>16</v>
      </c>
      <c r="O123" t="s">
        <v>99</v>
      </c>
      <c r="P123">
        <v>5</v>
      </c>
      <c r="Q123">
        <f t="shared" si="17"/>
        <v>5</v>
      </c>
      <c r="R123" t="s">
        <v>40</v>
      </c>
      <c r="S123" s="8" t="s">
        <v>40</v>
      </c>
      <c r="T123" s="9">
        <v>40</v>
      </c>
      <c r="U123" s="9">
        <f t="shared" si="18"/>
        <v>40</v>
      </c>
      <c r="V123" s="10">
        <v>40</v>
      </c>
      <c r="W123">
        <v>3.7</v>
      </c>
      <c r="X123" s="11">
        <f t="shared" si="19"/>
        <v>3.7</v>
      </c>
      <c r="Y123" t="s">
        <v>2102</v>
      </c>
      <c r="Z123" t="str">
        <f t="shared" si="24"/>
        <v>No</v>
      </c>
      <c r="AA123" t="str">
        <f t="shared" si="21"/>
        <v>No</v>
      </c>
      <c r="AB123" t="str">
        <f t="shared" si="22"/>
        <v>No</v>
      </c>
      <c r="AC123" s="12">
        <v>93</v>
      </c>
      <c r="AD123" s="12">
        <f t="shared" si="23"/>
        <v>93</v>
      </c>
    </row>
    <row r="124" spans="1:30" x14ac:dyDescent="0.3">
      <c r="A124" t="s">
        <v>340</v>
      </c>
      <c r="B124" t="s">
        <v>341</v>
      </c>
      <c r="C124" t="s">
        <v>2308</v>
      </c>
      <c r="D124" t="s">
        <v>2309</v>
      </c>
      <c r="E124" t="str">
        <f t="shared" si="12"/>
        <v>Christopher Nichols</v>
      </c>
      <c r="F124" t="str">
        <f t="shared" si="13"/>
        <v>Christopher Nichols</v>
      </c>
      <c r="H124" t="s">
        <v>69</v>
      </c>
      <c r="I124" t="str">
        <f t="shared" si="14"/>
        <v>Male</v>
      </c>
      <c r="J124">
        <v>48</v>
      </c>
      <c r="K124">
        <f t="shared" si="15"/>
        <v>48</v>
      </c>
      <c r="L124" t="str">
        <f t="shared" si="16"/>
        <v>Third level</v>
      </c>
      <c r="M124" t="s">
        <v>138</v>
      </c>
      <c r="N124" t="s">
        <v>24</v>
      </c>
      <c r="O124" t="s">
        <v>124</v>
      </c>
      <c r="P124">
        <v>15</v>
      </c>
      <c r="Q124">
        <f t="shared" si="17"/>
        <v>15</v>
      </c>
      <c r="R124" t="s">
        <v>108</v>
      </c>
      <c r="S124" s="8" t="s">
        <v>2095</v>
      </c>
      <c r="T124" s="9">
        <v>50</v>
      </c>
      <c r="U124" s="9">
        <f t="shared" si="18"/>
        <v>50</v>
      </c>
      <c r="V124" s="10">
        <v>50</v>
      </c>
      <c r="W124">
        <v>1</v>
      </c>
      <c r="X124" s="11">
        <f t="shared" si="19"/>
        <v>1</v>
      </c>
      <c r="Y124" t="s">
        <v>2103</v>
      </c>
      <c r="Z124" t="str">
        <f t="shared" si="24"/>
        <v>Yes</v>
      </c>
      <c r="AA124" t="str">
        <f t="shared" si="21"/>
        <v>Yes</v>
      </c>
      <c r="AB124" t="str">
        <f t="shared" si="22"/>
        <v>Yes</v>
      </c>
      <c r="AC124" s="12">
        <v>64</v>
      </c>
      <c r="AD124" s="12">
        <f t="shared" si="23"/>
        <v>64</v>
      </c>
    </row>
    <row r="125" spans="1:30" x14ac:dyDescent="0.3">
      <c r="A125" t="s">
        <v>342</v>
      </c>
      <c r="B125" t="s">
        <v>343</v>
      </c>
      <c r="C125" t="s">
        <v>2310</v>
      </c>
      <c r="D125" t="s">
        <v>2109</v>
      </c>
      <c r="E125" t="str">
        <f t="shared" si="12"/>
        <v>Debra Garcia</v>
      </c>
      <c r="F125" t="str">
        <f t="shared" si="13"/>
        <v>Debra Garcia</v>
      </c>
      <c r="H125" t="s">
        <v>86</v>
      </c>
      <c r="I125" t="str">
        <f t="shared" si="14"/>
        <v>Female</v>
      </c>
      <c r="J125">
        <v>27</v>
      </c>
      <c r="K125">
        <f t="shared" si="15"/>
        <v>27</v>
      </c>
      <c r="L125" t="str">
        <f t="shared" si="16"/>
        <v>First level</v>
      </c>
      <c r="M125" t="s">
        <v>186</v>
      </c>
      <c r="N125" t="s">
        <v>187</v>
      </c>
      <c r="O125" t="s">
        <v>82</v>
      </c>
      <c r="P125">
        <v>8</v>
      </c>
      <c r="Q125">
        <f t="shared" si="17"/>
        <v>8</v>
      </c>
      <c r="R125" t="s">
        <v>72</v>
      </c>
      <c r="S125" s="8" t="s">
        <v>72</v>
      </c>
      <c r="T125" s="9">
        <v>50</v>
      </c>
      <c r="U125" s="9">
        <f t="shared" si="18"/>
        <v>50</v>
      </c>
      <c r="V125" s="10">
        <v>50</v>
      </c>
      <c r="W125">
        <v>0</v>
      </c>
      <c r="X125" s="11">
        <f t="shared" si="19"/>
        <v>0</v>
      </c>
      <c r="Y125" t="s">
        <v>65</v>
      </c>
      <c r="AA125" t="str">
        <f t="shared" si="21"/>
        <v>Unknown</v>
      </c>
      <c r="AB125" t="str">
        <f t="shared" si="22"/>
        <v>Unknown</v>
      </c>
      <c r="AC125" s="12"/>
      <c r="AD125" s="12">
        <f t="shared" si="23"/>
        <v>79.484931506849321</v>
      </c>
    </row>
    <row r="126" spans="1:30" x14ac:dyDescent="0.3">
      <c r="A126" t="s">
        <v>344</v>
      </c>
      <c r="B126" t="s">
        <v>345</v>
      </c>
      <c r="C126" t="s">
        <v>2251</v>
      </c>
      <c r="D126" t="s">
        <v>2311</v>
      </c>
      <c r="E126" t="str">
        <f t="shared" si="12"/>
        <v>Andrew Fuentes</v>
      </c>
      <c r="F126" t="str">
        <f t="shared" si="13"/>
        <v>Andrew Fuentes</v>
      </c>
      <c r="H126" t="s">
        <v>30</v>
      </c>
      <c r="I126" t="str">
        <f t="shared" si="14"/>
        <v>Male</v>
      </c>
      <c r="J126">
        <v>34</v>
      </c>
      <c r="K126">
        <f t="shared" si="15"/>
        <v>34</v>
      </c>
      <c r="L126" t="str">
        <f t="shared" si="16"/>
        <v>Second level</v>
      </c>
      <c r="M126" t="s">
        <v>23</v>
      </c>
      <c r="N126" t="s">
        <v>24</v>
      </c>
      <c r="O126" t="s">
        <v>39</v>
      </c>
      <c r="P126">
        <v>10</v>
      </c>
      <c r="Q126">
        <f t="shared" si="17"/>
        <v>10</v>
      </c>
      <c r="R126" t="s">
        <v>65</v>
      </c>
      <c r="S126" s="8" t="s">
        <v>65</v>
      </c>
      <c r="T126" s="9"/>
      <c r="U126" s="9">
        <f t="shared" si="18"/>
        <v>52.678795483061478</v>
      </c>
      <c r="V126" s="10">
        <v>52.678795483061478</v>
      </c>
      <c r="W126">
        <v>1.7</v>
      </c>
      <c r="X126" s="11">
        <f t="shared" si="19"/>
        <v>1.7</v>
      </c>
      <c r="Y126" t="s">
        <v>2102</v>
      </c>
      <c r="Z126" t="str">
        <f t="shared" si="24"/>
        <v>No</v>
      </c>
      <c r="AA126" t="str">
        <f t="shared" si="21"/>
        <v>No</v>
      </c>
      <c r="AB126" t="str">
        <f t="shared" si="22"/>
        <v>No</v>
      </c>
      <c r="AC126" s="12">
        <v>96</v>
      </c>
      <c r="AD126" s="12">
        <f t="shared" si="23"/>
        <v>96</v>
      </c>
    </row>
    <row r="127" spans="1:30" x14ac:dyDescent="0.3">
      <c r="A127" t="s">
        <v>346</v>
      </c>
      <c r="B127" t="s">
        <v>347</v>
      </c>
      <c r="C127" t="s">
        <v>2184</v>
      </c>
      <c r="D127" t="s">
        <v>2150</v>
      </c>
      <c r="E127" t="str">
        <f t="shared" si="12"/>
        <v>Jason Carter</v>
      </c>
      <c r="F127" t="str">
        <f t="shared" si="13"/>
        <v>Jason Carter</v>
      </c>
      <c r="H127" t="s">
        <v>107</v>
      </c>
      <c r="I127" t="str">
        <f t="shared" si="14"/>
        <v>Male</v>
      </c>
      <c r="J127">
        <v>49</v>
      </c>
      <c r="K127">
        <f t="shared" si="15"/>
        <v>49</v>
      </c>
      <c r="L127" t="str">
        <f t="shared" si="16"/>
        <v>Third level</v>
      </c>
      <c r="M127" t="s">
        <v>122</v>
      </c>
      <c r="N127" t="s">
        <v>123</v>
      </c>
      <c r="O127" t="s">
        <v>57</v>
      </c>
      <c r="P127">
        <v>19</v>
      </c>
      <c r="Q127">
        <f t="shared" si="17"/>
        <v>19</v>
      </c>
      <c r="R127" t="s">
        <v>65</v>
      </c>
      <c r="S127" s="8" t="s">
        <v>65</v>
      </c>
      <c r="T127" s="9"/>
      <c r="U127" s="9">
        <f t="shared" si="18"/>
        <v>52.6821608040201</v>
      </c>
      <c r="V127" s="10">
        <v>52.6821608040201</v>
      </c>
      <c r="W127">
        <v>5</v>
      </c>
      <c r="X127" s="11">
        <f t="shared" si="19"/>
        <v>5</v>
      </c>
      <c r="Y127" t="s">
        <v>2103</v>
      </c>
      <c r="Z127" t="str">
        <f t="shared" si="24"/>
        <v>Yes</v>
      </c>
      <c r="AA127" t="str">
        <f t="shared" si="21"/>
        <v>Yes</v>
      </c>
      <c r="AB127" t="str">
        <f t="shared" si="22"/>
        <v>Yes</v>
      </c>
      <c r="AC127" s="12">
        <v>83</v>
      </c>
      <c r="AD127" s="12">
        <f t="shared" si="23"/>
        <v>83</v>
      </c>
    </row>
    <row r="128" spans="1:30" x14ac:dyDescent="0.3">
      <c r="A128" t="s">
        <v>348</v>
      </c>
      <c r="B128" t="s">
        <v>349</v>
      </c>
      <c r="C128" t="s">
        <v>2254</v>
      </c>
      <c r="D128" t="s">
        <v>2312</v>
      </c>
      <c r="E128" t="str">
        <f t="shared" si="12"/>
        <v>Austin Romero</v>
      </c>
      <c r="F128" t="str">
        <f t="shared" si="13"/>
        <v>Austin Romero</v>
      </c>
      <c r="H128" t="s">
        <v>30</v>
      </c>
      <c r="I128" t="str">
        <f t="shared" si="14"/>
        <v>Male</v>
      </c>
      <c r="J128">
        <v>30</v>
      </c>
      <c r="K128">
        <f t="shared" si="15"/>
        <v>30</v>
      </c>
      <c r="L128" t="str">
        <f t="shared" si="16"/>
        <v>First level</v>
      </c>
      <c r="M128" t="s">
        <v>117</v>
      </c>
      <c r="N128" t="s">
        <v>118</v>
      </c>
      <c r="O128" t="s">
        <v>25</v>
      </c>
      <c r="P128">
        <v>10</v>
      </c>
      <c r="Q128">
        <f t="shared" si="17"/>
        <v>10</v>
      </c>
      <c r="R128" t="s">
        <v>240</v>
      </c>
      <c r="S128" s="8" t="s">
        <v>18</v>
      </c>
      <c r="T128" s="9">
        <v>100</v>
      </c>
      <c r="U128" s="9">
        <f t="shared" si="18"/>
        <v>100</v>
      </c>
      <c r="V128" s="10">
        <v>100</v>
      </c>
      <c r="W128">
        <v>1.7</v>
      </c>
      <c r="X128" s="11">
        <f t="shared" si="19"/>
        <v>1.7</v>
      </c>
      <c r="Y128" t="s">
        <v>77</v>
      </c>
      <c r="Z128" t="str">
        <f t="shared" si="24"/>
        <v>yes</v>
      </c>
      <c r="AA128" t="str">
        <f t="shared" si="21"/>
        <v>yes</v>
      </c>
      <c r="AB128" t="str">
        <f t="shared" si="22"/>
        <v>Yes</v>
      </c>
      <c r="AC128" s="12">
        <v>64</v>
      </c>
      <c r="AD128" s="12">
        <f t="shared" si="23"/>
        <v>64</v>
      </c>
    </row>
    <row r="129" spans="1:30" x14ac:dyDescent="0.3">
      <c r="A129" t="s">
        <v>350</v>
      </c>
      <c r="B129" t="s">
        <v>351</v>
      </c>
      <c r="C129" t="s">
        <v>2313</v>
      </c>
      <c r="D129" t="s">
        <v>2139</v>
      </c>
      <c r="E129" t="str">
        <f t="shared" si="12"/>
        <v>Clayton Burns</v>
      </c>
      <c r="F129" t="str">
        <f t="shared" si="13"/>
        <v>Clayton Burns</v>
      </c>
      <c r="H129" t="s">
        <v>30</v>
      </c>
      <c r="I129" t="str">
        <f t="shared" si="14"/>
        <v>Male</v>
      </c>
      <c r="J129">
        <v>31</v>
      </c>
      <c r="K129">
        <f t="shared" si="15"/>
        <v>31</v>
      </c>
      <c r="L129" t="str">
        <f t="shared" si="16"/>
        <v>Second level</v>
      </c>
      <c r="M129" t="s">
        <v>149</v>
      </c>
      <c r="N129" t="s">
        <v>150</v>
      </c>
      <c r="O129" t="s">
        <v>33</v>
      </c>
      <c r="P129">
        <v>8</v>
      </c>
      <c r="Q129">
        <f t="shared" si="17"/>
        <v>8</v>
      </c>
      <c r="R129" t="s">
        <v>76</v>
      </c>
      <c r="S129" s="8" t="s">
        <v>76</v>
      </c>
      <c r="T129" s="9">
        <v>40</v>
      </c>
      <c r="U129" s="9">
        <f t="shared" si="18"/>
        <v>40</v>
      </c>
      <c r="V129" s="10">
        <v>40</v>
      </c>
      <c r="W129">
        <v>4.4000000000000004</v>
      </c>
      <c r="X129" s="11">
        <f t="shared" si="19"/>
        <v>4.4000000000000004</v>
      </c>
      <c r="Y129" t="s">
        <v>2102</v>
      </c>
      <c r="Z129" t="str">
        <f t="shared" si="24"/>
        <v>No</v>
      </c>
      <c r="AA129" t="str">
        <f t="shared" si="21"/>
        <v>No</v>
      </c>
      <c r="AB129" t="str">
        <f t="shared" si="22"/>
        <v>No</v>
      </c>
      <c r="AC129" s="12">
        <v>70</v>
      </c>
      <c r="AD129" s="12">
        <f t="shared" si="23"/>
        <v>70</v>
      </c>
    </row>
    <row r="130" spans="1:30" x14ac:dyDescent="0.3">
      <c r="A130" t="s">
        <v>352</v>
      </c>
      <c r="B130" t="s">
        <v>353</v>
      </c>
      <c r="C130" t="s">
        <v>2314</v>
      </c>
      <c r="D130" t="s">
        <v>2315</v>
      </c>
      <c r="E130" t="str">
        <f t="shared" si="12"/>
        <v>Jonathan Clark</v>
      </c>
      <c r="F130" t="str">
        <f t="shared" si="13"/>
        <v>Jonathan Clark</v>
      </c>
      <c r="H130" t="s">
        <v>107</v>
      </c>
      <c r="I130" t="str">
        <f t="shared" si="14"/>
        <v>Male</v>
      </c>
      <c r="J130">
        <v>58</v>
      </c>
      <c r="K130">
        <f t="shared" si="15"/>
        <v>58</v>
      </c>
      <c r="L130" t="str">
        <f t="shared" si="16"/>
        <v>Fourth level</v>
      </c>
      <c r="M130" t="s">
        <v>186</v>
      </c>
      <c r="N130" t="s">
        <v>187</v>
      </c>
      <c r="O130" t="s">
        <v>124</v>
      </c>
      <c r="P130">
        <v>9</v>
      </c>
      <c r="Q130">
        <f t="shared" si="17"/>
        <v>9</v>
      </c>
      <c r="R130" t="s">
        <v>151</v>
      </c>
      <c r="S130" s="8" t="s">
        <v>151</v>
      </c>
      <c r="T130" s="9">
        <v>20</v>
      </c>
      <c r="U130" s="9">
        <f t="shared" si="18"/>
        <v>20</v>
      </c>
      <c r="V130" s="10">
        <v>20</v>
      </c>
      <c r="W130">
        <v>0</v>
      </c>
      <c r="X130" s="11">
        <f t="shared" si="19"/>
        <v>0</v>
      </c>
      <c r="Y130" t="s">
        <v>2102</v>
      </c>
      <c r="Z130" t="str">
        <f t="shared" si="24"/>
        <v>No</v>
      </c>
      <c r="AA130" t="str">
        <f t="shared" si="21"/>
        <v>No</v>
      </c>
      <c r="AB130" t="str">
        <f t="shared" si="22"/>
        <v>No</v>
      </c>
      <c r="AC130" s="12">
        <v>65</v>
      </c>
      <c r="AD130" s="12">
        <f t="shared" si="23"/>
        <v>65</v>
      </c>
    </row>
    <row r="131" spans="1:30" x14ac:dyDescent="0.3">
      <c r="A131" t="s">
        <v>354</v>
      </c>
      <c r="B131" t="s">
        <v>355</v>
      </c>
      <c r="C131" t="s">
        <v>2316</v>
      </c>
      <c r="D131" t="s">
        <v>2194</v>
      </c>
      <c r="E131" t="str">
        <f t="shared" ref="E131:E194" si="25">CONCATENATE(C131," ",D131)</f>
        <v>Alexander Griffin</v>
      </c>
      <c r="F131" t="str">
        <f t="shared" ref="F131:F194" si="26">PROPER(E131)</f>
        <v>Alexander Griffin</v>
      </c>
      <c r="H131" t="s">
        <v>107</v>
      </c>
      <c r="I131" t="str">
        <f t="shared" ref="I131:I194" si="27">PROPER(H131)</f>
        <v>Male</v>
      </c>
      <c r="J131">
        <v>47</v>
      </c>
      <c r="K131">
        <f t="shared" ref="K131:K194" si="28">IF(ISBLANK(J131),ROUND(AVERAGEIF($I$2:$I$1001,I131,$J$2:$J$1001),0),J131)</f>
        <v>47</v>
      </c>
      <c r="L131" t="str">
        <f t="shared" ref="L131:L194" si="29">IF(AND(K131&gt;=20,K131&lt;=30),"First level",IF(AND(K131&gt;30,K131&lt;=40),"Second level",IF(AND(K131&gt;40,K131&lt;=50),"Third level",IF(H138&gt;50,"Fourth level"))))</f>
        <v>Third level</v>
      </c>
      <c r="M131" t="s">
        <v>145</v>
      </c>
      <c r="N131" t="s">
        <v>146</v>
      </c>
      <c r="O131" t="s">
        <v>124</v>
      </c>
      <c r="P131">
        <v>13</v>
      </c>
      <c r="Q131">
        <f t="shared" ref="Q131:Q194" si="30">IF(ISBLANK(P131),ROUND(AVERAGEIF($L$2:$L$1001,L131,$P$2:$P$1001),0),P131)</f>
        <v>13</v>
      </c>
      <c r="R131" t="s">
        <v>76</v>
      </c>
      <c r="S131" s="8" t="s">
        <v>76</v>
      </c>
      <c r="T131" s="9">
        <v>40</v>
      </c>
      <c r="U131" s="9">
        <f t="shared" ref="U131:U194" si="31">IF(ISBLANK(T131),AVERAGE(T130:T1130),T131)</f>
        <v>40</v>
      </c>
      <c r="V131" s="10">
        <v>40</v>
      </c>
      <c r="W131">
        <v>3.4</v>
      </c>
      <c r="X131" s="11">
        <f t="shared" ref="X131:X194" si="32">IF(ISBLANK(W131),AVERAGE(W131:W1130),W131)</f>
        <v>3.4</v>
      </c>
      <c r="Y131" t="s">
        <v>65</v>
      </c>
      <c r="AA131" t="str">
        <f t="shared" ref="AA131:AA194" si="33">IF(ISBLANK(Z131),"Unknown",Z131)</f>
        <v>Unknown</v>
      </c>
      <c r="AB131" t="str">
        <f t="shared" ref="AB131:AB194" si="34">PROPER(AA131)</f>
        <v>Unknown</v>
      </c>
      <c r="AC131" s="12">
        <v>67</v>
      </c>
      <c r="AD131" s="12">
        <f t="shared" ref="AD131:AD194" si="35">IF(ISBLANK(AC131),AVERAGE(AC131:AC1130),AC131)</f>
        <v>67</v>
      </c>
    </row>
    <row r="132" spans="1:30" x14ac:dyDescent="0.3">
      <c r="A132" t="s">
        <v>356</v>
      </c>
      <c r="B132" t="s">
        <v>357</v>
      </c>
      <c r="C132" t="s">
        <v>2317</v>
      </c>
      <c r="D132" t="s">
        <v>2318</v>
      </c>
      <c r="E132" t="str">
        <f t="shared" si="25"/>
        <v>Shelly Whitehead</v>
      </c>
      <c r="F132" t="str">
        <f t="shared" si="26"/>
        <v>Shelly Whitehead</v>
      </c>
      <c r="H132" t="s">
        <v>86</v>
      </c>
      <c r="I132" t="str">
        <f t="shared" si="27"/>
        <v>Female</v>
      </c>
      <c r="J132">
        <v>45</v>
      </c>
      <c r="K132">
        <f t="shared" si="28"/>
        <v>45</v>
      </c>
      <c r="L132" t="str">
        <f t="shared" si="29"/>
        <v>Third level</v>
      </c>
      <c r="M132" t="s">
        <v>75</v>
      </c>
      <c r="N132" t="s">
        <v>24</v>
      </c>
      <c r="O132" t="s">
        <v>87</v>
      </c>
      <c r="P132">
        <v>14</v>
      </c>
      <c r="Q132">
        <f t="shared" si="30"/>
        <v>14</v>
      </c>
      <c r="R132" t="s">
        <v>26</v>
      </c>
      <c r="S132" s="8" t="s">
        <v>18</v>
      </c>
      <c r="T132" s="9">
        <v>100</v>
      </c>
      <c r="U132" s="9">
        <f t="shared" si="31"/>
        <v>100</v>
      </c>
      <c r="V132" s="10">
        <v>100</v>
      </c>
      <c r="W132">
        <v>1.1000000000000001</v>
      </c>
      <c r="X132" s="11">
        <f t="shared" si="32"/>
        <v>1.1000000000000001</v>
      </c>
      <c r="Y132" t="s">
        <v>170</v>
      </c>
      <c r="Z132" t="str">
        <f t="shared" ref="Z132:Z194" si="36">CLEAN(Y132)</f>
        <v>no</v>
      </c>
      <c r="AA132" t="str">
        <f t="shared" si="33"/>
        <v>no</v>
      </c>
      <c r="AB132" t="str">
        <f t="shared" si="34"/>
        <v>No</v>
      </c>
      <c r="AC132" s="12">
        <v>93</v>
      </c>
      <c r="AD132" s="12">
        <f t="shared" si="35"/>
        <v>93</v>
      </c>
    </row>
    <row r="133" spans="1:30" x14ac:dyDescent="0.3">
      <c r="A133" t="s">
        <v>358</v>
      </c>
      <c r="B133" t="s">
        <v>359</v>
      </c>
      <c r="C133" t="s">
        <v>2182</v>
      </c>
      <c r="D133" t="s">
        <v>2319</v>
      </c>
      <c r="E133" t="str">
        <f t="shared" si="25"/>
        <v>Kaitlyn Davis</v>
      </c>
      <c r="F133" t="str">
        <f t="shared" si="26"/>
        <v>Kaitlyn Davis</v>
      </c>
      <c r="H133" t="s">
        <v>22</v>
      </c>
      <c r="I133" t="str">
        <f t="shared" si="27"/>
        <v>Female</v>
      </c>
      <c r="J133">
        <v>57</v>
      </c>
      <c r="K133">
        <f t="shared" si="28"/>
        <v>57</v>
      </c>
      <c r="L133" t="str">
        <f t="shared" si="29"/>
        <v>Fourth level</v>
      </c>
      <c r="M133" t="s">
        <v>145</v>
      </c>
      <c r="N133" t="s">
        <v>146</v>
      </c>
      <c r="O133" t="s">
        <v>124</v>
      </c>
      <c r="P133">
        <v>0</v>
      </c>
      <c r="Q133">
        <f t="shared" si="30"/>
        <v>0</v>
      </c>
      <c r="R133" t="s">
        <v>34</v>
      </c>
      <c r="S133" s="8" t="s">
        <v>34</v>
      </c>
      <c r="T133" s="9">
        <v>50</v>
      </c>
      <c r="U133" s="9">
        <f t="shared" si="31"/>
        <v>50</v>
      </c>
      <c r="V133" s="10">
        <v>50</v>
      </c>
      <c r="W133">
        <v>1.6</v>
      </c>
      <c r="X133" s="11">
        <f t="shared" si="32"/>
        <v>1.6</v>
      </c>
      <c r="Y133" t="s">
        <v>2102</v>
      </c>
      <c r="Z133" t="str">
        <f t="shared" si="36"/>
        <v>No</v>
      </c>
      <c r="AA133" t="str">
        <f t="shared" si="33"/>
        <v>No</v>
      </c>
      <c r="AB133" t="str">
        <f t="shared" si="34"/>
        <v>No</v>
      </c>
      <c r="AC133" s="12">
        <v>60</v>
      </c>
      <c r="AD133" s="12">
        <f t="shared" si="35"/>
        <v>60</v>
      </c>
    </row>
    <row r="134" spans="1:30" x14ac:dyDescent="0.3">
      <c r="A134" t="s">
        <v>360</v>
      </c>
      <c r="B134" t="s">
        <v>361</v>
      </c>
      <c r="C134" t="s">
        <v>2308</v>
      </c>
      <c r="D134" t="s">
        <v>2159</v>
      </c>
      <c r="E134" t="str">
        <f t="shared" si="25"/>
        <v>Christopher Jones</v>
      </c>
      <c r="F134" t="str">
        <f t="shared" si="26"/>
        <v>Christopher Jones</v>
      </c>
      <c r="H134" t="s">
        <v>69</v>
      </c>
      <c r="I134" t="str">
        <f t="shared" si="27"/>
        <v>Male</v>
      </c>
      <c r="J134">
        <v>50</v>
      </c>
      <c r="K134">
        <f t="shared" si="28"/>
        <v>50</v>
      </c>
      <c r="L134" t="str">
        <f t="shared" si="29"/>
        <v>Third level</v>
      </c>
      <c r="M134" t="s">
        <v>103</v>
      </c>
      <c r="N134" t="s">
        <v>104</v>
      </c>
      <c r="O134" t="s">
        <v>39</v>
      </c>
      <c r="P134">
        <v>22</v>
      </c>
      <c r="Q134">
        <f t="shared" si="30"/>
        <v>22</v>
      </c>
      <c r="R134" t="s">
        <v>18</v>
      </c>
      <c r="S134" s="8" t="s">
        <v>18</v>
      </c>
      <c r="T134" s="9">
        <v>100</v>
      </c>
      <c r="U134" s="9">
        <f t="shared" si="31"/>
        <v>100</v>
      </c>
      <c r="V134" s="10">
        <v>100</v>
      </c>
      <c r="W134">
        <v>4.0999999999999996</v>
      </c>
      <c r="X134" s="11">
        <f t="shared" si="32"/>
        <v>4.0999999999999996</v>
      </c>
      <c r="Y134" t="s">
        <v>2102</v>
      </c>
      <c r="Z134" t="str">
        <f t="shared" si="36"/>
        <v>No</v>
      </c>
      <c r="AA134" t="str">
        <f t="shared" si="33"/>
        <v>No</v>
      </c>
      <c r="AB134" t="str">
        <f t="shared" si="34"/>
        <v>No</v>
      </c>
      <c r="AC134" s="12">
        <v>62</v>
      </c>
      <c r="AD134" s="12">
        <f t="shared" si="35"/>
        <v>62</v>
      </c>
    </row>
    <row r="135" spans="1:30" x14ac:dyDescent="0.3">
      <c r="A135" t="s">
        <v>362</v>
      </c>
      <c r="B135" t="s">
        <v>363</v>
      </c>
      <c r="C135" t="s">
        <v>2320</v>
      </c>
      <c r="D135" t="s">
        <v>2321</v>
      </c>
      <c r="E135" t="str">
        <f t="shared" si="25"/>
        <v>Cindy Jacobs</v>
      </c>
      <c r="F135" t="str">
        <f t="shared" si="26"/>
        <v>Cindy Jacobs</v>
      </c>
      <c r="H135" t="s">
        <v>22</v>
      </c>
      <c r="I135" t="str">
        <f t="shared" si="27"/>
        <v>Female</v>
      </c>
      <c r="K135">
        <f t="shared" si="28"/>
        <v>40</v>
      </c>
      <c r="L135" t="str">
        <f t="shared" si="29"/>
        <v>Second level</v>
      </c>
      <c r="M135" t="s">
        <v>117</v>
      </c>
      <c r="N135" t="s">
        <v>118</v>
      </c>
      <c r="O135" t="s">
        <v>124</v>
      </c>
      <c r="P135">
        <v>4</v>
      </c>
      <c r="Q135">
        <f t="shared" si="30"/>
        <v>4</v>
      </c>
      <c r="R135" t="s">
        <v>65</v>
      </c>
      <c r="S135" s="8" t="s">
        <v>65</v>
      </c>
      <c r="T135" s="9"/>
      <c r="U135" s="9">
        <f t="shared" si="31"/>
        <v>52.639240506329116</v>
      </c>
      <c r="V135" s="10">
        <v>52.639240506329116</v>
      </c>
      <c r="W135">
        <v>2.5</v>
      </c>
      <c r="X135" s="11">
        <f t="shared" si="32"/>
        <v>2.5</v>
      </c>
      <c r="Y135" t="s">
        <v>65</v>
      </c>
      <c r="AA135" t="str">
        <f t="shared" si="33"/>
        <v>Unknown</v>
      </c>
      <c r="AB135" t="str">
        <f t="shared" si="34"/>
        <v>Unknown</v>
      </c>
      <c r="AC135" s="12">
        <v>70</v>
      </c>
      <c r="AD135" s="12">
        <f t="shared" si="35"/>
        <v>70</v>
      </c>
    </row>
    <row r="136" spans="1:30" x14ac:dyDescent="0.3">
      <c r="A136" t="s">
        <v>364</v>
      </c>
      <c r="B136" t="s">
        <v>365</v>
      </c>
      <c r="C136" t="s">
        <v>2322</v>
      </c>
      <c r="D136" t="s">
        <v>2157</v>
      </c>
      <c r="E136" t="str">
        <f t="shared" si="25"/>
        <v>Penny Day</v>
      </c>
      <c r="F136" t="str">
        <f t="shared" si="26"/>
        <v>Penny Day</v>
      </c>
      <c r="H136" t="s">
        <v>86</v>
      </c>
      <c r="I136" t="str">
        <f t="shared" si="27"/>
        <v>Female</v>
      </c>
      <c r="J136">
        <v>45</v>
      </c>
      <c r="K136">
        <f t="shared" si="28"/>
        <v>45</v>
      </c>
      <c r="L136" t="str">
        <f t="shared" si="29"/>
        <v>Third level</v>
      </c>
      <c r="M136" t="s">
        <v>55</v>
      </c>
      <c r="N136" t="s">
        <v>56</v>
      </c>
      <c r="O136" t="s">
        <v>17</v>
      </c>
      <c r="P136">
        <v>22</v>
      </c>
      <c r="Q136">
        <f t="shared" si="30"/>
        <v>22</v>
      </c>
      <c r="R136" t="s">
        <v>240</v>
      </c>
      <c r="S136" s="8" t="s">
        <v>18</v>
      </c>
      <c r="T136" s="9">
        <v>100</v>
      </c>
      <c r="U136" s="9">
        <f t="shared" si="31"/>
        <v>100</v>
      </c>
      <c r="V136" s="10">
        <v>100</v>
      </c>
      <c r="W136">
        <v>4</v>
      </c>
      <c r="X136" s="11">
        <f t="shared" si="32"/>
        <v>4</v>
      </c>
      <c r="Y136" t="s">
        <v>2103</v>
      </c>
      <c r="Z136" t="str">
        <f t="shared" si="36"/>
        <v>Yes</v>
      </c>
      <c r="AA136" t="str">
        <f t="shared" si="33"/>
        <v>Yes</v>
      </c>
      <c r="AB136" t="str">
        <f t="shared" si="34"/>
        <v>Yes</v>
      </c>
      <c r="AC136" s="12">
        <v>75</v>
      </c>
      <c r="AD136" s="12">
        <f t="shared" si="35"/>
        <v>75</v>
      </c>
    </row>
    <row r="137" spans="1:30" x14ac:dyDescent="0.3">
      <c r="A137" t="s">
        <v>366</v>
      </c>
      <c r="B137" t="s">
        <v>367</v>
      </c>
      <c r="C137" t="s">
        <v>2231</v>
      </c>
      <c r="D137" t="s">
        <v>2323</v>
      </c>
      <c r="E137" t="str">
        <f t="shared" si="25"/>
        <v>Thomas Ingram</v>
      </c>
      <c r="F137" t="str">
        <f t="shared" si="26"/>
        <v>Thomas Ingram</v>
      </c>
      <c r="H137" t="s">
        <v>69</v>
      </c>
      <c r="I137" t="str">
        <f t="shared" si="27"/>
        <v>Male</v>
      </c>
      <c r="J137">
        <v>60</v>
      </c>
      <c r="K137">
        <f t="shared" si="28"/>
        <v>60</v>
      </c>
      <c r="L137" t="str">
        <f t="shared" si="29"/>
        <v>Fourth level</v>
      </c>
      <c r="M137" t="s">
        <v>164</v>
      </c>
      <c r="N137" t="s">
        <v>165</v>
      </c>
      <c r="O137" t="s">
        <v>87</v>
      </c>
      <c r="P137">
        <v>39</v>
      </c>
      <c r="Q137">
        <f t="shared" si="30"/>
        <v>39</v>
      </c>
      <c r="R137" t="s">
        <v>92</v>
      </c>
      <c r="S137" s="8" t="s">
        <v>92</v>
      </c>
      <c r="T137" s="9">
        <v>75</v>
      </c>
      <c r="U137" s="9">
        <f t="shared" si="31"/>
        <v>75</v>
      </c>
      <c r="V137" s="10">
        <v>75</v>
      </c>
      <c r="W137">
        <v>1.4</v>
      </c>
      <c r="X137" s="11">
        <f t="shared" si="32"/>
        <v>1.4</v>
      </c>
      <c r="Y137" t="s">
        <v>170</v>
      </c>
      <c r="Z137" t="str">
        <f t="shared" si="36"/>
        <v>no</v>
      </c>
      <c r="AA137" t="str">
        <f t="shared" si="33"/>
        <v>no</v>
      </c>
      <c r="AB137" t="str">
        <f t="shared" si="34"/>
        <v>No</v>
      </c>
      <c r="AC137" s="12">
        <v>70</v>
      </c>
      <c r="AD137" s="12">
        <f t="shared" si="35"/>
        <v>70</v>
      </c>
    </row>
    <row r="138" spans="1:30" x14ac:dyDescent="0.3">
      <c r="A138" t="s">
        <v>368</v>
      </c>
      <c r="B138" t="s">
        <v>369</v>
      </c>
      <c r="C138" t="s">
        <v>2324</v>
      </c>
      <c r="D138" t="s">
        <v>2325</v>
      </c>
      <c r="E138" t="str">
        <f t="shared" si="25"/>
        <v>Donna Hansen</v>
      </c>
      <c r="F138" t="str">
        <f t="shared" si="26"/>
        <v>Donna Hansen</v>
      </c>
      <c r="H138" t="s">
        <v>43</v>
      </c>
      <c r="I138" t="str">
        <f t="shared" si="27"/>
        <v>Female</v>
      </c>
      <c r="J138">
        <v>43</v>
      </c>
      <c r="K138">
        <f t="shared" si="28"/>
        <v>43</v>
      </c>
      <c r="L138" t="str">
        <f t="shared" si="29"/>
        <v>Third level</v>
      </c>
      <c r="M138" t="s">
        <v>75</v>
      </c>
      <c r="N138" t="s">
        <v>24</v>
      </c>
      <c r="O138" t="s">
        <v>87</v>
      </c>
      <c r="P138">
        <v>5</v>
      </c>
      <c r="Q138">
        <f t="shared" si="30"/>
        <v>5</v>
      </c>
      <c r="R138" t="s">
        <v>108</v>
      </c>
      <c r="S138" s="8" t="s">
        <v>2095</v>
      </c>
      <c r="T138" s="9">
        <v>50</v>
      </c>
      <c r="U138" s="9">
        <f t="shared" si="31"/>
        <v>50</v>
      </c>
      <c r="V138" s="10">
        <v>50</v>
      </c>
      <c r="X138" s="11">
        <f t="shared" si="32"/>
        <v>2.5157216494845347</v>
      </c>
      <c r="Y138" t="s">
        <v>2103</v>
      </c>
      <c r="Z138" t="str">
        <f t="shared" si="36"/>
        <v>Yes</v>
      </c>
      <c r="AA138" t="str">
        <f t="shared" si="33"/>
        <v>Yes</v>
      </c>
      <c r="AB138" t="str">
        <f t="shared" si="34"/>
        <v>Yes</v>
      </c>
      <c r="AC138" s="12">
        <v>84</v>
      </c>
      <c r="AD138" s="12">
        <f t="shared" si="35"/>
        <v>84</v>
      </c>
    </row>
    <row r="139" spans="1:30" x14ac:dyDescent="0.3">
      <c r="A139" t="s">
        <v>370</v>
      </c>
      <c r="B139" t="s">
        <v>371</v>
      </c>
      <c r="C139" t="s">
        <v>2324</v>
      </c>
      <c r="D139" t="s">
        <v>2326</v>
      </c>
      <c r="E139" t="str">
        <f t="shared" si="25"/>
        <v>Donna Bailey</v>
      </c>
      <c r="F139" t="str">
        <f t="shared" si="26"/>
        <v>Donna Bailey</v>
      </c>
      <c r="H139" t="s">
        <v>86</v>
      </c>
      <c r="I139" t="str">
        <f t="shared" si="27"/>
        <v>Female</v>
      </c>
      <c r="J139">
        <v>39</v>
      </c>
      <c r="K139">
        <f t="shared" si="28"/>
        <v>39</v>
      </c>
      <c r="L139" t="str">
        <f t="shared" si="29"/>
        <v>Second level</v>
      </c>
      <c r="M139" t="s">
        <v>145</v>
      </c>
      <c r="N139" t="s">
        <v>146</v>
      </c>
      <c r="O139" t="s">
        <v>87</v>
      </c>
      <c r="P139">
        <v>5</v>
      </c>
      <c r="Q139">
        <f t="shared" si="30"/>
        <v>5</v>
      </c>
      <c r="R139" t="s">
        <v>61</v>
      </c>
      <c r="S139" s="8" t="s">
        <v>2094</v>
      </c>
      <c r="T139" s="9">
        <v>40</v>
      </c>
      <c r="U139" s="9">
        <f t="shared" si="31"/>
        <v>40</v>
      </c>
      <c r="V139" s="10">
        <v>40</v>
      </c>
      <c r="W139">
        <v>1.2</v>
      </c>
      <c r="X139" s="11">
        <f t="shared" si="32"/>
        <v>1.2</v>
      </c>
      <c r="Y139" t="s">
        <v>2102</v>
      </c>
      <c r="Z139" t="str">
        <f t="shared" si="36"/>
        <v>No</v>
      </c>
      <c r="AA139" t="str">
        <f t="shared" si="33"/>
        <v>No</v>
      </c>
      <c r="AB139" t="str">
        <f t="shared" si="34"/>
        <v>No</v>
      </c>
      <c r="AC139" s="12">
        <v>83</v>
      </c>
      <c r="AD139" s="12">
        <f t="shared" si="35"/>
        <v>83</v>
      </c>
    </row>
    <row r="140" spans="1:30" x14ac:dyDescent="0.3">
      <c r="A140" t="s">
        <v>372</v>
      </c>
      <c r="B140" t="s">
        <v>373</v>
      </c>
      <c r="C140" t="s">
        <v>2327</v>
      </c>
      <c r="D140" t="s">
        <v>2328</v>
      </c>
      <c r="E140" t="str">
        <f t="shared" si="25"/>
        <v>Joshua Armstrong</v>
      </c>
      <c r="F140" t="str">
        <f t="shared" si="26"/>
        <v>Joshua Armstrong</v>
      </c>
      <c r="H140" t="s">
        <v>30</v>
      </c>
      <c r="I140" t="str">
        <f t="shared" si="27"/>
        <v>Male</v>
      </c>
      <c r="J140">
        <v>26</v>
      </c>
      <c r="K140">
        <f t="shared" si="28"/>
        <v>26</v>
      </c>
      <c r="L140" t="str">
        <f t="shared" si="29"/>
        <v>First level</v>
      </c>
      <c r="M140" t="s">
        <v>190</v>
      </c>
      <c r="N140" t="s">
        <v>81</v>
      </c>
      <c r="O140" t="s">
        <v>82</v>
      </c>
      <c r="P140">
        <v>5</v>
      </c>
      <c r="Q140">
        <f t="shared" si="30"/>
        <v>5</v>
      </c>
      <c r="R140" t="s">
        <v>34</v>
      </c>
      <c r="S140" s="8" t="s">
        <v>34</v>
      </c>
      <c r="T140" s="9">
        <v>50</v>
      </c>
      <c r="U140" s="9">
        <f t="shared" si="31"/>
        <v>50</v>
      </c>
      <c r="V140" s="10">
        <v>50</v>
      </c>
      <c r="W140">
        <v>0</v>
      </c>
      <c r="X140" s="11">
        <f t="shared" si="32"/>
        <v>0</v>
      </c>
      <c r="Y140" t="s">
        <v>2102</v>
      </c>
      <c r="Z140" t="str">
        <f t="shared" si="36"/>
        <v>No</v>
      </c>
      <c r="AA140" t="str">
        <f t="shared" si="33"/>
        <v>No</v>
      </c>
      <c r="AB140" t="str">
        <f t="shared" si="34"/>
        <v>No</v>
      </c>
      <c r="AC140" s="12"/>
      <c r="AD140" s="12">
        <f t="shared" si="35"/>
        <v>79.583798882681563</v>
      </c>
    </row>
    <row r="141" spans="1:30" x14ac:dyDescent="0.3">
      <c r="A141" t="s">
        <v>374</v>
      </c>
      <c r="B141" t="s">
        <v>375</v>
      </c>
      <c r="C141" t="s">
        <v>2314</v>
      </c>
      <c r="D141" t="s">
        <v>2329</v>
      </c>
      <c r="E141" t="str">
        <f t="shared" si="25"/>
        <v>Jonathan Garza</v>
      </c>
      <c r="F141" t="str">
        <f t="shared" si="26"/>
        <v>Jonathan Garza</v>
      </c>
      <c r="H141" t="s">
        <v>107</v>
      </c>
      <c r="I141" t="str">
        <f t="shared" si="27"/>
        <v>Male</v>
      </c>
      <c r="J141">
        <v>31</v>
      </c>
      <c r="K141">
        <f t="shared" si="28"/>
        <v>31</v>
      </c>
      <c r="L141" t="str">
        <f t="shared" si="29"/>
        <v>Second level</v>
      </c>
      <c r="M141" t="s">
        <v>31</v>
      </c>
      <c r="N141" t="s">
        <v>32</v>
      </c>
      <c r="O141" t="s">
        <v>87</v>
      </c>
      <c r="P141">
        <v>11</v>
      </c>
      <c r="Q141">
        <f t="shared" si="30"/>
        <v>11</v>
      </c>
      <c r="R141" t="s">
        <v>34</v>
      </c>
      <c r="S141" s="8" t="s">
        <v>34</v>
      </c>
      <c r="T141" s="9">
        <v>50</v>
      </c>
      <c r="U141" s="9">
        <f t="shared" si="31"/>
        <v>50</v>
      </c>
      <c r="V141" s="10">
        <v>50</v>
      </c>
      <c r="W141">
        <v>3.1</v>
      </c>
      <c r="X141" s="11">
        <f t="shared" si="32"/>
        <v>3.1</v>
      </c>
      <c r="Y141" t="s">
        <v>2102</v>
      </c>
      <c r="Z141" t="str">
        <f t="shared" si="36"/>
        <v>No</v>
      </c>
      <c r="AA141" t="str">
        <f t="shared" si="33"/>
        <v>No</v>
      </c>
      <c r="AB141" t="str">
        <f t="shared" si="34"/>
        <v>No</v>
      </c>
      <c r="AC141" s="12">
        <v>88</v>
      </c>
      <c r="AD141" s="12">
        <f t="shared" si="35"/>
        <v>88</v>
      </c>
    </row>
    <row r="142" spans="1:30" x14ac:dyDescent="0.3">
      <c r="A142" t="s">
        <v>376</v>
      </c>
      <c r="B142" t="s">
        <v>377</v>
      </c>
      <c r="C142" t="s">
        <v>2330</v>
      </c>
      <c r="D142" t="s">
        <v>2159</v>
      </c>
      <c r="E142" t="str">
        <f t="shared" si="25"/>
        <v>Charles Jones</v>
      </c>
      <c r="F142" t="str">
        <f t="shared" si="26"/>
        <v>Charles Jones</v>
      </c>
      <c r="H142" t="s">
        <v>107</v>
      </c>
      <c r="I142" t="str">
        <f t="shared" si="27"/>
        <v>Male</v>
      </c>
      <c r="J142">
        <v>52</v>
      </c>
      <c r="K142">
        <f t="shared" si="28"/>
        <v>52</v>
      </c>
      <c r="L142" t="str">
        <f t="shared" si="29"/>
        <v>Fourth level</v>
      </c>
      <c r="M142" t="s">
        <v>145</v>
      </c>
      <c r="N142" t="s">
        <v>146</v>
      </c>
      <c r="O142" t="s">
        <v>82</v>
      </c>
      <c r="P142">
        <v>15</v>
      </c>
      <c r="Q142">
        <f t="shared" si="30"/>
        <v>15</v>
      </c>
      <c r="R142" t="s">
        <v>34</v>
      </c>
      <c r="S142" s="8" t="s">
        <v>34</v>
      </c>
      <c r="T142" s="9">
        <v>50</v>
      </c>
      <c r="U142" s="9">
        <f t="shared" si="31"/>
        <v>50</v>
      </c>
      <c r="V142" s="10">
        <v>50</v>
      </c>
      <c r="W142">
        <v>0</v>
      </c>
      <c r="X142" s="11">
        <f t="shared" si="32"/>
        <v>0</v>
      </c>
      <c r="Y142" t="s">
        <v>77</v>
      </c>
      <c r="Z142" t="str">
        <f t="shared" si="36"/>
        <v>yes</v>
      </c>
      <c r="AA142" t="str">
        <f t="shared" si="33"/>
        <v>yes</v>
      </c>
      <c r="AB142" t="str">
        <f t="shared" si="34"/>
        <v>Yes</v>
      </c>
      <c r="AC142" s="12">
        <v>81</v>
      </c>
      <c r="AD142" s="12">
        <f t="shared" si="35"/>
        <v>81</v>
      </c>
    </row>
    <row r="143" spans="1:30" x14ac:dyDescent="0.3">
      <c r="A143" t="s">
        <v>378</v>
      </c>
      <c r="B143" t="s">
        <v>379</v>
      </c>
      <c r="C143" t="s">
        <v>2331</v>
      </c>
      <c r="D143" t="s">
        <v>2332</v>
      </c>
      <c r="E143" t="str">
        <f t="shared" si="25"/>
        <v>Lindsey Miles</v>
      </c>
      <c r="F143" t="str">
        <f t="shared" si="26"/>
        <v>Lindsey Miles</v>
      </c>
      <c r="H143" t="s">
        <v>43</v>
      </c>
      <c r="I143" t="str">
        <f t="shared" si="27"/>
        <v>Female</v>
      </c>
      <c r="J143">
        <v>34</v>
      </c>
      <c r="K143">
        <f t="shared" si="28"/>
        <v>34</v>
      </c>
      <c r="L143" t="str">
        <f t="shared" si="29"/>
        <v>Second level</v>
      </c>
      <c r="M143" t="s">
        <v>103</v>
      </c>
      <c r="N143" t="s">
        <v>104</v>
      </c>
      <c r="O143" t="s">
        <v>57</v>
      </c>
      <c r="P143">
        <v>5</v>
      </c>
      <c r="Q143">
        <f t="shared" si="30"/>
        <v>5</v>
      </c>
      <c r="R143" t="s">
        <v>325</v>
      </c>
      <c r="S143" s="8" t="s">
        <v>2097</v>
      </c>
      <c r="T143" s="9">
        <v>20</v>
      </c>
      <c r="U143" s="9">
        <f t="shared" si="31"/>
        <v>20</v>
      </c>
      <c r="V143" s="10">
        <v>20</v>
      </c>
      <c r="W143">
        <v>2.2000000000000002</v>
      </c>
      <c r="X143" s="11">
        <f t="shared" si="32"/>
        <v>2.2000000000000002</v>
      </c>
      <c r="Y143" t="s">
        <v>2103</v>
      </c>
      <c r="Z143" t="str">
        <f t="shared" si="36"/>
        <v>Yes</v>
      </c>
      <c r="AA143" t="str">
        <f t="shared" si="33"/>
        <v>Yes</v>
      </c>
      <c r="AB143" t="str">
        <f t="shared" si="34"/>
        <v>Yes</v>
      </c>
      <c r="AC143" s="12">
        <v>80</v>
      </c>
      <c r="AD143" s="12">
        <f t="shared" si="35"/>
        <v>80</v>
      </c>
    </row>
    <row r="144" spans="1:30" x14ac:dyDescent="0.3">
      <c r="A144" t="s">
        <v>380</v>
      </c>
      <c r="B144" t="s">
        <v>381</v>
      </c>
      <c r="C144" t="s">
        <v>2333</v>
      </c>
      <c r="D144" t="s">
        <v>2334</v>
      </c>
      <c r="E144" t="str">
        <f t="shared" si="25"/>
        <v>Eduardo Reed</v>
      </c>
      <c r="F144" t="str">
        <f t="shared" si="26"/>
        <v>Eduardo Reed</v>
      </c>
      <c r="H144" t="s">
        <v>30</v>
      </c>
      <c r="I144" t="str">
        <f t="shared" si="27"/>
        <v>Male</v>
      </c>
      <c r="J144">
        <v>45</v>
      </c>
      <c r="K144">
        <f t="shared" si="28"/>
        <v>45</v>
      </c>
      <c r="L144" t="str">
        <f t="shared" si="29"/>
        <v>Third level</v>
      </c>
      <c r="M144" t="s">
        <v>75</v>
      </c>
      <c r="N144" t="s">
        <v>24</v>
      </c>
      <c r="O144" t="s">
        <v>39</v>
      </c>
      <c r="P144">
        <v>7</v>
      </c>
      <c r="Q144">
        <f t="shared" si="30"/>
        <v>7</v>
      </c>
      <c r="R144" t="s">
        <v>92</v>
      </c>
      <c r="S144" s="8" t="s">
        <v>92</v>
      </c>
      <c r="T144" s="9">
        <v>75</v>
      </c>
      <c r="U144" s="9">
        <f t="shared" si="31"/>
        <v>75</v>
      </c>
      <c r="V144" s="10">
        <v>75</v>
      </c>
      <c r="W144">
        <v>3</v>
      </c>
      <c r="X144" s="11">
        <f t="shared" si="32"/>
        <v>3</v>
      </c>
      <c r="Y144" t="s">
        <v>2103</v>
      </c>
      <c r="Z144" t="str">
        <f t="shared" si="36"/>
        <v>Yes</v>
      </c>
      <c r="AA144" t="str">
        <f t="shared" si="33"/>
        <v>Yes</v>
      </c>
      <c r="AB144" t="str">
        <f t="shared" si="34"/>
        <v>Yes</v>
      </c>
      <c r="AC144" s="12">
        <v>67</v>
      </c>
      <c r="AD144" s="12">
        <f t="shared" si="35"/>
        <v>67</v>
      </c>
    </row>
    <row r="145" spans="1:30" x14ac:dyDescent="0.3">
      <c r="A145" t="s">
        <v>382</v>
      </c>
      <c r="B145" t="s">
        <v>383</v>
      </c>
      <c r="C145" t="s">
        <v>2241</v>
      </c>
      <c r="D145" t="s">
        <v>2335</v>
      </c>
      <c r="E145" t="str">
        <f t="shared" si="25"/>
        <v>Lee Fowler</v>
      </c>
      <c r="F145" t="str">
        <f t="shared" si="26"/>
        <v>Lee Fowler</v>
      </c>
      <c r="H145" t="s">
        <v>107</v>
      </c>
      <c r="I145" t="str">
        <f t="shared" si="27"/>
        <v>Male</v>
      </c>
      <c r="J145">
        <v>46</v>
      </c>
      <c r="K145">
        <f t="shared" si="28"/>
        <v>46</v>
      </c>
      <c r="L145" t="str">
        <f t="shared" si="29"/>
        <v>Third level</v>
      </c>
      <c r="M145" t="s">
        <v>75</v>
      </c>
      <c r="N145" t="s">
        <v>24</v>
      </c>
      <c r="O145" t="s">
        <v>87</v>
      </c>
      <c r="P145">
        <v>9</v>
      </c>
      <c r="Q145">
        <f t="shared" si="30"/>
        <v>9</v>
      </c>
      <c r="R145" t="s">
        <v>131</v>
      </c>
      <c r="S145" s="8" t="s">
        <v>131</v>
      </c>
      <c r="T145" s="9">
        <v>20</v>
      </c>
      <c r="U145" s="9">
        <f t="shared" si="31"/>
        <v>20</v>
      </c>
      <c r="V145" s="10">
        <v>20</v>
      </c>
      <c r="W145">
        <v>0</v>
      </c>
      <c r="X145" s="11">
        <f t="shared" si="32"/>
        <v>0</v>
      </c>
      <c r="Y145" t="s">
        <v>2102</v>
      </c>
      <c r="Z145" t="str">
        <f t="shared" si="36"/>
        <v>No</v>
      </c>
      <c r="AA145" t="str">
        <f t="shared" si="33"/>
        <v>No</v>
      </c>
      <c r="AB145" t="str">
        <f t="shared" si="34"/>
        <v>No</v>
      </c>
      <c r="AC145" s="12">
        <v>82</v>
      </c>
      <c r="AD145" s="12">
        <f t="shared" si="35"/>
        <v>82</v>
      </c>
    </row>
    <row r="146" spans="1:30" x14ac:dyDescent="0.3">
      <c r="A146" t="s">
        <v>384</v>
      </c>
      <c r="B146" t="s">
        <v>385</v>
      </c>
      <c r="C146" t="s">
        <v>2336</v>
      </c>
      <c r="D146" t="s">
        <v>2159</v>
      </c>
      <c r="E146" t="str">
        <f t="shared" si="25"/>
        <v>Steven Jones</v>
      </c>
      <c r="F146" t="str">
        <f t="shared" si="26"/>
        <v>Steven Jones</v>
      </c>
      <c r="H146" t="s">
        <v>107</v>
      </c>
      <c r="I146" t="str">
        <f t="shared" si="27"/>
        <v>Male</v>
      </c>
      <c r="J146">
        <v>56</v>
      </c>
      <c r="K146">
        <f t="shared" si="28"/>
        <v>56</v>
      </c>
      <c r="L146" t="str">
        <f t="shared" si="29"/>
        <v>Fourth level</v>
      </c>
      <c r="M146" t="s">
        <v>145</v>
      </c>
      <c r="N146" t="s">
        <v>146</v>
      </c>
      <c r="O146" t="s">
        <v>82</v>
      </c>
      <c r="P146">
        <v>21</v>
      </c>
      <c r="Q146">
        <f t="shared" si="30"/>
        <v>21</v>
      </c>
      <c r="R146" t="s">
        <v>26</v>
      </c>
      <c r="S146" s="8" t="s">
        <v>18</v>
      </c>
      <c r="T146" s="9">
        <v>100</v>
      </c>
      <c r="U146" s="9">
        <f t="shared" si="31"/>
        <v>100</v>
      </c>
      <c r="V146" s="10">
        <v>100</v>
      </c>
      <c r="W146">
        <v>0</v>
      </c>
      <c r="X146" s="11">
        <f t="shared" si="32"/>
        <v>0</v>
      </c>
      <c r="Y146" t="s">
        <v>2103</v>
      </c>
      <c r="Z146" t="str">
        <f t="shared" si="36"/>
        <v>Yes</v>
      </c>
      <c r="AA146" t="str">
        <f t="shared" si="33"/>
        <v>Yes</v>
      </c>
      <c r="AB146" t="str">
        <f t="shared" si="34"/>
        <v>Yes</v>
      </c>
      <c r="AC146" s="12">
        <v>78</v>
      </c>
      <c r="AD146" s="12">
        <f t="shared" si="35"/>
        <v>78</v>
      </c>
    </row>
    <row r="147" spans="1:30" x14ac:dyDescent="0.3">
      <c r="A147" t="s">
        <v>386</v>
      </c>
      <c r="B147" t="s">
        <v>387</v>
      </c>
      <c r="C147" t="s">
        <v>2221</v>
      </c>
      <c r="D147" t="s">
        <v>2337</v>
      </c>
      <c r="E147" t="str">
        <f t="shared" si="25"/>
        <v>Ashley Chen</v>
      </c>
      <c r="F147" t="str">
        <f t="shared" si="26"/>
        <v>Ashley Chen</v>
      </c>
      <c r="H147" t="s">
        <v>22</v>
      </c>
      <c r="I147" t="str">
        <f t="shared" si="27"/>
        <v>Female</v>
      </c>
      <c r="J147">
        <v>59</v>
      </c>
      <c r="K147">
        <f t="shared" si="28"/>
        <v>59</v>
      </c>
      <c r="L147" t="str">
        <f t="shared" si="29"/>
        <v>Fourth level</v>
      </c>
      <c r="M147" t="s">
        <v>31</v>
      </c>
      <c r="N147" t="s">
        <v>32</v>
      </c>
      <c r="O147" t="s">
        <v>49</v>
      </c>
      <c r="P147">
        <v>7</v>
      </c>
      <c r="Q147">
        <f t="shared" si="30"/>
        <v>7</v>
      </c>
      <c r="R147" t="s">
        <v>40</v>
      </c>
      <c r="S147" s="8" t="s">
        <v>40</v>
      </c>
      <c r="T147" s="9">
        <v>40</v>
      </c>
      <c r="U147" s="9">
        <f t="shared" si="31"/>
        <v>40</v>
      </c>
      <c r="V147" s="10">
        <v>40</v>
      </c>
      <c r="W147">
        <v>1.4</v>
      </c>
      <c r="X147" s="11">
        <f t="shared" si="32"/>
        <v>1.4</v>
      </c>
      <c r="Y147" t="s">
        <v>2102</v>
      </c>
      <c r="Z147" t="str">
        <f t="shared" si="36"/>
        <v>No</v>
      </c>
      <c r="AA147" t="str">
        <f t="shared" si="33"/>
        <v>No</v>
      </c>
      <c r="AB147" t="str">
        <f t="shared" si="34"/>
        <v>No</v>
      </c>
      <c r="AC147" s="12">
        <v>81</v>
      </c>
      <c r="AD147" s="12">
        <f t="shared" si="35"/>
        <v>81</v>
      </c>
    </row>
    <row r="148" spans="1:30" x14ac:dyDescent="0.3">
      <c r="A148" t="s">
        <v>388</v>
      </c>
      <c r="B148" t="s">
        <v>389</v>
      </c>
      <c r="C148" t="s">
        <v>2338</v>
      </c>
      <c r="D148" t="s">
        <v>2319</v>
      </c>
      <c r="E148" t="str">
        <f t="shared" si="25"/>
        <v>Erica Davis</v>
      </c>
      <c r="F148" t="str">
        <f t="shared" si="26"/>
        <v>Erica Davis</v>
      </c>
      <c r="H148" t="s">
        <v>22</v>
      </c>
      <c r="I148" t="str">
        <f t="shared" si="27"/>
        <v>Female</v>
      </c>
      <c r="J148">
        <v>54</v>
      </c>
      <c r="K148">
        <f t="shared" si="28"/>
        <v>54</v>
      </c>
      <c r="L148" t="str">
        <f t="shared" si="29"/>
        <v>Fourth level</v>
      </c>
      <c r="M148" t="s">
        <v>149</v>
      </c>
      <c r="N148" t="s">
        <v>150</v>
      </c>
      <c r="O148" t="s">
        <v>17</v>
      </c>
      <c r="P148">
        <v>4</v>
      </c>
      <c r="Q148">
        <f t="shared" si="30"/>
        <v>4</v>
      </c>
      <c r="R148" t="s">
        <v>65</v>
      </c>
      <c r="S148" s="8" t="s">
        <v>65</v>
      </c>
      <c r="T148" s="9"/>
      <c r="U148" s="9">
        <f t="shared" si="31"/>
        <v>52.512853470437015</v>
      </c>
      <c r="V148" s="10">
        <v>52.512853470437015</v>
      </c>
      <c r="W148">
        <v>1.4</v>
      </c>
      <c r="X148" s="11">
        <f t="shared" si="32"/>
        <v>1.4</v>
      </c>
      <c r="Y148" t="s">
        <v>2103</v>
      </c>
      <c r="Z148" t="str">
        <f t="shared" si="36"/>
        <v>Yes</v>
      </c>
      <c r="AA148" t="str">
        <f t="shared" si="33"/>
        <v>Yes</v>
      </c>
      <c r="AB148" t="str">
        <f t="shared" si="34"/>
        <v>Yes</v>
      </c>
      <c r="AC148" s="12">
        <v>74</v>
      </c>
      <c r="AD148" s="12">
        <f t="shared" si="35"/>
        <v>74</v>
      </c>
    </row>
    <row r="149" spans="1:30" x14ac:dyDescent="0.3">
      <c r="A149" t="s">
        <v>390</v>
      </c>
      <c r="B149" t="s">
        <v>391</v>
      </c>
      <c r="C149" t="s">
        <v>2339</v>
      </c>
      <c r="D149" t="s">
        <v>2340</v>
      </c>
      <c r="E149" t="str">
        <f t="shared" si="25"/>
        <v>Wayne Gonzales</v>
      </c>
      <c r="F149" t="str">
        <f t="shared" si="26"/>
        <v>Wayne Gonzales</v>
      </c>
      <c r="H149" t="s">
        <v>107</v>
      </c>
      <c r="I149" t="str">
        <f t="shared" si="27"/>
        <v>Male</v>
      </c>
      <c r="J149">
        <v>36</v>
      </c>
      <c r="K149">
        <f t="shared" si="28"/>
        <v>36</v>
      </c>
      <c r="L149" t="str">
        <f t="shared" si="29"/>
        <v>Second level</v>
      </c>
      <c r="M149" t="s">
        <v>31</v>
      </c>
      <c r="N149" t="s">
        <v>32</v>
      </c>
      <c r="O149" t="s">
        <v>82</v>
      </c>
      <c r="P149">
        <v>7</v>
      </c>
      <c r="Q149">
        <f t="shared" si="30"/>
        <v>7</v>
      </c>
      <c r="R149" t="s">
        <v>44</v>
      </c>
      <c r="S149" s="8" t="s">
        <v>44</v>
      </c>
      <c r="T149" s="9">
        <v>30</v>
      </c>
      <c r="U149" s="9">
        <f t="shared" si="31"/>
        <v>30</v>
      </c>
      <c r="V149" s="10">
        <v>30</v>
      </c>
      <c r="W149">
        <v>0</v>
      </c>
      <c r="X149" s="11">
        <f t="shared" si="32"/>
        <v>0</v>
      </c>
      <c r="Y149" t="s">
        <v>2102</v>
      </c>
      <c r="Z149" t="str">
        <f t="shared" si="36"/>
        <v>No</v>
      </c>
      <c r="AA149" t="str">
        <f t="shared" si="33"/>
        <v>No</v>
      </c>
      <c r="AB149" t="str">
        <f t="shared" si="34"/>
        <v>No</v>
      </c>
      <c r="AC149" s="12">
        <v>88</v>
      </c>
      <c r="AD149" s="12">
        <f t="shared" si="35"/>
        <v>88</v>
      </c>
    </row>
    <row r="150" spans="1:30" x14ac:dyDescent="0.3">
      <c r="A150" t="s">
        <v>392</v>
      </c>
      <c r="B150" t="s">
        <v>393</v>
      </c>
      <c r="C150" t="s">
        <v>2341</v>
      </c>
      <c r="D150" t="s">
        <v>2342</v>
      </c>
      <c r="E150" t="str">
        <f t="shared" si="25"/>
        <v>Gary Ballard</v>
      </c>
      <c r="F150" t="str">
        <f t="shared" si="26"/>
        <v>Gary Ballard</v>
      </c>
      <c r="H150" t="s">
        <v>30</v>
      </c>
      <c r="I150" t="str">
        <f t="shared" si="27"/>
        <v>Male</v>
      </c>
      <c r="J150">
        <v>25</v>
      </c>
      <c r="K150">
        <f t="shared" si="28"/>
        <v>25</v>
      </c>
      <c r="L150" t="str">
        <f t="shared" si="29"/>
        <v>First level</v>
      </c>
      <c r="M150" t="s">
        <v>190</v>
      </c>
      <c r="N150" t="s">
        <v>81</v>
      </c>
      <c r="O150" t="s">
        <v>57</v>
      </c>
      <c r="P150">
        <v>0</v>
      </c>
      <c r="Q150">
        <f t="shared" si="30"/>
        <v>0</v>
      </c>
      <c r="R150" t="s">
        <v>76</v>
      </c>
      <c r="S150" s="8" t="s">
        <v>76</v>
      </c>
      <c r="T150" s="9">
        <v>40</v>
      </c>
      <c r="U150" s="9">
        <f t="shared" si="31"/>
        <v>40</v>
      </c>
      <c r="V150" s="10">
        <v>40</v>
      </c>
      <c r="W150">
        <v>0</v>
      </c>
      <c r="X150" s="11">
        <f t="shared" si="32"/>
        <v>0</v>
      </c>
      <c r="Y150" t="s">
        <v>2102</v>
      </c>
      <c r="Z150" t="str">
        <f t="shared" si="36"/>
        <v>No</v>
      </c>
      <c r="AA150" t="str">
        <f t="shared" si="33"/>
        <v>No</v>
      </c>
      <c r="AB150" t="str">
        <f t="shared" si="34"/>
        <v>No</v>
      </c>
      <c r="AC150" s="12">
        <v>90</v>
      </c>
      <c r="AD150" s="12">
        <f t="shared" si="35"/>
        <v>90</v>
      </c>
    </row>
    <row r="151" spans="1:30" x14ac:dyDescent="0.3">
      <c r="A151" t="s">
        <v>394</v>
      </c>
      <c r="B151" t="s">
        <v>395</v>
      </c>
      <c r="C151" t="s">
        <v>2343</v>
      </c>
      <c r="D151" t="s">
        <v>2344</v>
      </c>
      <c r="E151" t="str">
        <f t="shared" si="25"/>
        <v>Maria Mcguire</v>
      </c>
      <c r="F151" t="str">
        <f t="shared" si="26"/>
        <v>Maria Mcguire</v>
      </c>
      <c r="H151" t="s">
        <v>22</v>
      </c>
      <c r="I151" t="str">
        <f t="shared" si="27"/>
        <v>Female</v>
      </c>
      <c r="J151">
        <v>37</v>
      </c>
      <c r="K151">
        <f t="shared" si="28"/>
        <v>37</v>
      </c>
      <c r="L151" t="str">
        <f t="shared" si="29"/>
        <v>Second level</v>
      </c>
      <c r="M151" t="s">
        <v>134</v>
      </c>
      <c r="N151" t="s">
        <v>135</v>
      </c>
      <c r="O151" t="s">
        <v>57</v>
      </c>
      <c r="P151">
        <v>15</v>
      </c>
      <c r="Q151">
        <f t="shared" si="30"/>
        <v>15</v>
      </c>
      <c r="R151" t="s">
        <v>40</v>
      </c>
      <c r="S151" s="8" t="s">
        <v>40</v>
      </c>
      <c r="T151" s="9">
        <v>40</v>
      </c>
      <c r="U151" s="9">
        <f t="shared" si="31"/>
        <v>40</v>
      </c>
      <c r="V151" s="10">
        <v>40</v>
      </c>
      <c r="W151">
        <v>2.9</v>
      </c>
      <c r="X151" s="11">
        <f t="shared" si="32"/>
        <v>2.9</v>
      </c>
      <c r="Y151" t="s">
        <v>2102</v>
      </c>
      <c r="Z151" t="str">
        <f t="shared" si="36"/>
        <v>No</v>
      </c>
      <c r="AA151" t="str">
        <f t="shared" si="33"/>
        <v>No</v>
      </c>
      <c r="AB151" t="str">
        <f t="shared" si="34"/>
        <v>No</v>
      </c>
      <c r="AC151" s="12"/>
      <c r="AD151" s="12">
        <f t="shared" si="35"/>
        <v>79.565155807365443</v>
      </c>
    </row>
    <row r="152" spans="1:30" x14ac:dyDescent="0.3">
      <c r="A152" t="s">
        <v>396</v>
      </c>
      <c r="B152" t="s">
        <v>397</v>
      </c>
      <c r="C152" t="s">
        <v>2124</v>
      </c>
      <c r="D152" t="s">
        <v>2345</v>
      </c>
      <c r="E152" t="str">
        <f t="shared" si="25"/>
        <v>Matthew Richards</v>
      </c>
      <c r="F152" t="str">
        <f t="shared" si="26"/>
        <v>Matthew Richards</v>
      </c>
      <c r="H152" t="s">
        <v>107</v>
      </c>
      <c r="I152" t="str">
        <f t="shared" si="27"/>
        <v>Male</v>
      </c>
      <c r="K152">
        <f t="shared" si="28"/>
        <v>41</v>
      </c>
      <c r="L152" t="str">
        <f t="shared" si="29"/>
        <v>Third level</v>
      </c>
      <c r="M152" t="s">
        <v>70</v>
      </c>
      <c r="N152" t="s">
        <v>71</v>
      </c>
      <c r="O152" t="s">
        <v>57</v>
      </c>
      <c r="P152">
        <v>10</v>
      </c>
      <c r="Q152">
        <f t="shared" si="30"/>
        <v>10</v>
      </c>
      <c r="R152" t="s">
        <v>61</v>
      </c>
      <c r="S152" s="8" t="s">
        <v>2094</v>
      </c>
      <c r="T152" s="9">
        <v>40</v>
      </c>
      <c r="U152" s="9">
        <f t="shared" si="31"/>
        <v>40</v>
      </c>
      <c r="V152" s="10">
        <v>40</v>
      </c>
      <c r="W152">
        <v>0</v>
      </c>
      <c r="X152" s="11">
        <f t="shared" si="32"/>
        <v>0</v>
      </c>
      <c r="Y152" t="s">
        <v>65</v>
      </c>
      <c r="AA152" t="str">
        <f t="shared" si="33"/>
        <v>Unknown</v>
      </c>
      <c r="AB152" t="str">
        <f t="shared" si="34"/>
        <v>Unknown</v>
      </c>
      <c r="AC152" s="12"/>
      <c r="AD152" s="12">
        <f t="shared" si="35"/>
        <v>79.565155807365443</v>
      </c>
    </row>
    <row r="153" spans="1:30" x14ac:dyDescent="0.3">
      <c r="A153" t="s">
        <v>398</v>
      </c>
      <c r="B153" t="s">
        <v>399</v>
      </c>
      <c r="C153" t="s">
        <v>2346</v>
      </c>
      <c r="D153" t="s">
        <v>2347</v>
      </c>
      <c r="E153" t="str">
        <f t="shared" si="25"/>
        <v>Patrick Malone</v>
      </c>
      <c r="F153" t="str">
        <f t="shared" si="26"/>
        <v>Patrick Malone</v>
      </c>
      <c r="H153" t="s">
        <v>107</v>
      </c>
      <c r="I153" t="str">
        <f t="shared" si="27"/>
        <v>Male</v>
      </c>
      <c r="J153">
        <v>29</v>
      </c>
      <c r="K153">
        <f t="shared" si="28"/>
        <v>29</v>
      </c>
      <c r="L153" t="str">
        <f t="shared" si="29"/>
        <v>First level</v>
      </c>
      <c r="M153" t="s">
        <v>201</v>
      </c>
      <c r="N153" t="s">
        <v>81</v>
      </c>
      <c r="O153" t="s">
        <v>57</v>
      </c>
      <c r="P153">
        <v>11</v>
      </c>
      <c r="Q153">
        <f t="shared" si="30"/>
        <v>11</v>
      </c>
      <c r="R153" t="s">
        <v>151</v>
      </c>
      <c r="S153" s="8" t="s">
        <v>151</v>
      </c>
      <c r="T153" s="9">
        <v>20</v>
      </c>
      <c r="U153" s="9">
        <f t="shared" si="31"/>
        <v>20</v>
      </c>
      <c r="V153" s="10">
        <v>20</v>
      </c>
      <c r="W153">
        <v>2.7</v>
      </c>
      <c r="X153" s="11">
        <f t="shared" si="32"/>
        <v>2.7</v>
      </c>
      <c r="Y153" t="s">
        <v>170</v>
      </c>
      <c r="Z153" t="str">
        <f t="shared" si="36"/>
        <v>no</v>
      </c>
      <c r="AA153" t="str">
        <f t="shared" si="33"/>
        <v>no</v>
      </c>
      <c r="AB153" t="str">
        <f t="shared" si="34"/>
        <v>No</v>
      </c>
      <c r="AC153" s="12">
        <v>93</v>
      </c>
      <c r="AD153" s="12">
        <f t="shared" si="35"/>
        <v>93</v>
      </c>
    </row>
    <row r="154" spans="1:30" x14ac:dyDescent="0.3">
      <c r="A154" t="s">
        <v>400</v>
      </c>
      <c r="B154" t="s">
        <v>401</v>
      </c>
      <c r="C154" t="s">
        <v>2320</v>
      </c>
      <c r="D154" t="s">
        <v>2123</v>
      </c>
      <c r="E154" t="str">
        <f t="shared" si="25"/>
        <v>Cindy Martin</v>
      </c>
      <c r="F154" t="str">
        <f t="shared" si="26"/>
        <v>Cindy Martin</v>
      </c>
      <c r="H154" t="s">
        <v>43</v>
      </c>
      <c r="I154" t="str">
        <f t="shared" si="27"/>
        <v>Female</v>
      </c>
      <c r="J154">
        <v>55</v>
      </c>
      <c r="K154">
        <f t="shared" si="28"/>
        <v>55</v>
      </c>
      <c r="L154" t="str">
        <f t="shared" si="29"/>
        <v>Fourth level</v>
      </c>
      <c r="M154" t="s">
        <v>80</v>
      </c>
      <c r="N154" t="s">
        <v>81</v>
      </c>
      <c r="O154" t="s">
        <v>25</v>
      </c>
      <c r="P154">
        <v>12</v>
      </c>
      <c r="Q154">
        <f t="shared" si="30"/>
        <v>12</v>
      </c>
      <c r="R154" t="s">
        <v>18</v>
      </c>
      <c r="S154" s="8" t="s">
        <v>18</v>
      </c>
      <c r="T154" s="9">
        <v>100</v>
      </c>
      <c r="U154" s="9">
        <f t="shared" si="31"/>
        <v>100</v>
      </c>
      <c r="V154" s="10">
        <v>100</v>
      </c>
      <c r="W154">
        <v>1.8</v>
      </c>
      <c r="X154" s="11">
        <f t="shared" si="32"/>
        <v>1.8</v>
      </c>
      <c r="Y154" t="s">
        <v>2103</v>
      </c>
      <c r="Z154" t="str">
        <f t="shared" si="36"/>
        <v>Yes</v>
      </c>
      <c r="AA154" t="str">
        <f t="shared" si="33"/>
        <v>Yes</v>
      </c>
      <c r="AB154" t="str">
        <f t="shared" si="34"/>
        <v>Yes</v>
      </c>
      <c r="AC154" s="12"/>
      <c r="AD154" s="12">
        <f t="shared" si="35"/>
        <v>79.546099290780148</v>
      </c>
    </row>
    <row r="155" spans="1:30" x14ac:dyDescent="0.3">
      <c r="A155" t="s">
        <v>402</v>
      </c>
      <c r="B155" t="s">
        <v>403</v>
      </c>
      <c r="C155" t="s">
        <v>2348</v>
      </c>
      <c r="D155" t="s">
        <v>2349</v>
      </c>
      <c r="E155" t="str">
        <f t="shared" si="25"/>
        <v>Anne Edwards</v>
      </c>
      <c r="F155" t="str">
        <f t="shared" si="26"/>
        <v>Anne Edwards</v>
      </c>
      <c r="H155" t="s">
        <v>86</v>
      </c>
      <c r="I155" t="str">
        <f t="shared" si="27"/>
        <v>Female</v>
      </c>
      <c r="J155">
        <v>38</v>
      </c>
      <c r="K155">
        <f t="shared" si="28"/>
        <v>38</v>
      </c>
      <c r="L155" t="str">
        <f t="shared" si="29"/>
        <v>Second level</v>
      </c>
      <c r="M155" t="s">
        <v>95</v>
      </c>
      <c r="N155" t="s">
        <v>96</v>
      </c>
      <c r="O155" t="s">
        <v>99</v>
      </c>
      <c r="P155">
        <v>20</v>
      </c>
      <c r="Q155">
        <f t="shared" si="30"/>
        <v>20</v>
      </c>
      <c r="R155" t="s">
        <v>181</v>
      </c>
      <c r="S155" s="8" t="s">
        <v>181</v>
      </c>
      <c r="T155" s="9">
        <v>75</v>
      </c>
      <c r="U155" s="9">
        <f t="shared" si="31"/>
        <v>75</v>
      </c>
      <c r="V155" s="10">
        <v>75</v>
      </c>
      <c r="W155">
        <v>1.1000000000000001</v>
      </c>
      <c r="X155" s="11">
        <f t="shared" si="32"/>
        <v>1.1000000000000001</v>
      </c>
      <c r="Y155" t="s">
        <v>170</v>
      </c>
      <c r="Z155" t="str">
        <f t="shared" si="36"/>
        <v>no</v>
      </c>
      <c r="AA155" t="str">
        <f t="shared" si="33"/>
        <v>no</v>
      </c>
      <c r="AB155" t="str">
        <f t="shared" si="34"/>
        <v>No</v>
      </c>
      <c r="AC155" s="12">
        <v>71</v>
      </c>
      <c r="AD155" s="12">
        <f t="shared" si="35"/>
        <v>71</v>
      </c>
    </row>
    <row r="156" spans="1:30" x14ac:dyDescent="0.3">
      <c r="A156" t="s">
        <v>404</v>
      </c>
      <c r="B156" t="s">
        <v>405</v>
      </c>
      <c r="C156" t="s">
        <v>2350</v>
      </c>
      <c r="D156" t="s">
        <v>2123</v>
      </c>
      <c r="E156" t="str">
        <f t="shared" si="25"/>
        <v>Mitchell Martin</v>
      </c>
      <c r="F156" t="str">
        <f t="shared" si="26"/>
        <v>Mitchell Martin</v>
      </c>
      <c r="H156" t="s">
        <v>107</v>
      </c>
      <c r="I156" t="str">
        <f t="shared" si="27"/>
        <v>Male</v>
      </c>
      <c r="J156">
        <v>47</v>
      </c>
      <c r="K156">
        <f t="shared" si="28"/>
        <v>47</v>
      </c>
      <c r="L156" t="str">
        <f t="shared" si="29"/>
        <v>Third level</v>
      </c>
      <c r="M156" t="s">
        <v>122</v>
      </c>
      <c r="N156" t="s">
        <v>123</v>
      </c>
      <c r="O156" t="s">
        <v>99</v>
      </c>
      <c r="P156">
        <v>29</v>
      </c>
      <c r="Q156">
        <f t="shared" si="30"/>
        <v>29</v>
      </c>
      <c r="R156" t="s">
        <v>40</v>
      </c>
      <c r="S156" s="8" t="s">
        <v>40</v>
      </c>
      <c r="T156" s="9">
        <v>40</v>
      </c>
      <c r="U156" s="9">
        <f t="shared" si="31"/>
        <v>40</v>
      </c>
      <c r="V156" s="10">
        <v>40</v>
      </c>
      <c r="W156">
        <v>4.3</v>
      </c>
      <c r="X156" s="11">
        <f t="shared" si="32"/>
        <v>4.3</v>
      </c>
      <c r="Y156" t="s">
        <v>2103</v>
      </c>
      <c r="Z156" t="str">
        <f t="shared" si="36"/>
        <v>Yes</v>
      </c>
      <c r="AA156" t="str">
        <f t="shared" si="33"/>
        <v>Yes</v>
      </c>
      <c r="AB156" t="str">
        <f t="shared" si="34"/>
        <v>Yes</v>
      </c>
      <c r="AC156" s="12">
        <v>95</v>
      </c>
      <c r="AD156" s="12">
        <f t="shared" si="35"/>
        <v>95</v>
      </c>
    </row>
    <row r="157" spans="1:30" x14ac:dyDescent="0.3">
      <c r="A157" t="s">
        <v>406</v>
      </c>
      <c r="B157" t="s">
        <v>407</v>
      </c>
      <c r="C157" t="s">
        <v>2350</v>
      </c>
      <c r="D157" t="s">
        <v>2346</v>
      </c>
      <c r="E157" t="str">
        <f t="shared" si="25"/>
        <v>Mitchell Patrick</v>
      </c>
      <c r="F157" t="str">
        <f t="shared" si="26"/>
        <v>Mitchell Patrick</v>
      </c>
      <c r="H157" t="s">
        <v>107</v>
      </c>
      <c r="I157" t="str">
        <f t="shared" si="27"/>
        <v>Male</v>
      </c>
      <c r="J157">
        <v>60</v>
      </c>
      <c r="K157">
        <f t="shared" si="28"/>
        <v>60</v>
      </c>
      <c r="L157" t="str">
        <f t="shared" si="29"/>
        <v>Fourth level</v>
      </c>
      <c r="M157" t="s">
        <v>117</v>
      </c>
      <c r="N157" t="s">
        <v>118</v>
      </c>
      <c r="O157" t="s">
        <v>39</v>
      </c>
      <c r="P157">
        <v>15</v>
      </c>
      <c r="Q157">
        <f t="shared" si="30"/>
        <v>15</v>
      </c>
      <c r="R157" t="s">
        <v>18</v>
      </c>
      <c r="S157" s="8" t="s">
        <v>18</v>
      </c>
      <c r="T157" s="9">
        <v>100</v>
      </c>
      <c r="U157" s="9">
        <f t="shared" si="31"/>
        <v>100</v>
      </c>
      <c r="V157" s="10">
        <v>100</v>
      </c>
      <c r="W157">
        <v>1.5</v>
      </c>
      <c r="X157" s="11">
        <f t="shared" si="32"/>
        <v>1.5</v>
      </c>
      <c r="Y157" t="s">
        <v>2102</v>
      </c>
      <c r="Z157" t="str">
        <f t="shared" si="36"/>
        <v>No</v>
      </c>
      <c r="AA157" t="str">
        <f t="shared" si="33"/>
        <v>No</v>
      </c>
      <c r="AB157" t="str">
        <f t="shared" si="34"/>
        <v>No</v>
      </c>
      <c r="AC157" s="12">
        <v>80</v>
      </c>
      <c r="AD157" s="12">
        <f t="shared" si="35"/>
        <v>80</v>
      </c>
    </row>
    <row r="158" spans="1:30" x14ac:dyDescent="0.3">
      <c r="A158" t="s">
        <v>408</v>
      </c>
      <c r="B158" t="s">
        <v>409</v>
      </c>
      <c r="C158" t="s">
        <v>2351</v>
      </c>
      <c r="D158" t="s">
        <v>2352</v>
      </c>
      <c r="E158" t="str">
        <f t="shared" si="25"/>
        <v>Rebecca Lyons</v>
      </c>
      <c r="F158" t="str">
        <f t="shared" si="26"/>
        <v>Rebecca Lyons</v>
      </c>
      <c r="H158" t="s">
        <v>22</v>
      </c>
      <c r="I158" t="str">
        <f t="shared" si="27"/>
        <v>Female</v>
      </c>
      <c r="J158">
        <v>43</v>
      </c>
      <c r="K158">
        <f t="shared" si="28"/>
        <v>43</v>
      </c>
      <c r="L158" t="str">
        <f t="shared" si="29"/>
        <v>Third level</v>
      </c>
      <c r="M158" t="s">
        <v>15</v>
      </c>
      <c r="N158" t="s">
        <v>16</v>
      </c>
      <c r="O158" t="s">
        <v>57</v>
      </c>
      <c r="P158">
        <v>9</v>
      </c>
      <c r="Q158">
        <f t="shared" si="30"/>
        <v>9</v>
      </c>
      <c r="R158" t="s">
        <v>131</v>
      </c>
      <c r="S158" s="8" t="s">
        <v>131</v>
      </c>
      <c r="T158" s="9">
        <v>20</v>
      </c>
      <c r="U158" s="9">
        <f t="shared" si="31"/>
        <v>20</v>
      </c>
      <c r="V158" s="10">
        <v>20</v>
      </c>
      <c r="W158">
        <v>2.2000000000000002</v>
      </c>
      <c r="X158" s="11">
        <f t="shared" si="32"/>
        <v>2.2000000000000002</v>
      </c>
      <c r="Y158" t="s">
        <v>2102</v>
      </c>
      <c r="Z158" t="str">
        <f t="shared" si="36"/>
        <v>No</v>
      </c>
      <c r="AA158" t="str">
        <f t="shared" si="33"/>
        <v>No</v>
      </c>
      <c r="AB158" t="str">
        <f t="shared" si="34"/>
        <v>No</v>
      </c>
      <c r="AC158" s="12"/>
      <c r="AD158" s="12">
        <f t="shared" si="35"/>
        <v>79.535612535612529</v>
      </c>
    </row>
    <row r="159" spans="1:30" x14ac:dyDescent="0.3">
      <c r="A159" t="s">
        <v>410</v>
      </c>
      <c r="B159" t="s">
        <v>411</v>
      </c>
      <c r="C159" t="s">
        <v>2353</v>
      </c>
      <c r="D159" t="s">
        <v>2354</v>
      </c>
      <c r="E159" t="str">
        <f t="shared" si="25"/>
        <v>Christian Lopez</v>
      </c>
      <c r="F159" t="str">
        <f t="shared" si="26"/>
        <v>Christian Lopez</v>
      </c>
      <c r="H159" t="s">
        <v>107</v>
      </c>
      <c r="I159" t="str">
        <f t="shared" si="27"/>
        <v>Male</v>
      </c>
      <c r="J159">
        <v>56</v>
      </c>
      <c r="K159">
        <f t="shared" si="28"/>
        <v>56</v>
      </c>
      <c r="L159" t="str">
        <f t="shared" si="29"/>
        <v>Fourth level</v>
      </c>
      <c r="M159" t="s">
        <v>164</v>
      </c>
      <c r="N159" t="s">
        <v>165</v>
      </c>
      <c r="O159" t="s">
        <v>57</v>
      </c>
      <c r="Q159">
        <f t="shared" si="30"/>
        <v>19</v>
      </c>
      <c r="R159" t="s">
        <v>18</v>
      </c>
      <c r="S159" s="8" t="s">
        <v>18</v>
      </c>
      <c r="T159" s="9">
        <v>100</v>
      </c>
      <c r="U159" s="9">
        <f t="shared" si="31"/>
        <v>100</v>
      </c>
      <c r="V159" s="10">
        <v>100</v>
      </c>
      <c r="W159">
        <v>3.2</v>
      </c>
      <c r="X159" s="11">
        <f t="shared" si="32"/>
        <v>3.2</v>
      </c>
      <c r="Y159" t="s">
        <v>2102</v>
      </c>
      <c r="Z159" t="str">
        <f t="shared" si="36"/>
        <v>No</v>
      </c>
      <c r="AA159" t="str">
        <f t="shared" si="33"/>
        <v>No</v>
      </c>
      <c r="AB159" t="str">
        <f t="shared" si="34"/>
        <v>No</v>
      </c>
      <c r="AC159" s="12">
        <v>62</v>
      </c>
      <c r="AD159" s="12">
        <f t="shared" si="35"/>
        <v>62</v>
      </c>
    </row>
    <row r="160" spans="1:30" x14ac:dyDescent="0.3">
      <c r="A160" t="s">
        <v>412</v>
      </c>
      <c r="B160" t="s">
        <v>413</v>
      </c>
      <c r="C160" t="s">
        <v>2355</v>
      </c>
      <c r="D160" t="s">
        <v>2356</v>
      </c>
      <c r="E160" t="str">
        <f t="shared" si="25"/>
        <v>Nathan Blair</v>
      </c>
      <c r="F160" t="str">
        <f t="shared" si="26"/>
        <v>Nathan Blair</v>
      </c>
      <c r="H160" t="s">
        <v>30</v>
      </c>
      <c r="I160" t="str">
        <f t="shared" si="27"/>
        <v>Male</v>
      </c>
      <c r="J160">
        <v>42</v>
      </c>
      <c r="K160">
        <f t="shared" si="28"/>
        <v>42</v>
      </c>
      <c r="L160" t="str">
        <f t="shared" si="29"/>
        <v>Third level</v>
      </c>
      <c r="M160" t="s">
        <v>134</v>
      </c>
      <c r="N160" t="s">
        <v>135</v>
      </c>
      <c r="O160" t="s">
        <v>99</v>
      </c>
      <c r="P160">
        <v>2</v>
      </c>
      <c r="Q160">
        <f t="shared" si="30"/>
        <v>2</v>
      </c>
      <c r="R160" t="s">
        <v>72</v>
      </c>
      <c r="S160" s="8" t="s">
        <v>72</v>
      </c>
      <c r="T160" s="9">
        <v>50</v>
      </c>
      <c r="U160" s="9">
        <f t="shared" si="31"/>
        <v>50</v>
      </c>
      <c r="V160" s="10">
        <v>50</v>
      </c>
      <c r="W160">
        <v>1.9</v>
      </c>
      <c r="X160" s="11">
        <f t="shared" si="32"/>
        <v>1.9</v>
      </c>
      <c r="Y160" t="s">
        <v>2102</v>
      </c>
      <c r="Z160" t="str">
        <f t="shared" si="36"/>
        <v>No</v>
      </c>
      <c r="AA160" t="str">
        <f t="shared" si="33"/>
        <v>No</v>
      </c>
      <c r="AB160" t="str">
        <f t="shared" si="34"/>
        <v>No</v>
      </c>
      <c r="AC160" s="12">
        <v>95</v>
      </c>
      <c r="AD160" s="12">
        <f t="shared" si="35"/>
        <v>95</v>
      </c>
    </row>
    <row r="161" spans="1:30" x14ac:dyDescent="0.3">
      <c r="A161" t="s">
        <v>414</v>
      </c>
      <c r="B161" t="s">
        <v>415</v>
      </c>
      <c r="C161" t="s">
        <v>2357</v>
      </c>
      <c r="D161" t="s">
        <v>2354</v>
      </c>
      <c r="E161" t="str">
        <f t="shared" si="25"/>
        <v>Patricia Lopez</v>
      </c>
      <c r="F161" t="str">
        <f t="shared" si="26"/>
        <v>Patricia Lopez</v>
      </c>
      <c r="H161" t="s">
        <v>86</v>
      </c>
      <c r="I161" t="str">
        <f t="shared" si="27"/>
        <v>Female</v>
      </c>
      <c r="J161">
        <v>20</v>
      </c>
      <c r="K161">
        <f t="shared" si="28"/>
        <v>20</v>
      </c>
      <c r="L161" t="str">
        <f t="shared" si="29"/>
        <v>First level</v>
      </c>
      <c r="M161" t="s">
        <v>201</v>
      </c>
      <c r="N161" t="s">
        <v>81</v>
      </c>
      <c r="O161" t="s">
        <v>33</v>
      </c>
      <c r="P161">
        <v>0</v>
      </c>
      <c r="Q161">
        <f t="shared" si="30"/>
        <v>0</v>
      </c>
      <c r="R161" t="s">
        <v>76</v>
      </c>
      <c r="S161" s="8" t="s">
        <v>76</v>
      </c>
      <c r="T161" s="9">
        <v>40</v>
      </c>
      <c r="U161" s="9">
        <f t="shared" si="31"/>
        <v>40</v>
      </c>
      <c r="V161" s="10">
        <v>40</v>
      </c>
      <c r="W161">
        <v>2.5</v>
      </c>
      <c r="X161" s="11">
        <f t="shared" si="32"/>
        <v>2.5</v>
      </c>
      <c r="Y161" t="s">
        <v>2102</v>
      </c>
      <c r="Z161" t="str">
        <f t="shared" si="36"/>
        <v>No</v>
      </c>
      <c r="AA161" t="str">
        <f t="shared" si="33"/>
        <v>No</v>
      </c>
      <c r="AB161" t="str">
        <f t="shared" si="34"/>
        <v>No</v>
      </c>
      <c r="AC161" s="12">
        <v>79</v>
      </c>
      <c r="AD161" s="12">
        <f t="shared" si="35"/>
        <v>79</v>
      </c>
    </row>
    <row r="162" spans="1:30" x14ac:dyDescent="0.3">
      <c r="A162" t="s">
        <v>416</v>
      </c>
      <c r="B162" t="s">
        <v>417</v>
      </c>
      <c r="C162" t="s">
        <v>2128</v>
      </c>
      <c r="D162" t="s">
        <v>2358</v>
      </c>
      <c r="E162" t="str">
        <f t="shared" si="25"/>
        <v>Michelle Wu</v>
      </c>
      <c r="F162" t="str">
        <f t="shared" si="26"/>
        <v>Michelle Wu</v>
      </c>
      <c r="H162" t="s">
        <v>43</v>
      </c>
      <c r="I162" t="str">
        <f t="shared" si="27"/>
        <v>Female</v>
      </c>
      <c r="J162">
        <v>47</v>
      </c>
      <c r="K162">
        <f t="shared" si="28"/>
        <v>47</v>
      </c>
      <c r="L162" t="str">
        <f t="shared" si="29"/>
        <v>Third level</v>
      </c>
      <c r="M162" t="s">
        <v>55</v>
      </c>
      <c r="N162" t="s">
        <v>56</v>
      </c>
      <c r="O162" t="s">
        <v>82</v>
      </c>
      <c r="P162">
        <v>12</v>
      </c>
      <c r="Q162">
        <f t="shared" si="30"/>
        <v>12</v>
      </c>
      <c r="R162" t="s">
        <v>76</v>
      </c>
      <c r="S162" s="8" t="s">
        <v>76</v>
      </c>
      <c r="T162" s="9">
        <v>40</v>
      </c>
      <c r="U162" s="9">
        <f t="shared" si="31"/>
        <v>40</v>
      </c>
      <c r="V162" s="10">
        <v>40</v>
      </c>
      <c r="W162">
        <v>4.5</v>
      </c>
      <c r="X162" s="11">
        <f t="shared" si="32"/>
        <v>4.5</v>
      </c>
      <c r="Y162" t="s">
        <v>170</v>
      </c>
      <c r="Z162" t="str">
        <f t="shared" si="36"/>
        <v>no</v>
      </c>
      <c r="AA162" t="str">
        <f t="shared" si="33"/>
        <v>no</v>
      </c>
      <c r="AB162" t="str">
        <f t="shared" si="34"/>
        <v>No</v>
      </c>
      <c r="AC162" s="12">
        <v>62</v>
      </c>
      <c r="AD162" s="12">
        <f t="shared" si="35"/>
        <v>62</v>
      </c>
    </row>
    <row r="163" spans="1:30" x14ac:dyDescent="0.3">
      <c r="A163" t="s">
        <v>418</v>
      </c>
      <c r="B163" t="s">
        <v>419</v>
      </c>
      <c r="C163" t="s">
        <v>2359</v>
      </c>
      <c r="D163" t="s">
        <v>2350</v>
      </c>
      <c r="E163" t="str">
        <f t="shared" si="25"/>
        <v>Donald Mitchell</v>
      </c>
      <c r="F163" t="str">
        <f t="shared" si="26"/>
        <v>Donald Mitchell</v>
      </c>
      <c r="H163" t="s">
        <v>107</v>
      </c>
      <c r="I163" t="str">
        <f t="shared" si="27"/>
        <v>Male</v>
      </c>
      <c r="K163">
        <f t="shared" si="28"/>
        <v>41</v>
      </c>
      <c r="L163" t="str">
        <f t="shared" si="29"/>
        <v>Third level</v>
      </c>
      <c r="M163" t="s">
        <v>80</v>
      </c>
      <c r="N163" t="s">
        <v>81</v>
      </c>
      <c r="O163" t="s">
        <v>57</v>
      </c>
      <c r="P163">
        <v>12</v>
      </c>
      <c r="Q163">
        <f t="shared" si="30"/>
        <v>12</v>
      </c>
      <c r="R163" t="s">
        <v>50</v>
      </c>
      <c r="S163" s="8" t="s">
        <v>50</v>
      </c>
      <c r="T163" s="9">
        <v>30</v>
      </c>
      <c r="U163" s="9">
        <f t="shared" si="31"/>
        <v>30</v>
      </c>
      <c r="V163" s="10">
        <v>30</v>
      </c>
      <c r="W163">
        <v>4.0999999999999996</v>
      </c>
      <c r="X163" s="11">
        <f t="shared" si="32"/>
        <v>4.0999999999999996</v>
      </c>
      <c r="Y163" t="s">
        <v>170</v>
      </c>
      <c r="Z163" t="str">
        <f t="shared" si="36"/>
        <v>no</v>
      </c>
      <c r="AA163" t="str">
        <f t="shared" si="33"/>
        <v>no</v>
      </c>
      <c r="AB163" t="str">
        <f t="shared" si="34"/>
        <v>No</v>
      </c>
      <c r="AC163" s="12">
        <v>68</v>
      </c>
      <c r="AD163" s="12">
        <f t="shared" si="35"/>
        <v>68</v>
      </c>
    </row>
    <row r="164" spans="1:30" x14ac:dyDescent="0.3">
      <c r="A164" t="s">
        <v>420</v>
      </c>
      <c r="B164" t="s">
        <v>421</v>
      </c>
      <c r="C164" t="s">
        <v>2122</v>
      </c>
      <c r="D164" t="s">
        <v>2360</v>
      </c>
      <c r="E164" t="str">
        <f t="shared" si="25"/>
        <v>Sean Gordon</v>
      </c>
      <c r="F164" t="str">
        <f t="shared" si="26"/>
        <v>Sean Gordon</v>
      </c>
      <c r="H164" t="s">
        <v>107</v>
      </c>
      <c r="I164" t="str">
        <f t="shared" si="27"/>
        <v>Male</v>
      </c>
      <c r="J164">
        <v>56</v>
      </c>
      <c r="K164">
        <f t="shared" si="28"/>
        <v>56</v>
      </c>
      <c r="L164" t="str">
        <f t="shared" si="29"/>
        <v>Fourth level</v>
      </c>
      <c r="M164" t="s">
        <v>55</v>
      </c>
      <c r="N164" t="s">
        <v>56</v>
      </c>
      <c r="O164" t="s">
        <v>99</v>
      </c>
      <c r="P164">
        <v>15</v>
      </c>
      <c r="Q164">
        <f t="shared" si="30"/>
        <v>15</v>
      </c>
      <c r="R164" t="s">
        <v>58</v>
      </c>
      <c r="S164" s="8" t="s">
        <v>2093</v>
      </c>
      <c r="T164" s="9">
        <v>75</v>
      </c>
      <c r="U164" s="9">
        <f t="shared" si="31"/>
        <v>75</v>
      </c>
      <c r="V164" s="10">
        <v>75</v>
      </c>
      <c r="W164">
        <v>0</v>
      </c>
      <c r="X164" s="11">
        <f t="shared" si="32"/>
        <v>0</v>
      </c>
      <c r="Y164" t="s">
        <v>170</v>
      </c>
      <c r="Z164" t="str">
        <f t="shared" si="36"/>
        <v>no</v>
      </c>
      <c r="AA164" t="str">
        <f t="shared" si="33"/>
        <v>no</v>
      </c>
      <c r="AB164" t="str">
        <f t="shared" si="34"/>
        <v>No</v>
      </c>
      <c r="AC164" s="12"/>
      <c r="AD164" s="12">
        <f t="shared" si="35"/>
        <v>79.581061692969868</v>
      </c>
    </row>
    <row r="165" spans="1:30" x14ac:dyDescent="0.3">
      <c r="A165" t="s">
        <v>422</v>
      </c>
      <c r="B165" t="s">
        <v>423</v>
      </c>
      <c r="C165" t="s">
        <v>2361</v>
      </c>
      <c r="D165" t="s">
        <v>2362</v>
      </c>
      <c r="E165" t="str">
        <f t="shared" si="25"/>
        <v>Gregory Clarke</v>
      </c>
      <c r="F165" t="str">
        <f t="shared" si="26"/>
        <v>Gregory Clarke</v>
      </c>
      <c r="H165" t="s">
        <v>107</v>
      </c>
      <c r="I165" t="str">
        <f t="shared" si="27"/>
        <v>Male</v>
      </c>
      <c r="J165">
        <v>59</v>
      </c>
      <c r="K165">
        <f t="shared" si="28"/>
        <v>59</v>
      </c>
      <c r="L165" t="str">
        <f t="shared" si="29"/>
        <v>Fourth level</v>
      </c>
      <c r="M165" t="s">
        <v>75</v>
      </c>
      <c r="N165" t="s">
        <v>24</v>
      </c>
      <c r="O165" t="s">
        <v>99</v>
      </c>
      <c r="P165">
        <v>29</v>
      </c>
      <c r="Q165">
        <f t="shared" si="30"/>
        <v>29</v>
      </c>
      <c r="R165" t="s">
        <v>58</v>
      </c>
      <c r="S165" s="8" t="s">
        <v>2093</v>
      </c>
      <c r="T165" s="9">
        <v>75</v>
      </c>
      <c r="U165" s="9">
        <f t="shared" si="31"/>
        <v>75</v>
      </c>
      <c r="V165" s="10">
        <v>75</v>
      </c>
      <c r="X165" s="11">
        <f t="shared" si="32"/>
        <v>2.5429333333333322</v>
      </c>
      <c r="Y165" t="s">
        <v>2102</v>
      </c>
      <c r="Z165" t="str">
        <f t="shared" si="36"/>
        <v>No</v>
      </c>
      <c r="AA165" t="str">
        <f t="shared" si="33"/>
        <v>No</v>
      </c>
      <c r="AB165" t="str">
        <f t="shared" si="34"/>
        <v>No</v>
      </c>
      <c r="AC165" s="12">
        <v>80</v>
      </c>
      <c r="AD165" s="12">
        <f t="shared" si="35"/>
        <v>80</v>
      </c>
    </row>
    <row r="166" spans="1:30" x14ac:dyDescent="0.3">
      <c r="A166" t="s">
        <v>424</v>
      </c>
      <c r="B166" t="s">
        <v>425</v>
      </c>
      <c r="C166" t="s">
        <v>2336</v>
      </c>
      <c r="D166" t="s">
        <v>2363</v>
      </c>
      <c r="E166" t="str">
        <f t="shared" si="25"/>
        <v>Steven Whitney</v>
      </c>
      <c r="F166" t="str">
        <f t="shared" si="26"/>
        <v>Steven Whitney</v>
      </c>
      <c r="H166" t="s">
        <v>69</v>
      </c>
      <c r="I166" t="str">
        <f t="shared" si="27"/>
        <v>Male</v>
      </c>
      <c r="J166">
        <v>56</v>
      </c>
      <c r="K166">
        <f t="shared" si="28"/>
        <v>56</v>
      </c>
      <c r="L166" t="str">
        <f t="shared" si="29"/>
        <v>Fourth level</v>
      </c>
      <c r="M166" t="s">
        <v>95</v>
      </c>
      <c r="N166" t="s">
        <v>96</v>
      </c>
      <c r="O166" t="s">
        <v>87</v>
      </c>
      <c r="P166">
        <v>15</v>
      </c>
      <c r="Q166">
        <f t="shared" si="30"/>
        <v>15</v>
      </c>
      <c r="R166" t="s">
        <v>76</v>
      </c>
      <c r="S166" s="8" t="s">
        <v>76</v>
      </c>
      <c r="T166" s="9">
        <v>40</v>
      </c>
      <c r="U166" s="9">
        <f t="shared" si="31"/>
        <v>40</v>
      </c>
      <c r="V166" s="10">
        <v>40</v>
      </c>
      <c r="W166">
        <v>3.7</v>
      </c>
      <c r="X166" s="11">
        <f t="shared" si="32"/>
        <v>3.7</v>
      </c>
      <c r="Y166" t="s">
        <v>65</v>
      </c>
      <c r="AA166" t="str">
        <f t="shared" si="33"/>
        <v>Unknown</v>
      </c>
      <c r="AB166" t="str">
        <f t="shared" si="34"/>
        <v>Unknown</v>
      </c>
      <c r="AC166" s="12">
        <v>92</v>
      </c>
      <c r="AD166" s="12">
        <f t="shared" si="35"/>
        <v>92</v>
      </c>
    </row>
    <row r="167" spans="1:30" x14ac:dyDescent="0.3">
      <c r="A167" t="s">
        <v>426</v>
      </c>
      <c r="B167" t="s">
        <v>427</v>
      </c>
      <c r="C167" t="s">
        <v>2364</v>
      </c>
      <c r="D167" t="s">
        <v>2365</v>
      </c>
      <c r="E167" t="str">
        <f t="shared" si="25"/>
        <v>Robin Acosta</v>
      </c>
      <c r="F167" t="str">
        <f t="shared" si="26"/>
        <v>Robin Acosta</v>
      </c>
      <c r="H167" t="s">
        <v>43</v>
      </c>
      <c r="I167" t="str">
        <f t="shared" si="27"/>
        <v>Female</v>
      </c>
      <c r="J167">
        <v>31</v>
      </c>
      <c r="K167">
        <f t="shared" si="28"/>
        <v>31</v>
      </c>
      <c r="L167" t="str">
        <f t="shared" si="29"/>
        <v>Second level</v>
      </c>
      <c r="M167" t="s">
        <v>164</v>
      </c>
      <c r="N167" t="s">
        <v>165</v>
      </c>
      <c r="O167" t="s">
        <v>39</v>
      </c>
      <c r="Q167">
        <f t="shared" si="30"/>
        <v>9</v>
      </c>
      <c r="R167" t="s">
        <v>58</v>
      </c>
      <c r="S167" s="8" t="s">
        <v>2093</v>
      </c>
      <c r="T167" s="9">
        <v>75</v>
      </c>
      <c r="U167" s="9">
        <f t="shared" si="31"/>
        <v>75</v>
      </c>
      <c r="V167" s="10">
        <v>75</v>
      </c>
      <c r="W167">
        <v>1.3</v>
      </c>
      <c r="X167" s="11">
        <f t="shared" si="32"/>
        <v>1.3</v>
      </c>
      <c r="Y167" t="s">
        <v>2103</v>
      </c>
      <c r="Z167" t="str">
        <f t="shared" si="36"/>
        <v>Yes</v>
      </c>
      <c r="AA167" t="str">
        <f t="shared" si="33"/>
        <v>Yes</v>
      </c>
      <c r="AB167" t="str">
        <f t="shared" si="34"/>
        <v>Yes</v>
      </c>
      <c r="AC167" s="12">
        <v>65</v>
      </c>
      <c r="AD167" s="12">
        <f t="shared" si="35"/>
        <v>65</v>
      </c>
    </row>
    <row r="168" spans="1:30" x14ac:dyDescent="0.3">
      <c r="A168" t="s">
        <v>428</v>
      </c>
      <c r="B168" t="s">
        <v>429</v>
      </c>
      <c r="C168" t="s">
        <v>2366</v>
      </c>
      <c r="D168" t="s">
        <v>2161</v>
      </c>
      <c r="E168" t="str">
        <f t="shared" si="25"/>
        <v>John Smith</v>
      </c>
      <c r="F168" t="str">
        <f t="shared" si="26"/>
        <v>John Smith</v>
      </c>
      <c r="H168" t="s">
        <v>107</v>
      </c>
      <c r="I168" t="str">
        <f t="shared" si="27"/>
        <v>Male</v>
      </c>
      <c r="J168">
        <v>60</v>
      </c>
      <c r="K168">
        <f t="shared" si="28"/>
        <v>60</v>
      </c>
      <c r="L168" t="str">
        <f t="shared" si="29"/>
        <v>Fourth level</v>
      </c>
      <c r="M168" t="s">
        <v>122</v>
      </c>
      <c r="N168" t="s">
        <v>123</v>
      </c>
      <c r="O168" t="s">
        <v>25</v>
      </c>
      <c r="P168">
        <v>33</v>
      </c>
      <c r="Q168">
        <f t="shared" si="30"/>
        <v>33</v>
      </c>
      <c r="R168" t="s">
        <v>76</v>
      </c>
      <c r="S168" s="8" t="s">
        <v>76</v>
      </c>
      <c r="T168" s="9">
        <v>40</v>
      </c>
      <c r="U168" s="9">
        <f t="shared" si="31"/>
        <v>40</v>
      </c>
      <c r="V168" s="10">
        <v>40</v>
      </c>
      <c r="W168">
        <v>3.6</v>
      </c>
      <c r="X168" s="11">
        <f t="shared" si="32"/>
        <v>3.6</v>
      </c>
      <c r="Y168" t="s">
        <v>2103</v>
      </c>
      <c r="Z168" t="str">
        <f t="shared" si="36"/>
        <v>Yes</v>
      </c>
      <c r="AA168" t="str">
        <f t="shared" si="33"/>
        <v>Yes</v>
      </c>
      <c r="AB168" t="str">
        <f t="shared" si="34"/>
        <v>Yes</v>
      </c>
      <c r="AC168" s="12">
        <v>87</v>
      </c>
      <c r="AD168" s="12">
        <f t="shared" si="35"/>
        <v>87</v>
      </c>
    </row>
    <row r="169" spans="1:30" x14ac:dyDescent="0.3">
      <c r="A169" t="s">
        <v>430</v>
      </c>
      <c r="B169" t="s">
        <v>431</v>
      </c>
      <c r="C169" t="s">
        <v>2367</v>
      </c>
      <c r="D169" t="s">
        <v>2250</v>
      </c>
      <c r="E169" t="str">
        <f t="shared" si="25"/>
        <v>Susan Baker</v>
      </c>
      <c r="F169" t="str">
        <f t="shared" si="26"/>
        <v>Susan Baker</v>
      </c>
      <c r="H169" t="s">
        <v>22</v>
      </c>
      <c r="I169" t="str">
        <f t="shared" si="27"/>
        <v>Female</v>
      </c>
      <c r="J169">
        <v>31</v>
      </c>
      <c r="K169">
        <f t="shared" si="28"/>
        <v>31</v>
      </c>
      <c r="L169" t="str">
        <f t="shared" si="29"/>
        <v>Second level</v>
      </c>
      <c r="M169" t="s">
        <v>138</v>
      </c>
      <c r="N169" t="s">
        <v>24</v>
      </c>
      <c r="O169" t="s">
        <v>39</v>
      </c>
      <c r="P169">
        <v>10</v>
      </c>
      <c r="Q169">
        <f t="shared" si="30"/>
        <v>10</v>
      </c>
      <c r="R169" t="s">
        <v>92</v>
      </c>
      <c r="S169" s="8" t="s">
        <v>92</v>
      </c>
      <c r="T169" s="9">
        <v>75</v>
      </c>
      <c r="U169" s="9">
        <f t="shared" si="31"/>
        <v>75</v>
      </c>
      <c r="V169" s="10">
        <v>75</v>
      </c>
      <c r="W169">
        <v>0</v>
      </c>
      <c r="X169" s="11">
        <f t="shared" si="32"/>
        <v>0</v>
      </c>
      <c r="Y169" t="s">
        <v>170</v>
      </c>
      <c r="Z169" t="str">
        <f t="shared" si="36"/>
        <v>no</v>
      </c>
      <c r="AA169" t="str">
        <f t="shared" si="33"/>
        <v>no</v>
      </c>
      <c r="AB169" t="str">
        <f t="shared" si="34"/>
        <v>No</v>
      </c>
      <c r="AC169" s="12">
        <v>70</v>
      </c>
      <c r="AD169" s="12">
        <f t="shared" si="35"/>
        <v>70</v>
      </c>
    </row>
    <row r="170" spans="1:30" x14ac:dyDescent="0.3">
      <c r="A170" t="s">
        <v>432</v>
      </c>
      <c r="B170" t="s">
        <v>433</v>
      </c>
      <c r="C170" t="s">
        <v>2368</v>
      </c>
      <c r="D170" t="s">
        <v>2369</v>
      </c>
      <c r="E170" t="str">
        <f t="shared" si="25"/>
        <v>Anthony Larsen</v>
      </c>
      <c r="F170" t="str">
        <f t="shared" si="26"/>
        <v>Anthony Larsen</v>
      </c>
      <c r="H170" t="s">
        <v>69</v>
      </c>
      <c r="I170" t="str">
        <f t="shared" si="27"/>
        <v>Male</v>
      </c>
      <c r="J170">
        <v>60</v>
      </c>
      <c r="K170">
        <f t="shared" si="28"/>
        <v>60</v>
      </c>
      <c r="L170" t="str">
        <f t="shared" si="29"/>
        <v>Fourth level</v>
      </c>
      <c r="M170" t="s">
        <v>80</v>
      </c>
      <c r="N170" t="s">
        <v>81</v>
      </c>
      <c r="O170" t="s">
        <v>87</v>
      </c>
      <c r="P170">
        <v>20</v>
      </c>
      <c r="Q170">
        <f t="shared" si="30"/>
        <v>20</v>
      </c>
      <c r="R170" t="s">
        <v>76</v>
      </c>
      <c r="S170" s="8" t="s">
        <v>76</v>
      </c>
      <c r="T170" s="9">
        <v>40</v>
      </c>
      <c r="U170" s="9">
        <f t="shared" si="31"/>
        <v>40</v>
      </c>
      <c r="V170" s="10">
        <v>40</v>
      </c>
      <c r="W170">
        <v>1.4</v>
      </c>
      <c r="X170" s="11">
        <f t="shared" si="32"/>
        <v>1.4</v>
      </c>
      <c r="Y170" t="s">
        <v>170</v>
      </c>
      <c r="Z170" t="str">
        <f t="shared" si="36"/>
        <v>no</v>
      </c>
      <c r="AA170" t="str">
        <f t="shared" si="33"/>
        <v>no</v>
      </c>
      <c r="AB170" t="str">
        <f t="shared" si="34"/>
        <v>No</v>
      </c>
      <c r="AC170" s="12">
        <v>87</v>
      </c>
      <c r="AD170" s="12">
        <f t="shared" si="35"/>
        <v>87</v>
      </c>
    </row>
    <row r="171" spans="1:30" x14ac:dyDescent="0.3">
      <c r="A171" t="s">
        <v>434</v>
      </c>
      <c r="B171" t="s">
        <v>435</v>
      </c>
      <c r="C171" t="s">
        <v>2233</v>
      </c>
      <c r="D171" t="s">
        <v>2162</v>
      </c>
      <c r="E171" t="str">
        <f t="shared" si="25"/>
        <v>Nicholas Carpenter</v>
      </c>
      <c r="F171" t="str">
        <f t="shared" si="26"/>
        <v>Nicholas Carpenter</v>
      </c>
      <c r="H171" t="s">
        <v>69</v>
      </c>
      <c r="I171" t="str">
        <f t="shared" si="27"/>
        <v>Male</v>
      </c>
      <c r="J171">
        <v>46</v>
      </c>
      <c r="K171">
        <f t="shared" si="28"/>
        <v>46</v>
      </c>
      <c r="L171" t="str">
        <f t="shared" si="29"/>
        <v>Third level</v>
      </c>
      <c r="M171" t="s">
        <v>145</v>
      </c>
      <c r="N171" t="s">
        <v>146</v>
      </c>
      <c r="O171" t="s">
        <v>99</v>
      </c>
      <c r="P171">
        <v>23</v>
      </c>
      <c r="Q171">
        <f t="shared" si="30"/>
        <v>23</v>
      </c>
      <c r="R171" t="s">
        <v>151</v>
      </c>
      <c r="S171" s="8" t="s">
        <v>151</v>
      </c>
      <c r="T171" s="9">
        <v>20</v>
      </c>
      <c r="U171" s="9">
        <f t="shared" si="31"/>
        <v>20</v>
      </c>
      <c r="V171" s="10">
        <v>20</v>
      </c>
      <c r="W171">
        <v>2.9</v>
      </c>
      <c r="X171" s="11">
        <f t="shared" si="32"/>
        <v>2.9</v>
      </c>
      <c r="Y171" t="s">
        <v>2102</v>
      </c>
      <c r="Z171" t="str">
        <f t="shared" si="36"/>
        <v>No</v>
      </c>
      <c r="AA171" t="str">
        <f t="shared" si="33"/>
        <v>No</v>
      </c>
      <c r="AB171" t="str">
        <f t="shared" si="34"/>
        <v>No</v>
      </c>
      <c r="AC171" s="12">
        <v>72</v>
      </c>
      <c r="AD171" s="12">
        <f t="shared" si="35"/>
        <v>72</v>
      </c>
    </row>
    <row r="172" spans="1:30" x14ac:dyDescent="0.3">
      <c r="A172" t="s">
        <v>436</v>
      </c>
      <c r="B172" t="s">
        <v>437</v>
      </c>
      <c r="C172" t="s">
        <v>2310</v>
      </c>
      <c r="D172" t="s">
        <v>2370</v>
      </c>
      <c r="E172" t="str">
        <f t="shared" si="25"/>
        <v>Debra Salazar</v>
      </c>
      <c r="F172" t="str">
        <f t="shared" si="26"/>
        <v>Debra Salazar</v>
      </c>
      <c r="H172" t="s">
        <v>86</v>
      </c>
      <c r="I172" t="str">
        <f t="shared" si="27"/>
        <v>Female</v>
      </c>
      <c r="K172">
        <f t="shared" si="28"/>
        <v>40</v>
      </c>
      <c r="L172" t="str">
        <f t="shared" si="29"/>
        <v>Second level</v>
      </c>
      <c r="M172" t="s">
        <v>47</v>
      </c>
      <c r="N172" t="s">
        <v>48</v>
      </c>
      <c r="O172" t="s">
        <v>17</v>
      </c>
      <c r="Q172">
        <f t="shared" si="30"/>
        <v>9</v>
      </c>
      <c r="R172" t="s">
        <v>76</v>
      </c>
      <c r="S172" s="8" t="s">
        <v>76</v>
      </c>
      <c r="T172" s="9">
        <v>40</v>
      </c>
      <c r="U172" s="9">
        <f t="shared" si="31"/>
        <v>40</v>
      </c>
      <c r="V172" s="10">
        <v>40</v>
      </c>
      <c r="W172">
        <v>2.8</v>
      </c>
      <c r="X172" s="11">
        <f t="shared" si="32"/>
        <v>2.8</v>
      </c>
      <c r="Y172" t="s">
        <v>2102</v>
      </c>
      <c r="Z172" t="str">
        <f t="shared" si="36"/>
        <v>No</v>
      </c>
      <c r="AA172" t="str">
        <f t="shared" si="33"/>
        <v>No</v>
      </c>
      <c r="AB172" t="str">
        <f t="shared" si="34"/>
        <v>No</v>
      </c>
      <c r="AC172" s="12">
        <v>80</v>
      </c>
      <c r="AD172" s="12">
        <f t="shared" si="35"/>
        <v>80</v>
      </c>
    </row>
    <row r="173" spans="1:30" x14ac:dyDescent="0.3">
      <c r="A173" t="s">
        <v>438</v>
      </c>
      <c r="B173" t="s">
        <v>439</v>
      </c>
      <c r="C173" t="s">
        <v>2371</v>
      </c>
      <c r="D173" t="s">
        <v>2161</v>
      </c>
      <c r="E173" t="str">
        <f t="shared" si="25"/>
        <v>William Smith</v>
      </c>
      <c r="F173" t="str">
        <f t="shared" si="26"/>
        <v>William Smith</v>
      </c>
      <c r="H173" t="s">
        <v>107</v>
      </c>
      <c r="I173" t="str">
        <f t="shared" si="27"/>
        <v>Male</v>
      </c>
      <c r="J173">
        <v>34</v>
      </c>
      <c r="K173">
        <f t="shared" si="28"/>
        <v>34</v>
      </c>
      <c r="L173" t="str">
        <f t="shared" si="29"/>
        <v>Second level</v>
      </c>
      <c r="M173" t="s">
        <v>95</v>
      </c>
      <c r="N173" t="s">
        <v>96</v>
      </c>
      <c r="O173" t="s">
        <v>82</v>
      </c>
      <c r="P173">
        <v>0</v>
      </c>
      <c r="Q173">
        <f t="shared" si="30"/>
        <v>0</v>
      </c>
      <c r="R173" t="s">
        <v>151</v>
      </c>
      <c r="S173" s="8" t="s">
        <v>151</v>
      </c>
      <c r="T173" s="9">
        <v>20</v>
      </c>
      <c r="U173" s="9">
        <f t="shared" si="31"/>
        <v>20</v>
      </c>
      <c r="V173" s="10">
        <v>20</v>
      </c>
      <c r="W173">
        <v>1.7</v>
      </c>
      <c r="X173" s="11">
        <f t="shared" si="32"/>
        <v>1.7</v>
      </c>
      <c r="Y173" t="s">
        <v>2102</v>
      </c>
      <c r="Z173" t="str">
        <f t="shared" si="36"/>
        <v>No</v>
      </c>
      <c r="AA173" t="str">
        <f t="shared" si="33"/>
        <v>No</v>
      </c>
      <c r="AB173" t="str">
        <f t="shared" si="34"/>
        <v>No</v>
      </c>
      <c r="AC173" s="12">
        <v>66</v>
      </c>
      <c r="AD173" s="12">
        <f t="shared" si="35"/>
        <v>66</v>
      </c>
    </row>
    <row r="174" spans="1:30" x14ac:dyDescent="0.3">
      <c r="A174" t="s">
        <v>440</v>
      </c>
      <c r="B174" t="s">
        <v>441</v>
      </c>
      <c r="C174" t="s">
        <v>2372</v>
      </c>
      <c r="D174" t="s">
        <v>2373</v>
      </c>
      <c r="E174" t="str">
        <f t="shared" si="25"/>
        <v>Caroline Gross</v>
      </c>
      <c r="F174" t="str">
        <f t="shared" si="26"/>
        <v>Caroline Gross</v>
      </c>
      <c r="H174" t="s">
        <v>86</v>
      </c>
      <c r="I174" t="str">
        <f t="shared" si="27"/>
        <v>Female</v>
      </c>
      <c r="J174">
        <v>42</v>
      </c>
      <c r="K174">
        <f t="shared" si="28"/>
        <v>42</v>
      </c>
      <c r="L174" t="str">
        <f t="shared" si="29"/>
        <v>Third level</v>
      </c>
      <c r="M174" t="s">
        <v>47</v>
      </c>
      <c r="N174" t="s">
        <v>48</v>
      </c>
      <c r="O174" t="s">
        <v>33</v>
      </c>
      <c r="P174">
        <v>7</v>
      </c>
      <c r="Q174">
        <f t="shared" si="30"/>
        <v>7</v>
      </c>
      <c r="R174" t="s">
        <v>61</v>
      </c>
      <c r="S174" s="8" t="s">
        <v>2094</v>
      </c>
      <c r="T174" s="9">
        <v>40</v>
      </c>
      <c r="U174" s="9">
        <f t="shared" si="31"/>
        <v>40</v>
      </c>
      <c r="V174" s="10">
        <v>40</v>
      </c>
      <c r="W174">
        <v>0</v>
      </c>
      <c r="X174" s="11">
        <f t="shared" si="32"/>
        <v>0</v>
      </c>
      <c r="Y174" t="s">
        <v>2103</v>
      </c>
      <c r="Z174" t="str">
        <f t="shared" si="36"/>
        <v>Yes</v>
      </c>
      <c r="AA174" t="str">
        <f t="shared" si="33"/>
        <v>Yes</v>
      </c>
      <c r="AB174" t="str">
        <f t="shared" si="34"/>
        <v>Yes</v>
      </c>
      <c r="AC174" s="12"/>
      <c r="AD174" s="12">
        <f t="shared" si="35"/>
        <v>79.606104651162795</v>
      </c>
    </row>
    <row r="175" spans="1:30" x14ac:dyDescent="0.3">
      <c r="A175" t="s">
        <v>442</v>
      </c>
      <c r="B175" t="s">
        <v>443</v>
      </c>
      <c r="C175" t="s">
        <v>2239</v>
      </c>
      <c r="D175" t="s">
        <v>2374</v>
      </c>
      <c r="E175" t="str">
        <f t="shared" si="25"/>
        <v>Jeremy Sawyer</v>
      </c>
      <c r="F175" t="str">
        <f t="shared" si="26"/>
        <v>Jeremy Sawyer</v>
      </c>
      <c r="H175" t="s">
        <v>107</v>
      </c>
      <c r="I175" t="str">
        <f t="shared" si="27"/>
        <v>Male</v>
      </c>
      <c r="J175">
        <v>31</v>
      </c>
      <c r="K175">
        <f t="shared" si="28"/>
        <v>31</v>
      </c>
      <c r="L175" t="str">
        <f t="shared" si="29"/>
        <v>Second level</v>
      </c>
      <c r="M175" t="s">
        <v>75</v>
      </c>
      <c r="N175" t="s">
        <v>24</v>
      </c>
      <c r="O175" t="s">
        <v>57</v>
      </c>
      <c r="P175">
        <v>4</v>
      </c>
      <c r="Q175">
        <f t="shared" si="30"/>
        <v>4</v>
      </c>
      <c r="R175" t="s">
        <v>58</v>
      </c>
      <c r="S175" s="8" t="s">
        <v>2093</v>
      </c>
      <c r="T175" s="9">
        <v>75</v>
      </c>
      <c r="U175" s="9">
        <f t="shared" si="31"/>
        <v>75</v>
      </c>
      <c r="V175" s="10">
        <v>75</v>
      </c>
      <c r="W175">
        <v>1.1000000000000001</v>
      </c>
      <c r="X175" s="11">
        <f t="shared" si="32"/>
        <v>1.1000000000000001</v>
      </c>
      <c r="Y175" t="s">
        <v>2103</v>
      </c>
      <c r="Z175" t="str">
        <f t="shared" si="36"/>
        <v>Yes</v>
      </c>
      <c r="AA175" t="str">
        <f t="shared" si="33"/>
        <v>Yes</v>
      </c>
      <c r="AB175" t="str">
        <f t="shared" si="34"/>
        <v>Yes</v>
      </c>
      <c r="AC175" s="12">
        <v>64</v>
      </c>
      <c r="AD175" s="12">
        <f t="shared" si="35"/>
        <v>64</v>
      </c>
    </row>
    <row r="176" spans="1:30" x14ac:dyDescent="0.3">
      <c r="A176" t="s">
        <v>444</v>
      </c>
      <c r="B176" t="s">
        <v>445</v>
      </c>
      <c r="C176" t="s">
        <v>2333</v>
      </c>
      <c r="D176" t="s">
        <v>2139</v>
      </c>
      <c r="E176" t="str">
        <f t="shared" si="25"/>
        <v>Eduardo Burns</v>
      </c>
      <c r="F176" t="str">
        <f t="shared" si="26"/>
        <v>Eduardo Burns</v>
      </c>
      <c r="H176" t="s">
        <v>30</v>
      </c>
      <c r="I176" t="str">
        <f t="shared" si="27"/>
        <v>Male</v>
      </c>
      <c r="J176">
        <v>29</v>
      </c>
      <c r="K176">
        <f t="shared" si="28"/>
        <v>29</v>
      </c>
      <c r="L176" t="str">
        <f t="shared" si="29"/>
        <v>First level</v>
      </c>
      <c r="M176" t="s">
        <v>117</v>
      </c>
      <c r="N176" t="s">
        <v>118</v>
      </c>
      <c r="O176" t="s">
        <v>82</v>
      </c>
      <c r="P176">
        <v>9</v>
      </c>
      <c r="Q176">
        <f t="shared" si="30"/>
        <v>9</v>
      </c>
      <c r="R176" t="s">
        <v>151</v>
      </c>
      <c r="S176" s="8" t="s">
        <v>151</v>
      </c>
      <c r="T176" s="9">
        <v>20</v>
      </c>
      <c r="U176" s="9">
        <f t="shared" si="31"/>
        <v>20</v>
      </c>
      <c r="V176" s="10">
        <v>20</v>
      </c>
      <c r="X176" s="11">
        <f t="shared" si="32"/>
        <v>2.5522972972972959</v>
      </c>
      <c r="Y176" t="s">
        <v>65</v>
      </c>
      <c r="AA176" t="str">
        <f t="shared" si="33"/>
        <v>Unknown</v>
      </c>
      <c r="AB176" t="str">
        <f t="shared" si="34"/>
        <v>Unknown</v>
      </c>
      <c r="AC176" s="12">
        <v>68</v>
      </c>
      <c r="AD176" s="12">
        <f t="shared" si="35"/>
        <v>68</v>
      </c>
    </row>
    <row r="177" spans="1:30" x14ac:dyDescent="0.3">
      <c r="A177" t="s">
        <v>446</v>
      </c>
      <c r="B177" t="s">
        <v>447</v>
      </c>
      <c r="C177" t="s">
        <v>2112</v>
      </c>
      <c r="D177" t="s">
        <v>2159</v>
      </c>
      <c r="E177" t="str">
        <f t="shared" si="25"/>
        <v>Amanda Jones</v>
      </c>
      <c r="F177" t="str">
        <f t="shared" si="26"/>
        <v>Amanda Jones</v>
      </c>
      <c r="H177" t="s">
        <v>43</v>
      </c>
      <c r="I177" t="str">
        <f t="shared" si="27"/>
        <v>Female</v>
      </c>
      <c r="J177">
        <v>57</v>
      </c>
      <c r="K177">
        <f t="shared" si="28"/>
        <v>57</v>
      </c>
      <c r="L177" t="str">
        <f t="shared" si="29"/>
        <v>Fourth level</v>
      </c>
      <c r="M177" t="s">
        <v>23</v>
      </c>
      <c r="N177" t="s">
        <v>24</v>
      </c>
      <c r="O177" t="s">
        <v>33</v>
      </c>
      <c r="P177">
        <v>17</v>
      </c>
      <c r="Q177">
        <f t="shared" si="30"/>
        <v>17</v>
      </c>
      <c r="R177" t="s">
        <v>151</v>
      </c>
      <c r="S177" s="8" t="s">
        <v>151</v>
      </c>
      <c r="T177" s="9">
        <v>20</v>
      </c>
      <c r="U177" s="9">
        <f t="shared" si="31"/>
        <v>20</v>
      </c>
      <c r="V177" s="10">
        <v>20</v>
      </c>
      <c r="W177">
        <v>3.6</v>
      </c>
      <c r="X177" s="11">
        <f t="shared" si="32"/>
        <v>3.6</v>
      </c>
      <c r="Y177" t="s">
        <v>2102</v>
      </c>
      <c r="Z177" t="str">
        <f t="shared" si="36"/>
        <v>No</v>
      </c>
      <c r="AA177" t="str">
        <f t="shared" si="33"/>
        <v>No</v>
      </c>
      <c r="AB177" t="str">
        <f t="shared" si="34"/>
        <v>No</v>
      </c>
      <c r="AC177" s="12">
        <v>63</v>
      </c>
      <c r="AD177" s="12">
        <f t="shared" si="35"/>
        <v>63</v>
      </c>
    </row>
    <row r="178" spans="1:30" x14ac:dyDescent="0.3">
      <c r="A178" t="s">
        <v>448</v>
      </c>
      <c r="B178" t="s">
        <v>449</v>
      </c>
      <c r="C178" t="s">
        <v>2375</v>
      </c>
      <c r="D178" t="s">
        <v>2376</v>
      </c>
      <c r="E178" t="str">
        <f t="shared" si="25"/>
        <v>Frederick Ware</v>
      </c>
      <c r="F178" t="str">
        <f t="shared" si="26"/>
        <v>Frederick Ware</v>
      </c>
      <c r="H178" t="s">
        <v>69</v>
      </c>
      <c r="I178" t="str">
        <f t="shared" si="27"/>
        <v>Male</v>
      </c>
      <c r="J178">
        <v>47</v>
      </c>
      <c r="K178">
        <f t="shared" si="28"/>
        <v>47</v>
      </c>
      <c r="L178" t="str">
        <f t="shared" si="29"/>
        <v>Third level</v>
      </c>
      <c r="M178" t="s">
        <v>103</v>
      </c>
      <c r="N178" t="s">
        <v>104</v>
      </c>
      <c r="O178" t="s">
        <v>99</v>
      </c>
      <c r="P178">
        <v>8</v>
      </c>
      <c r="Q178">
        <f t="shared" si="30"/>
        <v>8</v>
      </c>
      <c r="R178" t="s">
        <v>151</v>
      </c>
      <c r="S178" s="8" t="s">
        <v>151</v>
      </c>
      <c r="T178" s="9">
        <v>20</v>
      </c>
      <c r="U178" s="9">
        <f t="shared" si="31"/>
        <v>20</v>
      </c>
      <c r="V178" s="10">
        <v>20</v>
      </c>
      <c r="W178">
        <v>4.5</v>
      </c>
      <c r="X178" s="11">
        <f t="shared" si="32"/>
        <v>4.5</v>
      </c>
      <c r="Y178" t="s">
        <v>2103</v>
      </c>
      <c r="Z178" t="str">
        <f t="shared" si="36"/>
        <v>Yes</v>
      </c>
      <c r="AA178" t="str">
        <f t="shared" si="33"/>
        <v>Yes</v>
      </c>
      <c r="AB178" t="str">
        <f t="shared" si="34"/>
        <v>Yes</v>
      </c>
      <c r="AC178" s="12">
        <v>72</v>
      </c>
      <c r="AD178" s="12">
        <f t="shared" si="35"/>
        <v>72</v>
      </c>
    </row>
    <row r="179" spans="1:30" x14ac:dyDescent="0.3">
      <c r="A179" t="s">
        <v>450</v>
      </c>
      <c r="B179" t="s">
        <v>451</v>
      </c>
      <c r="C179" t="s">
        <v>2166</v>
      </c>
      <c r="D179" t="s">
        <v>2377</v>
      </c>
      <c r="E179" t="str">
        <f t="shared" si="25"/>
        <v>Michael Black</v>
      </c>
      <c r="F179" t="str">
        <f t="shared" si="26"/>
        <v>Michael Black</v>
      </c>
      <c r="H179" t="s">
        <v>69</v>
      </c>
      <c r="I179" t="str">
        <f t="shared" si="27"/>
        <v>Male</v>
      </c>
      <c r="J179">
        <v>47</v>
      </c>
      <c r="K179">
        <f t="shared" si="28"/>
        <v>47</v>
      </c>
      <c r="L179" t="str">
        <f t="shared" si="29"/>
        <v>Third level</v>
      </c>
      <c r="M179" t="s">
        <v>164</v>
      </c>
      <c r="N179" t="s">
        <v>165</v>
      </c>
      <c r="O179" t="s">
        <v>49</v>
      </c>
      <c r="P179">
        <v>14</v>
      </c>
      <c r="Q179">
        <f t="shared" si="30"/>
        <v>14</v>
      </c>
      <c r="R179" t="s">
        <v>50</v>
      </c>
      <c r="S179" s="8" t="s">
        <v>50</v>
      </c>
      <c r="T179" s="9">
        <v>30</v>
      </c>
      <c r="U179" s="9">
        <f t="shared" si="31"/>
        <v>30</v>
      </c>
      <c r="V179" s="10">
        <v>30</v>
      </c>
      <c r="W179">
        <v>0</v>
      </c>
      <c r="X179" s="11">
        <f t="shared" si="32"/>
        <v>0</v>
      </c>
      <c r="Y179" t="s">
        <v>2103</v>
      </c>
      <c r="Z179" t="str">
        <f t="shared" si="36"/>
        <v>Yes</v>
      </c>
      <c r="AA179" t="str">
        <f t="shared" si="33"/>
        <v>Yes</v>
      </c>
      <c r="AB179" t="str">
        <f t="shared" si="34"/>
        <v>Yes</v>
      </c>
      <c r="AC179" s="12">
        <v>86</v>
      </c>
      <c r="AD179" s="12">
        <f t="shared" si="35"/>
        <v>86</v>
      </c>
    </row>
    <row r="180" spans="1:30" x14ac:dyDescent="0.3">
      <c r="A180" t="s">
        <v>452</v>
      </c>
      <c r="B180" t="s">
        <v>453</v>
      </c>
      <c r="C180" t="s">
        <v>2357</v>
      </c>
      <c r="D180" t="s">
        <v>2378</v>
      </c>
      <c r="E180" t="str">
        <f t="shared" si="25"/>
        <v>Patricia Sanders</v>
      </c>
      <c r="F180" t="str">
        <f t="shared" si="26"/>
        <v>Patricia Sanders</v>
      </c>
      <c r="H180" t="s">
        <v>22</v>
      </c>
      <c r="I180" t="str">
        <f t="shared" si="27"/>
        <v>Female</v>
      </c>
      <c r="J180">
        <v>45</v>
      </c>
      <c r="K180">
        <f t="shared" si="28"/>
        <v>45</v>
      </c>
      <c r="L180" t="str">
        <f t="shared" si="29"/>
        <v>Third level</v>
      </c>
      <c r="M180" t="s">
        <v>145</v>
      </c>
      <c r="N180" t="s">
        <v>146</v>
      </c>
      <c r="O180" t="s">
        <v>33</v>
      </c>
      <c r="P180">
        <v>21</v>
      </c>
      <c r="Q180">
        <f t="shared" si="30"/>
        <v>21</v>
      </c>
      <c r="R180" t="s">
        <v>119</v>
      </c>
      <c r="S180" s="8" t="s">
        <v>2096</v>
      </c>
      <c r="T180" s="9">
        <v>30</v>
      </c>
      <c r="U180" s="9">
        <f t="shared" si="31"/>
        <v>30</v>
      </c>
      <c r="V180" s="10">
        <v>30</v>
      </c>
      <c r="W180">
        <v>1.5</v>
      </c>
      <c r="X180" s="11">
        <f t="shared" si="32"/>
        <v>1.5</v>
      </c>
      <c r="Y180" t="s">
        <v>2103</v>
      </c>
      <c r="Z180" t="str">
        <f t="shared" si="36"/>
        <v>Yes</v>
      </c>
      <c r="AA180" t="str">
        <f t="shared" si="33"/>
        <v>Yes</v>
      </c>
      <c r="AB180" t="str">
        <f t="shared" si="34"/>
        <v>Yes</v>
      </c>
      <c r="AC180" s="12">
        <v>73</v>
      </c>
      <c r="AD180" s="12">
        <f t="shared" si="35"/>
        <v>73</v>
      </c>
    </row>
    <row r="181" spans="1:30" x14ac:dyDescent="0.3">
      <c r="A181" t="s">
        <v>454</v>
      </c>
      <c r="B181" t="s">
        <v>455</v>
      </c>
      <c r="C181" t="s">
        <v>2379</v>
      </c>
      <c r="D181" t="s">
        <v>2380</v>
      </c>
      <c r="E181" t="str">
        <f t="shared" si="25"/>
        <v>Marc Joseph</v>
      </c>
      <c r="F181" t="str">
        <f t="shared" si="26"/>
        <v>Marc Joseph</v>
      </c>
      <c r="H181" t="s">
        <v>107</v>
      </c>
      <c r="I181" t="str">
        <f t="shared" si="27"/>
        <v>Male</v>
      </c>
      <c r="J181">
        <v>24</v>
      </c>
      <c r="K181">
        <f t="shared" si="28"/>
        <v>24</v>
      </c>
      <c r="L181" t="str">
        <f t="shared" si="29"/>
        <v>First level</v>
      </c>
      <c r="M181" t="s">
        <v>70</v>
      </c>
      <c r="N181" t="s">
        <v>71</v>
      </c>
      <c r="O181" t="s">
        <v>124</v>
      </c>
      <c r="P181">
        <v>1</v>
      </c>
      <c r="Q181">
        <f t="shared" si="30"/>
        <v>1</v>
      </c>
      <c r="R181" t="s">
        <v>50</v>
      </c>
      <c r="S181" s="8" t="s">
        <v>50</v>
      </c>
      <c r="T181" s="9">
        <v>30</v>
      </c>
      <c r="U181" s="9">
        <f t="shared" si="31"/>
        <v>30</v>
      </c>
      <c r="V181" s="10">
        <v>30</v>
      </c>
      <c r="W181">
        <v>3.7</v>
      </c>
      <c r="X181" s="11">
        <f t="shared" si="32"/>
        <v>3.7</v>
      </c>
      <c r="Y181" t="s">
        <v>170</v>
      </c>
      <c r="Z181" t="str">
        <f t="shared" si="36"/>
        <v>no</v>
      </c>
      <c r="AA181" t="str">
        <f t="shared" si="33"/>
        <v>no</v>
      </c>
      <c r="AB181" t="str">
        <f t="shared" si="34"/>
        <v>No</v>
      </c>
      <c r="AC181" s="12">
        <v>95</v>
      </c>
      <c r="AD181" s="12">
        <f t="shared" si="35"/>
        <v>95</v>
      </c>
    </row>
    <row r="182" spans="1:30" x14ac:dyDescent="0.3">
      <c r="A182" t="s">
        <v>456</v>
      </c>
      <c r="B182" t="s">
        <v>457</v>
      </c>
      <c r="C182" t="s">
        <v>2108</v>
      </c>
      <c r="D182" t="s">
        <v>2176</v>
      </c>
      <c r="E182" t="str">
        <f t="shared" si="25"/>
        <v>Vanessa White</v>
      </c>
      <c r="F182" t="str">
        <f t="shared" si="26"/>
        <v>Vanessa White</v>
      </c>
      <c r="H182" t="s">
        <v>22</v>
      </c>
      <c r="I182" t="str">
        <f t="shared" si="27"/>
        <v>Female</v>
      </c>
      <c r="J182">
        <v>31</v>
      </c>
      <c r="K182">
        <f t="shared" si="28"/>
        <v>31</v>
      </c>
      <c r="L182" t="str">
        <f t="shared" si="29"/>
        <v>Second level</v>
      </c>
      <c r="M182" t="s">
        <v>80</v>
      </c>
      <c r="N182" t="s">
        <v>81</v>
      </c>
      <c r="O182" t="s">
        <v>25</v>
      </c>
      <c r="P182">
        <v>12</v>
      </c>
      <c r="Q182">
        <f t="shared" si="30"/>
        <v>12</v>
      </c>
      <c r="R182" t="s">
        <v>151</v>
      </c>
      <c r="S182" s="8" t="s">
        <v>151</v>
      </c>
      <c r="T182" s="9">
        <v>20</v>
      </c>
      <c r="U182" s="9">
        <f t="shared" si="31"/>
        <v>20</v>
      </c>
      <c r="V182" s="10">
        <v>20</v>
      </c>
      <c r="W182">
        <v>2.2999999999999998</v>
      </c>
      <c r="X182" s="11">
        <f t="shared" si="32"/>
        <v>2.2999999999999998</v>
      </c>
      <c r="Y182" t="s">
        <v>2102</v>
      </c>
      <c r="Z182" t="str">
        <f t="shared" si="36"/>
        <v>No</v>
      </c>
      <c r="AA182" t="str">
        <f t="shared" si="33"/>
        <v>No</v>
      </c>
      <c r="AB182" t="str">
        <f t="shared" si="34"/>
        <v>No</v>
      </c>
      <c r="AC182" s="12">
        <v>90</v>
      </c>
      <c r="AD182" s="12">
        <f t="shared" si="35"/>
        <v>90</v>
      </c>
    </row>
    <row r="183" spans="1:30" x14ac:dyDescent="0.3">
      <c r="A183" t="s">
        <v>458</v>
      </c>
      <c r="B183" t="s">
        <v>459</v>
      </c>
      <c r="C183" t="s">
        <v>2151</v>
      </c>
      <c r="D183" t="s">
        <v>2109</v>
      </c>
      <c r="E183" t="str">
        <f t="shared" si="25"/>
        <v>Jennifer Garcia</v>
      </c>
      <c r="F183" t="str">
        <f t="shared" si="26"/>
        <v>Jennifer Garcia</v>
      </c>
      <c r="H183" t="s">
        <v>86</v>
      </c>
      <c r="I183" t="str">
        <f t="shared" si="27"/>
        <v>Female</v>
      </c>
      <c r="J183">
        <v>20</v>
      </c>
      <c r="K183">
        <f t="shared" si="28"/>
        <v>20</v>
      </c>
      <c r="L183" t="str">
        <f t="shared" si="29"/>
        <v>First level</v>
      </c>
      <c r="M183" t="s">
        <v>190</v>
      </c>
      <c r="N183" t="s">
        <v>81</v>
      </c>
      <c r="O183" t="s">
        <v>33</v>
      </c>
      <c r="P183">
        <v>2</v>
      </c>
      <c r="Q183">
        <f t="shared" si="30"/>
        <v>2</v>
      </c>
      <c r="R183" t="s">
        <v>131</v>
      </c>
      <c r="S183" s="8" t="s">
        <v>131</v>
      </c>
      <c r="T183" s="9">
        <v>20</v>
      </c>
      <c r="U183" s="9">
        <f t="shared" si="31"/>
        <v>20</v>
      </c>
      <c r="V183" s="10">
        <v>20</v>
      </c>
      <c r="W183">
        <v>2.8</v>
      </c>
      <c r="X183" s="11">
        <f t="shared" si="32"/>
        <v>2.8</v>
      </c>
      <c r="Y183" t="s">
        <v>2102</v>
      </c>
      <c r="Z183" t="str">
        <f t="shared" si="36"/>
        <v>No</v>
      </c>
      <c r="AA183" t="str">
        <f t="shared" si="33"/>
        <v>No</v>
      </c>
      <c r="AB183" t="str">
        <f t="shared" si="34"/>
        <v>No</v>
      </c>
      <c r="AC183" s="12">
        <v>78</v>
      </c>
      <c r="AD183" s="12">
        <f t="shared" si="35"/>
        <v>78</v>
      </c>
    </row>
    <row r="184" spans="1:30" x14ac:dyDescent="0.3">
      <c r="A184" t="s">
        <v>460</v>
      </c>
      <c r="B184" t="s">
        <v>461</v>
      </c>
      <c r="C184" t="s">
        <v>2166</v>
      </c>
      <c r="D184" t="s">
        <v>2381</v>
      </c>
      <c r="E184" t="str">
        <f t="shared" si="25"/>
        <v>Michael Zavala</v>
      </c>
      <c r="F184" t="str">
        <f t="shared" si="26"/>
        <v>Michael Zavala</v>
      </c>
      <c r="H184" t="s">
        <v>69</v>
      </c>
      <c r="I184" t="str">
        <f t="shared" si="27"/>
        <v>Male</v>
      </c>
      <c r="J184">
        <v>38</v>
      </c>
      <c r="K184">
        <f t="shared" si="28"/>
        <v>38</v>
      </c>
      <c r="L184" t="str">
        <f t="shared" si="29"/>
        <v>Second level</v>
      </c>
      <c r="M184" t="s">
        <v>95</v>
      </c>
      <c r="N184" t="s">
        <v>96</v>
      </c>
      <c r="O184" t="s">
        <v>39</v>
      </c>
      <c r="P184">
        <v>3</v>
      </c>
      <c r="Q184">
        <f t="shared" si="30"/>
        <v>3</v>
      </c>
      <c r="R184" t="s">
        <v>44</v>
      </c>
      <c r="S184" s="8" t="s">
        <v>44</v>
      </c>
      <c r="T184" s="9">
        <v>30</v>
      </c>
      <c r="U184" s="9">
        <f t="shared" si="31"/>
        <v>30</v>
      </c>
      <c r="V184" s="10">
        <v>30</v>
      </c>
      <c r="W184">
        <v>3.5</v>
      </c>
      <c r="X184" s="11">
        <f t="shared" si="32"/>
        <v>3.5</v>
      </c>
      <c r="Y184" t="s">
        <v>170</v>
      </c>
      <c r="Z184" t="str">
        <f t="shared" si="36"/>
        <v>no</v>
      </c>
      <c r="AA184" t="str">
        <f t="shared" si="33"/>
        <v>no</v>
      </c>
      <c r="AB184" t="str">
        <f t="shared" si="34"/>
        <v>No</v>
      </c>
      <c r="AC184" s="12">
        <v>97</v>
      </c>
      <c r="AD184" s="12">
        <f t="shared" si="35"/>
        <v>97</v>
      </c>
    </row>
    <row r="185" spans="1:30" x14ac:dyDescent="0.3">
      <c r="A185" t="s">
        <v>462</v>
      </c>
      <c r="B185" t="s">
        <v>463</v>
      </c>
      <c r="C185" t="s">
        <v>2281</v>
      </c>
      <c r="D185" t="s">
        <v>2181</v>
      </c>
      <c r="E185" t="str">
        <f t="shared" si="25"/>
        <v>Kimberly Williams</v>
      </c>
      <c r="F185" t="str">
        <f t="shared" si="26"/>
        <v>Kimberly Williams</v>
      </c>
      <c r="H185" t="s">
        <v>43</v>
      </c>
      <c r="I185" t="str">
        <f t="shared" si="27"/>
        <v>Female</v>
      </c>
      <c r="J185">
        <v>33</v>
      </c>
      <c r="K185">
        <f t="shared" si="28"/>
        <v>33</v>
      </c>
      <c r="L185" t="str">
        <f t="shared" si="29"/>
        <v>Second level</v>
      </c>
      <c r="M185" t="s">
        <v>31</v>
      </c>
      <c r="N185" t="s">
        <v>32</v>
      </c>
      <c r="O185" t="s">
        <v>82</v>
      </c>
      <c r="P185">
        <v>11</v>
      </c>
      <c r="Q185">
        <f t="shared" si="30"/>
        <v>11</v>
      </c>
      <c r="R185" t="s">
        <v>65</v>
      </c>
      <c r="S185" s="8" t="s">
        <v>65</v>
      </c>
      <c r="T185" s="9"/>
      <c r="U185" s="9">
        <f t="shared" si="31"/>
        <v>52.890835579514828</v>
      </c>
      <c r="V185" s="10">
        <v>52.890835579514828</v>
      </c>
      <c r="W185">
        <v>0</v>
      </c>
      <c r="X185" s="11">
        <f t="shared" si="32"/>
        <v>0</v>
      </c>
      <c r="Y185" t="s">
        <v>77</v>
      </c>
      <c r="Z185" t="str">
        <f t="shared" si="36"/>
        <v>yes</v>
      </c>
      <c r="AA185" t="str">
        <f t="shared" si="33"/>
        <v>yes</v>
      </c>
      <c r="AB185" t="str">
        <f t="shared" si="34"/>
        <v>Yes</v>
      </c>
      <c r="AC185" s="12">
        <v>65</v>
      </c>
      <c r="AD185" s="12">
        <f t="shared" si="35"/>
        <v>65</v>
      </c>
    </row>
    <row r="186" spans="1:30" x14ac:dyDescent="0.3">
      <c r="A186" t="s">
        <v>464</v>
      </c>
      <c r="B186" t="s">
        <v>465</v>
      </c>
      <c r="C186" t="s">
        <v>2287</v>
      </c>
      <c r="D186" t="s">
        <v>2255</v>
      </c>
      <c r="E186" t="str">
        <f t="shared" si="25"/>
        <v>Elizabeth Jenkins</v>
      </c>
      <c r="F186" t="str">
        <f t="shared" si="26"/>
        <v>Elizabeth Jenkins</v>
      </c>
      <c r="H186" t="s">
        <v>86</v>
      </c>
      <c r="I186" t="str">
        <f t="shared" si="27"/>
        <v>Female</v>
      </c>
      <c r="J186">
        <v>31</v>
      </c>
      <c r="K186">
        <f t="shared" si="28"/>
        <v>31</v>
      </c>
      <c r="L186" t="str">
        <f t="shared" si="29"/>
        <v>Second level</v>
      </c>
      <c r="M186" t="s">
        <v>23</v>
      </c>
      <c r="N186" t="s">
        <v>24</v>
      </c>
      <c r="O186" t="s">
        <v>39</v>
      </c>
      <c r="P186">
        <v>4</v>
      </c>
      <c r="Q186">
        <f t="shared" si="30"/>
        <v>4</v>
      </c>
      <c r="R186" t="s">
        <v>76</v>
      </c>
      <c r="S186" s="8" t="s">
        <v>76</v>
      </c>
      <c r="T186" s="9">
        <v>40</v>
      </c>
      <c r="U186" s="9">
        <f t="shared" si="31"/>
        <v>40</v>
      </c>
      <c r="V186" s="10">
        <v>40</v>
      </c>
      <c r="W186">
        <v>3.2</v>
      </c>
      <c r="X186" s="11">
        <f t="shared" si="32"/>
        <v>3.2</v>
      </c>
      <c r="Y186" t="s">
        <v>2103</v>
      </c>
      <c r="Z186" t="str">
        <f t="shared" si="36"/>
        <v>Yes</v>
      </c>
      <c r="AA186" t="str">
        <f t="shared" si="33"/>
        <v>Yes</v>
      </c>
      <c r="AB186" t="str">
        <f t="shared" si="34"/>
        <v>Yes</v>
      </c>
      <c r="AC186" s="12">
        <v>78</v>
      </c>
      <c r="AD186" s="12">
        <f t="shared" si="35"/>
        <v>78</v>
      </c>
    </row>
    <row r="187" spans="1:30" x14ac:dyDescent="0.3">
      <c r="A187" t="s">
        <v>466</v>
      </c>
      <c r="B187" t="s">
        <v>467</v>
      </c>
      <c r="C187" t="s">
        <v>2382</v>
      </c>
      <c r="D187" t="s">
        <v>2383</v>
      </c>
      <c r="E187" t="str">
        <f t="shared" si="25"/>
        <v>Brandon Ford</v>
      </c>
      <c r="F187" t="str">
        <f t="shared" si="26"/>
        <v>Brandon Ford</v>
      </c>
      <c r="H187" t="s">
        <v>107</v>
      </c>
      <c r="I187" t="str">
        <f t="shared" si="27"/>
        <v>Male</v>
      </c>
      <c r="J187">
        <v>41</v>
      </c>
      <c r="K187">
        <f t="shared" si="28"/>
        <v>41</v>
      </c>
      <c r="L187" t="str">
        <f t="shared" si="29"/>
        <v>Third level</v>
      </c>
      <c r="M187" t="s">
        <v>201</v>
      </c>
      <c r="N187" t="s">
        <v>81</v>
      </c>
      <c r="O187" t="s">
        <v>124</v>
      </c>
      <c r="P187">
        <v>21</v>
      </c>
      <c r="Q187">
        <f t="shared" si="30"/>
        <v>21</v>
      </c>
      <c r="R187" t="s">
        <v>34</v>
      </c>
      <c r="S187" s="8" t="s">
        <v>34</v>
      </c>
      <c r="T187" s="9">
        <v>50</v>
      </c>
      <c r="U187" s="9">
        <f t="shared" si="31"/>
        <v>50</v>
      </c>
      <c r="V187" s="10">
        <v>50</v>
      </c>
      <c r="W187">
        <v>3.3</v>
      </c>
      <c r="X187" s="11">
        <f t="shared" si="32"/>
        <v>3.3</v>
      </c>
      <c r="Y187" t="s">
        <v>2103</v>
      </c>
      <c r="Z187" t="str">
        <f t="shared" si="36"/>
        <v>Yes</v>
      </c>
      <c r="AA187" t="str">
        <f t="shared" si="33"/>
        <v>Yes</v>
      </c>
      <c r="AB187" t="str">
        <f t="shared" si="34"/>
        <v>Yes</v>
      </c>
      <c r="AC187" s="12">
        <v>65</v>
      </c>
      <c r="AD187" s="12">
        <f t="shared" si="35"/>
        <v>65</v>
      </c>
    </row>
    <row r="188" spans="1:30" x14ac:dyDescent="0.3">
      <c r="A188" t="s">
        <v>468</v>
      </c>
      <c r="B188" t="s">
        <v>469</v>
      </c>
      <c r="C188" t="s">
        <v>2384</v>
      </c>
      <c r="D188" t="s">
        <v>2385</v>
      </c>
      <c r="E188" t="str">
        <f t="shared" si="25"/>
        <v>Justin House</v>
      </c>
      <c r="F188" t="str">
        <f t="shared" si="26"/>
        <v>Justin House</v>
      </c>
      <c r="H188" t="s">
        <v>69</v>
      </c>
      <c r="I188" t="str">
        <f t="shared" si="27"/>
        <v>Male</v>
      </c>
      <c r="J188">
        <v>54</v>
      </c>
      <c r="K188">
        <f t="shared" si="28"/>
        <v>54</v>
      </c>
      <c r="L188" t="str">
        <f t="shared" si="29"/>
        <v>Fourth level</v>
      </c>
      <c r="M188" t="s">
        <v>70</v>
      </c>
      <c r="N188" t="s">
        <v>71</v>
      </c>
      <c r="O188" t="s">
        <v>39</v>
      </c>
      <c r="P188">
        <v>0</v>
      </c>
      <c r="Q188">
        <f t="shared" si="30"/>
        <v>0</v>
      </c>
      <c r="R188" t="s">
        <v>131</v>
      </c>
      <c r="S188" s="8" t="s">
        <v>131</v>
      </c>
      <c r="T188" s="9">
        <v>20</v>
      </c>
      <c r="U188" s="9">
        <f t="shared" si="31"/>
        <v>20</v>
      </c>
      <c r="V188" s="10">
        <v>20</v>
      </c>
      <c r="W188">
        <v>4.9000000000000004</v>
      </c>
      <c r="X188" s="11">
        <f t="shared" si="32"/>
        <v>4.9000000000000004</v>
      </c>
      <c r="Y188" t="s">
        <v>65</v>
      </c>
      <c r="AA188" t="str">
        <f t="shared" si="33"/>
        <v>Unknown</v>
      </c>
      <c r="AB188" t="str">
        <f t="shared" si="34"/>
        <v>Unknown</v>
      </c>
      <c r="AC188" s="12"/>
      <c r="AD188" s="12">
        <f t="shared" si="35"/>
        <v>79.666666666666671</v>
      </c>
    </row>
    <row r="189" spans="1:30" x14ac:dyDescent="0.3">
      <c r="A189" t="s">
        <v>470</v>
      </c>
      <c r="B189" t="s">
        <v>471</v>
      </c>
      <c r="C189" t="s">
        <v>2386</v>
      </c>
      <c r="D189" t="s">
        <v>2387</v>
      </c>
      <c r="E189" t="str">
        <f t="shared" si="25"/>
        <v>Henry Mullen</v>
      </c>
      <c r="F189" t="str">
        <f t="shared" si="26"/>
        <v>Henry Mullen</v>
      </c>
      <c r="H189" t="s">
        <v>30</v>
      </c>
      <c r="I189" t="str">
        <f t="shared" si="27"/>
        <v>Male</v>
      </c>
      <c r="J189">
        <v>50</v>
      </c>
      <c r="K189">
        <f t="shared" si="28"/>
        <v>50</v>
      </c>
      <c r="L189" t="str">
        <f t="shared" si="29"/>
        <v>Third level</v>
      </c>
      <c r="M189" t="s">
        <v>190</v>
      </c>
      <c r="N189" t="s">
        <v>81</v>
      </c>
      <c r="O189" t="s">
        <v>57</v>
      </c>
      <c r="P189">
        <v>6</v>
      </c>
      <c r="Q189">
        <f t="shared" si="30"/>
        <v>6</v>
      </c>
      <c r="R189" t="s">
        <v>44</v>
      </c>
      <c r="S189" s="8" t="s">
        <v>44</v>
      </c>
      <c r="T189" s="9">
        <v>30</v>
      </c>
      <c r="U189" s="9">
        <f t="shared" si="31"/>
        <v>30</v>
      </c>
      <c r="V189" s="10">
        <v>30</v>
      </c>
      <c r="W189">
        <v>2.2000000000000002</v>
      </c>
      <c r="X189" s="11">
        <f t="shared" si="32"/>
        <v>2.2000000000000002</v>
      </c>
      <c r="Y189" t="s">
        <v>2103</v>
      </c>
      <c r="Z189" t="str">
        <f t="shared" si="36"/>
        <v>Yes</v>
      </c>
      <c r="AA189" t="str">
        <f t="shared" si="33"/>
        <v>Yes</v>
      </c>
      <c r="AB189" t="str">
        <f t="shared" si="34"/>
        <v>Yes</v>
      </c>
      <c r="AC189" s="12">
        <v>95</v>
      </c>
      <c r="AD189" s="12">
        <f t="shared" si="35"/>
        <v>95</v>
      </c>
    </row>
    <row r="190" spans="1:30" x14ac:dyDescent="0.3">
      <c r="A190" t="s">
        <v>472</v>
      </c>
      <c r="B190" t="s">
        <v>473</v>
      </c>
      <c r="C190" t="s">
        <v>2302</v>
      </c>
      <c r="D190" t="s">
        <v>2388</v>
      </c>
      <c r="E190" t="str">
        <f t="shared" si="25"/>
        <v>Jesse Cochran</v>
      </c>
      <c r="F190" t="str">
        <f t="shared" si="26"/>
        <v>Jesse Cochran</v>
      </c>
      <c r="H190" t="s">
        <v>69</v>
      </c>
      <c r="I190" t="str">
        <f t="shared" si="27"/>
        <v>Male</v>
      </c>
      <c r="J190">
        <v>48</v>
      </c>
      <c r="K190">
        <f t="shared" si="28"/>
        <v>48</v>
      </c>
      <c r="L190" t="str">
        <f t="shared" si="29"/>
        <v>Third level</v>
      </c>
      <c r="M190" t="s">
        <v>117</v>
      </c>
      <c r="N190" t="s">
        <v>118</v>
      </c>
      <c r="O190" t="s">
        <v>124</v>
      </c>
      <c r="P190">
        <v>18</v>
      </c>
      <c r="Q190">
        <f t="shared" si="30"/>
        <v>18</v>
      </c>
      <c r="R190" t="s">
        <v>61</v>
      </c>
      <c r="S190" s="8" t="s">
        <v>2094</v>
      </c>
      <c r="T190" s="9">
        <v>40</v>
      </c>
      <c r="U190" s="9">
        <f t="shared" si="31"/>
        <v>40</v>
      </c>
      <c r="V190" s="10">
        <v>40</v>
      </c>
      <c r="X190" s="11">
        <f t="shared" si="32"/>
        <v>2.5491059147180173</v>
      </c>
      <c r="Y190" t="s">
        <v>2103</v>
      </c>
      <c r="Z190" t="str">
        <f t="shared" si="36"/>
        <v>Yes</v>
      </c>
      <c r="AA190" t="str">
        <f t="shared" si="33"/>
        <v>Yes</v>
      </c>
      <c r="AB190" t="str">
        <f t="shared" si="34"/>
        <v>Yes</v>
      </c>
      <c r="AC190" s="12">
        <v>88</v>
      </c>
      <c r="AD190" s="12">
        <f t="shared" si="35"/>
        <v>88</v>
      </c>
    </row>
    <row r="191" spans="1:30" x14ac:dyDescent="0.3">
      <c r="A191" t="s">
        <v>474</v>
      </c>
      <c r="B191" t="s">
        <v>475</v>
      </c>
      <c r="C191" t="s">
        <v>2389</v>
      </c>
      <c r="D191" t="s">
        <v>2390</v>
      </c>
      <c r="E191" t="str">
        <f t="shared" si="25"/>
        <v>Melissa Rich</v>
      </c>
      <c r="F191" t="str">
        <f t="shared" si="26"/>
        <v>Melissa Rich</v>
      </c>
      <c r="H191" t="s">
        <v>86</v>
      </c>
      <c r="I191" t="str">
        <f t="shared" si="27"/>
        <v>Female</v>
      </c>
      <c r="J191">
        <v>49</v>
      </c>
      <c r="K191">
        <f t="shared" si="28"/>
        <v>49</v>
      </c>
      <c r="L191" t="str">
        <f t="shared" si="29"/>
        <v>Third level</v>
      </c>
      <c r="M191" t="s">
        <v>190</v>
      </c>
      <c r="N191" t="s">
        <v>81</v>
      </c>
      <c r="O191" t="s">
        <v>33</v>
      </c>
      <c r="Q191">
        <f t="shared" si="30"/>
        <v>13</v>
      </c>
      <c r="R191" t="s">
        <v>65</v>
      </c>
      <c r="S191" s="8" t="s">
        <v>65</v>
      </c>
      <c r="T191" s="9"/>
      <c r="U191" s="9">
        <f t="shared" si="31"/>
        <v>53.01899592944369</v>
      </c>
      <c r="V191" s="10">
        <v>53.01899592944369</v>
      </c>
      <c r="W191">
        <v>1.8</v>
      </c>
      <c r="X191" s="11">
        <f t="shared" si="32"/>
        <v>1.8</v>
      </c>
      <c r="Y191" t="s">
        <v>2102</v>
      </c>
      <c r="Z191" t="str">
        <f t="shared" si="36"/>
        <v>No</v>
      </c>
      <c r="AA191" t="str">
        <f t="shared" si="33"/>
        <v>No</v>
      </c>
      <c r="AB191" t="str">
        <f t="shared" si="34"/>
        <v>No</v>
      </c>
      <c r="AC191" s="12"/>
      <c r="AD191" s="12">
        <f t="shared" si="35"/>
        <v>79.631500742942052</v>
      </c>
    </row>
    <row r="192" spans="1:30" x14ac:dyDescent="0.3">
      <c r="A192" t="s">
        <v>476</v>
      </c>
      <c r="B192" t="s">
        <v>477</v>
      </c>
      <c r="C192" t="s">
        <v>2346</v>
      </c>
      <c r="D192" t="s">
        <v>2391</v>
      </c>
      <c r="E192" t="str">
        <f t="shared" si="25"/>
        <v>Patrick Dunlap</v>
      </c>
      <c r="F192" t="str">
        <f t="shared" si="26"/>
        <v>Patrick Dunlap</v>
      </c>
      <c r="H192" t="s">
        <v>107</v>
      </c>
      <c r="I192" t="str">
        <f t="shared" si="27"/>
        <v>Male</v>
      </c>
      <c r="J192">
        <v>21</v>
      </c>
      <c r="K192">
        <f t="shared" si="28"/>
        <v>21</v>
      </c>
      <c r="L192" t="str">
        <f t="shared" si="29"/>
        <v>First level</v>
      </c>
      <c r="M192" t="s">
        <v>122</v>
      </c>
      <c r="N192" t="s">
        <v>123</v>
      </c>
      <c r="O192" t="s">
        <v>33</v>
      </c>
      <c r="P192">
        <v>1</v>
      </c>
      <c r="Q192">
        <f t="shared" si="30"/>
        <v>1</v>
      </c>
      <c r="R192" t="s">
        <v>92</v>
      </c>
      <c r="S192" s="8" t="s">
        <v>92</v>
      </c>
      <c r="T192" s="9">
        <v>75</v>
      </c>
      <c r="U192" s="9">
        <f t="shared" si="31"/>
        <v>75</v>
      </c>
      <c r="V192" s="10">
        <v>75</v>
      </c>
      <c r="W192">
        <v>4.5999999999999996</v>
      </c>
      <c r="X192" s="11">
        <f t="shared" si="32"/>
        <v>4.5999999999999996</v>
      </c>
      <c r="Y192" t="s">
        <v>2102</v>
      </c>
      <c r="Z192" t="str">
        <f t="shared" si="36"/>
        <v>No</v>
      </c>
      <c r="AA192" t="str">
        <f t="shared" si="33"/>
        <v>No</v>
      </c>
      <c r="AB192" t="str">
        <f t="shared" si="34"/>
        <v>No</v>
      </c>
      <c r="AC192" s="12">
        <v>92</v>
      </c>
      <c r="AD192" s="12">
        <f t="shared" si="35"/>
        <v>92</v>
      </c>
    </row>
    <row r="193" spans="1:30" x14ac:dyDescent="0.3">
      <c r="A193" t="s">
        <v>478</v>
      </c>
      <c r="B193" t="s">
        <v>479</v>
      </c>
      <c r="C193" t="s">
        <v>2392</v>
      </c>
      <c r="D193" t="s">
        <v>2393</v>
      </c>
      <c r="E193" t="str">
        <f t="shared" si="25"/>
        <v>Troy Carson</v>
      </c>
      <c r="F193" t="str">
        <f t="shared" si="26"/>
        <v>Troy Carson</v>
      </c>
      <c r="H193" t="s">
        <v>107</v>
      </c>
      <c r="I193" t="str">
        <f t="shared" si="27"/>
        <v>Male</v>
      </c>
      <c r="J193">
        <v>58</v>
      </c>
      <c r="K193">
        <f t="shared" si="28"/>
        <v>58</v>
      </c>
      <c r="L193" t="str">
        <f t="shared" si="29"/>
        <v>Fourth level</v>
      </c>
      <c r="M193" t="s">
        <v>23</v>
      </c>
      <c r="N193" t="s">
        <v>24</v>
      </c>
      <c r="O193" t="s">
        <v>33</v>
      </c>
      <c r="P193">
        <v>20</v>
      </c>
      <c r="Q193">
        <f t="shared" si="30"/>
        <v>20</v>
      </c>
      <c r="R193" t="s">
        <v>92</v>
      </c>
      <c r="S193" s="8" t="s">
        <v>92</v>
      </c>
      <c r="T193" s="9">
        <v>75</v>
      </c>
      <c r="U193" s="9">
        <f t="shared" si="31"/>
        <v>75</v>
      </c>
      <c r="V193" s="10">
        <v>75</v>
      </c>
      <c r="W193">
        <v>2.8</v>
      </c>
      <c r="X193" s="11">
        <f t="shared" si="32"/>
        <v>2.8</v>
      </c>
      <c r="Y193" t="s">
        <v>170</v>
      </c>
      <c r="Z193" t="str">
        <f t="shared" si="36"/>
        <v>no</v>
      </c>
      <c r="AA193" t="str">
        <f t="shared" si="33"/>
        <v>no</v>
      </c>
      <c r="AB193" t="str">
        <f t="shared" si="34"/>
        <v>No</v>
      </c>
      <c r="AC193" s="12">
        <v>75</v>
      </c>
      <c r="AD193" s="12">
        <f t="shared" si="35"/>
        <v>75</v>
      </c>
    </row>
    <row r="194" spans="1:30" x14ac:dyDescent="0.3">
      <c r="A194" t="s">
        <v>480</v>
      </c>
      <c r="B194" t="s">
        <v>274</v>
      </c>
      <c r="C194" t="s">
        <v>2124</v>
      </c>
      <c r="D194" t="s">
        <v>2161</v>
      </c>
      <c r="E194" t="str">
        <f t="shared" si="25"/>
        <v>Matthew Smith</v>
      </c>
      <c r="F194" t="str">
        <f t="shared" si="26"/>
        <v>Matthew Smith</v>
      </c>
      <c r="H194" t="s">
        <v>69</v>
      </c>
      <c r="I194" t="str">
        <f t="shared" si="27"/>
        <v>Male</v>
      </c>
      <c r="J194">
        <v>41</v>
      </c>
      <c r="K194">
        <f t="shared" si="28"/>
        <v>41</v>
      </c>
      <c r="L194" t="str">
        <f t="shared" si="29"/>
        <v>Third level</v>
      </c>
      <c r="M194" t="s">
        <v>15</v>
      </c>
      <c r="N194" t="s">
        <v>16</v>
      </c>
      <c r="O194" t="s">
        <v>99</v>
      </c>
      <c r="Q194">
        <f t="shared" si="30"/>
        <v>13</v>
      </c>
      <c r="R194" t="s">
        <v>50</v>
      </c>
      <c r="S194" s="8" t="s">
        <v>50</v>
      </c>
      <c r="T194" s="9">
        <v>30</v>
      </c>
      <c r="U194" s="9">
        <f t="shared" si="31"/>
        <v>30</v>
      </c>
      <c r="V194" s="10">
        <v>30</v>
      </c>
      <c r="W194">
        <v>1.4</v>
      </c>
      <c r="X194" s="11">
        <f t="shared" si="32"/>
        <v>1.4</v>
      </c>
      <c r="Y194" t="s">
        <v>2102</v>
      </c>
      <c r="Z194" t="str">
        <f t="shared" si="36"/>
        <v>No</v>
      </c>
      <c r="AA194" t="str">
        <f t="shared" si="33"/>
        <v>No</v>
      </c>
      <c r="AB194" t="str">
        <f t="shared" si="34"/>
        <v>No</v>
      </c>
      <c r="AC194" s="12">
        <v>74</v>
      </c>
      <c r="AD194" s="12">
        <f t="shared" si="35"/>
        <v>74</v>
      </c>
    </row>
    <row r="195" spans="1:30" x14ac:dyDescent="0.3">
      <c r="A195" t="s">
        <v>481</v>
      </c>
      <c r="B195" t="s">
        <v>482</v>
      </c>
      <c r="C195" t="s">
        <v>2151</v>
      </c>
      <c r="D195" t="s">
        <v>2144</v>
      </c>
      <c r="E195" t="str">
        <f t="shared" ref="E195:E258" si="37">CONCATENATE(C195," ",D195)</f>
        <v>Jennifer Cherry</v>
      </c>
      <c r="F195" t="str">
        <f t="shared" ref="F195:F258" si="38">PROPER(E195)</f>
        <v>Jennifer Cherry</v>
      </c>
      <c r="H195" t="s">
        <v>86</v>
      </c>
      <c r="I195" t="str">
        <f t="shared" ref="I195:I258" si="39">PROPER(H195)</f>
        <v>Female</v>
      </c>
      <c r="J195">
        <v>58</v>
      </c>
      <c r="K195">
        <f t="shared" ref="K195:K258" si="40">IF(ISBLANK(J195),ROUND(AVERAGEIF($I$2:$I$1001,I195,$J$2:$J$1001),0),J195)</f>
        <v>58</v>
      </c>
      <c r="L195" t="str">
        <f t="shared" ref="L195:L258" si="41">IF(AND(K195&gt;=20,K195&lt;=30),"First level",IF(AND(K195&gt;30,K195&lt;=40),"Second level",IF(AND(K195&gt;40,K195&lt;=50),"Third level",IF(H202&gt;50,"Fourth level"))))</f>
        <v>Fourth level</v>
      </c>
      <c r="M195" t="s">
        <v>134</v>
      </c>
      <c r="N195" t="s">
        <v>135</v>
      </c>
      <c r="O195" t="s">
        <v>17</v>
      </c>
      <c r="P195">
        <v>25</v>
      </c>
      <c r="Q195">
        <f t="shared" ref="Q195:Q258" si="42">IF(ISBLANK(P195),ROUND(AVERAGEIF($L$2:$L$1001,L195,$P$2:$P$1001),0),P195)</f>
        <v>25</v>
      </c>
      <c r="R195" t="s">
        <v>50</v>
      </c>
      <c r="S195" s="8" t="s">
        <v>50</v>
      </c>
      <c r="T195" s="9">
        <v>30</v>
      </c>
      <c r="U195" s="9">
        <f t="shared" ref="U195:U258" si="43">IF(ISBLANK(T195),AVERAGE(T194:T1194),T195)</f>
        <v>30</v>
      </c>
      <c r="V195" s="10">
        <v>30</v>
      </c>
      <c r="W195">
        <v>4.2</v>
      </c>
      <c r="X195" s="11">
        <f t="shared" ref="X195:X258" si="44">IF(ISBLANK(W195),AVERAGE(W195:W1194),W195)</f>
        <v>4.2</v>
      </c>
      <c r="Y195" t="s">
        <v>2103</v>
      </c>
      <c r="Z195" t="str">
        <f t="shared" ref="Z195:Z257" si="45">CLEAN(Y195)</f>
        <v>Yes</v>
      </c>
      <c r="AA195" t="str">
        <f t="shared" ref="AA195:AA258" si="46">IF(ISBLANK(Z195),"Unknown",Z195)</f>
        <v>Yes</v>
      </c>
      <c r="AB195" t="str">
        <f t="shared" ref="AB195:AB258" si="47">PROPER(AA195)</f>
        <v>Yes</v>
      </c>
      <c r="AC195" s="12">
        <v>71</v>
      </c>
      <c r="AD195" s="12">
        <f t="shared" ref="AD195:AD258" si="48">IF(ISBLANK(AC195),AVERAGE(AC195:AC1194),AC195)</f>
        <v>71</v>
      </c>
    </row>
    <row r="196" spans="1:30" x14ac:dyDescent="0.3">
      <c r="A196" t="s">
        <v>483</v>
      </c>
      <c r="B196" t="s">
        <v>484</v>
      </c>
      <c r="C196" t="s">
        <v>2394</v>
      </c>
      <c r="D196" t="s">
        <v>2305</v>
      </c>
      <c r="E196" t="str">
        <f t="shared" si="37"/>
        <v>Brandi Tucker</v>
      </c>
      <c r="F196" t="str">
        <f t="shared" si="38"/>
        <v>Brandi Tucker</v>
      </c>
      <c r="H196" t="s">
        <v>43</v>
      </c>
      <c r="I196" t="str">
        <f t="shared" si="39"/>
        <v>Female</v>
      </c>
      <c r="J196">
        <v>50</v>
      </c>
      <c r="K196">
        <f t="shared" si="40"/>
        <v>50</v>
      </c>
      <c r="L196" t="str">
        <f t="shared" si="41"/>
        <v>Third level</v>
      </c>
      <c r="M196" t="s">
        <v>164</v>
      </c>
      <c r="N196" t="s">
        <v>165</v>
      </c>
      <c r="O196" t="s">
        <v>33</v>
      </c>
      <c r="P196">
        <v>20</v>
      </c>
      <c r="Q196">
        <f t="shared" si="42"/>
        <v>20</v>
      </c>
      <c r="R196" t="s">
        <v>61</v>
      </c>
      <c r="S196" s="8" t="s">
        <v>2094</v>
      </c>
      <c r="T196" s="9">
        <v>40</v>
      </c>
      <c r="U196" s="9">
        <f t="shared" si="43"/>
        <v>40</v>
      </c>
      <c r="V196" s="10">
        <v>40</v>
      </c>
      <c r="W196">
        <v>3.6</v>
      </c>
      <c r="X196" s="11">
        <f t="shared" si="44"/>
        <v>3.6</v>
      </c>
      <c r="Y196" t="s">
        <v>2103</v>
      </c>
      <c r="Z196" t="str">
        <f t="shared" si="45"/>
        <v>Yes</v>
      </c>
      <c r="AA196" t="str">
        <f t="shared" si="46"/>
        <v>Yes</v>
      </c>
      <c r="AB196" t="str">
        <f t="shared" si="47"/>
        <v>Yes</v>
      </c>
      <c r="AC196" s="12">
        <v>89</v>
      </c>
      <c r="AD196" s="12">
        <f t="shared" si="48"/>
        <v>89</v>
      </c>
    </row>
    <row r="197" spans="1:30" x14ac:dyDescent="0.3">
      <c r="A197" t="s">
        <v>485</v>
      </c>
      <c r="B197" t="s">
        <v>486</v>
      </c>
      <c r="C197" t="s">
        <v>2395</v>
      </c>
      <c r="D197" t="s">
        <v>2396</v>
      </c>
      <c r="E197" t="str">
        <f t="shared" si="37"/>
        <v>Zachary Burke</v>
      </c>
      <c r="F197" t="str">
        <f t="shared" si="38"/>
        <v>Zachary Burke</v>
      </c>
      <c r="H197" t="s">
        <v>107</v>
      </c>
      <c r="I197" t="str">
        <f t="shared" si="39"/>
        <v>Male</v>
      </c>
      <c r="J197">
        <v>52</v>
      </c>
      <c r="K197">
        <f t="shared" si="40"/>
        <v>52</v>
      </c>
      <c r="L197" t="str">
        <f t="shared" si="41"/>
        <v>Fourth level</v>
      </c>
      <c r="M197" t="s">
        <v>55</v>
      </c>
      <c r="N197" t="s">
        <v>56</v>
      </c>
      <c r="O197" t="s">
        <v>39</v>
      </c>
      <c r="P197">
        <v>33</v>
      </c>
      <c r="Q197">
        <f t="shared" si="42"/>
        <v>33</v>
      </c>
      <c r="R197" t="s">
        <v>240</v>
      </c>
      <c r="S197" s="8" t="s">
        <v>18</v>
      </c>
      <c r="T197" s="9">
        <v>100</v>
      </c>
      <c r="U197" s="9">
        <f t="shared" si="43"/>
        <v>100</v>
      </c>
      <c r="V197" s="10">
        <v>100</v>
      </c>
      <c r="W197">
        <v>1.6</v>
      </c>
      <c r="X197" s="11">
        <f t="shared" si="44"/>
        <v>1.6</v>
      </c>
      <c r="Y197" t="s">
        <v>65</v>
      </c>
      <c r="AA197" t="str">
        <f t="shared" si="46"/>
        <v>Unknown</v>
      </c>
      <c r="AB197" t="str">
        <f t="shared" si="47"/>
        <v>Unknown</v>
      </c>
      <c r="AC197" s="12">
        <v>66</v>
      </c>
      <c r="AD197" s="12">
        <f t="shared" si="48"/>
        <v>66</v>
      </c>
    </row>
    <row r="198" spans="1:30" x14ac:dyDescent="0.3">
      <c r="A198" t="s">
        <v>487</v>
      </c>
      <c r="B198" t="s">
        <v>488</v>
      </c>
      <c r="C198" t="s">
        <v>2231</v>
      </c>
      <c r="D198" t="s">
        <v>2159</v>
      </c>
      <c r="E198" t="str">
        <f t="shared" si="37"/>
        <v>Thomas Jones</v>
      </c>
      <c r="F198" t="str">
        <f t="shared" si="38"/>
        <v>Thomas Jones</v>
      </c>
      <c r="H198" t="s">
        <v>107</v>
      </c>
      <c r="I198" t="str">
        <f t="shared" si="39"/>
        <v>Male</v>
      </c>
      <c r="J198">
        <v>34</v>
      </c>
      <c r="K198">
        <f t="shared" si="40"/>
        <v>34</v>
      </c>
      <c r="L198" t="str">
        <f t="shared" si="41"/>
        <v>Second level</v>
      </c>
      <c r="M198" t="s">
        <v>47</v>
      </c>
      <c r="N198" t="s">
        <v>48</v>
      </c>
      <c r="O198" t="s">
        <v>57</v>
      </c>
      <c r="P198">
        <v>6</v>
      </c>
      <c r="Q198">
        <f t="shared" si="42"/>
        <v>6</v>
      </c>
      <c r="R198" t="s">
        <v>240</v>
      </c>
      <c r="S198" s="8" t="s">
        <v>18</v>
      </c>
      <c r="T198" s="9">
        <v>100</v>
      </c>
      <c r="U198" s="9">
        <f t="shared" si="43"/>
        <v>100</v>
      </c>
      <c r="V198" s="10">
        <v>100</v>
      </c>
      <c r="W198">
        <v>2</v>
      </c>
      <c r="X198" s="11">
        <f t="shared" si="44"/>
        <v>2</v>
      </c>
      <c r="Y198" t="s">
        <v>170</v>
      </c>
      <c r="Z198" t="str">
        <f t="shared" si="45"/>
        <v>no</v>
      </c>
      <c r="AA198" t="str">
        <f t="shared" si="46"/>
        <v>no</v>
      </c>
      <c r="AB198" t="str">
        <f t="shared" si="47"/>
        <v>No</v>
      </c>
      <c r="AC198" s="12"/>
      <c r="AD198" s="12">
        <f t="shared" si="48"/>
        <v>79.647676161919037</v>
      </c>
    </row>
    <row r="199" spans="1:30" x14ac:dyDescent="0.3">
      <c r="A199" t="s">
        <v>489</v>
      </c>
      <c r="B199" t="s">
        <v>490</v>
      </c>
      <c r="C199" t="s">
        <v>2397</v>
      </c>
      <c r="D199" t="s">
        <v>2398</v>
      </c>
      <c r="E199" t="str">
        <f t="shared" si="37"/>
        <v>Brian Dunn</v>
      </c>
      <c r="F199" t="str">
        <f t="shared" si="38"/>
        <v>Brian Dunn</v>
      </c>
      <c r="H199" t="s">
        <v>107</v>
      </c>
      <c r="I199" t="str">
        <f t="shared" si="39"/>
        <v>Male</v>
      </c>
      <c r="J199">
        <v>32</v>
      </c>
      <c r="K199">
        <f t="shared" si="40"/>
        <v>32</v>
      </c>
      <c r="L199" t="str">
        <f t="shared" si="41"/>
        <v>Second level</v>
      </c>
      <c r="M199" t="s">
        <v>145</v>
      </c>
      <c r="N199" t="s">
        <v>146</v>
      </c>
      <c r="O199" t="s">
        <v>124</v>
      </c>
      <c r="P199">
        <v>11</v>
      </c>
      <c r="Q199">
        <f t="shared" si="42"/>
        <v>11</v>
      </c>
      <c r="R199" t="s">
        <v>76</v>
      </c>
      <c r="S199" s="8" t="s">
        <v>76</v>
      </c>
      <c r="T199" s="9">
        <v>40</v>
      </c>
      <c r="U199" s="9">
        <f t="shared" si="43"/>
        <v>40</v>
      </c>
      <c r="V199" s="10">
        <v>40</v>
      </c>
      <c r="W199">
        <v>4.3</v>
      </c>
      <c r="X199" s="11">
        <f t="shared" si="44"/>
        <v>4.3</v>
      </c>
      <c r="Y199" t="s">
        <v>2103</v>
      </c>
      <c r="Z199" t="str">
        <f t="shared" si="45"/>
        <v>Yes</v>
      </c>
      <c r="AA199" t="str">
        <f t="shared" si="46"/>
        <v>Yes</v>
      </c>
      <c r="AB199" t="str">
        <f t="shared" si="47"/>
        <v>Yes</v>
      </c>
      <c r="AC199" s="12">
        <v>86</v>
      </c>
      <c r="AD199" s="12">
        <f t="shared" si="48"/>
        <v>86</v>
      </c>
    </row>
    <row r="200" spans="1:30" x14ac:dyDescent="0.3">
      <c r="A200" t="s">
        <v>491</v>
      </c>
      <c r="B200" t="s">
        <v>492</v>
      </c>
      <c r="C200" t="s">
        <v>2399</v>
      </c>
      <c r="D200" t="s">
        <v>2400</v>
      </c>
      <c r="E200" t="str">
        <f t="shared" si="37"/>
        <v>Shirley Strickland</v>
      </c>
      <c r="F200" t="str">
        <f t="shared" si="38"/>
        <v>Shirley Strickland</v>
      </c>
      <c r="H200" t="s">
        <v>86</v>
      </c>
      <c r="I200" t="str">
        <f t="shared" si="39"/>
        <v>Female</v>
      </c>
      <c r="J200">
        <v>50</v>
      </c>
      <c r="K200">
        <f t="shared" si="40"/>
        <v>50</v>
      </c>
      <c r="L200" t="str">
        <f t="shared" si="41"/>
        <v>Third level</v>
      </c>
      <c r="M200" t="s">
        <v>103</v>
      </c>
      <c r="N200" t="s">
        <v>104</v>
      </c>
      <c r="O200" t="s">
        <v>33</v>
      </c>
      <c r="P200">
        <v>28</v>
      </c>
      <c r="Q200">
        <f t="shared" si="42"/>
        <v>28</v>
      </c>
      <c r="R200" t="s">
        <v>240</v>
      </c>
      <c r="S200" s="8" t="s">
        <v>18</v>
      </c>
      <c r="T200" s="9">
        <v>100</v>
      </c>
      <c r="U200" s="9">
        <f t="shared" si="43"/>
        <v>100</v>
      </c>
      <c r="V200" s="10">
        <v>100</v>
      </c>
      <c r="W200">
        <v>4.9000000000000004</v>
      </c>
      <c r="X200" s="11">
        <f t="shared" si="44"/>
        <v>4.9000000000000004</v>
      </c>
      <c r="Y200" t="s">
        <v>2103</v>
      </c>
      <c r="Z200" t="str">
        <f t="shared" si="45"/>
        <v>Yes</v>
      </c>
      <c r="AA200" t="str">
        <f t="shared" si="46"/>
        <v>Yes</v>
      </c>
      <c r="AB200" t="str">
        <f t="shared" si="47"/>
        <v>Yes</v>
      </c>
      <c r="AC200" s="12">
        <v>86</v>
      </c>
      <c r="AD200" s="12">
        <f t="shared" si="48"/>
        <v>86</v>
      </c>
    </row>
    <row r="201" spans="1:30" x14ac:dyDescent="0.3">
      <c r="A201" t="s">
        <v>493</v>
      </c>
      <c r="B201" t="s">
        <v>494</v>
      </c>
      <c r="C201" t="s">
        <v>2106</v>
      </c>
      <c r="D201" t="s">
        <v>2277</v>
      </c>
      <c r="E201" t="str">
        <f t="shared" si="37"/>
        <v>Nicole Meyers</v>
      </c>
      <c r="F201" t="str">
        <f t="shared" si="38"/>
        <v>Nicole Meyers</v>
      </c>
      <c r="H201" t="s">
        <v>43</v>
      </c>
      <c r="I201" t="str">
        <f t="shared" si="39"/>
        <v>Female</v>
      </c>
      <c r="J201">
        <v>39</v>
      </c>
      <c r="K201">
        <f t="shared" si="40"/>
        <v>39</v>
      </c>
      <c r="L201" t="str">
        <f t="shared" si="41"/>
        <v>Second level</v>
      </c>
      <c r="M201" t="s">
        <v>80</v>
      </c>
      <c r="N201" t="s">
        <v>81</v>
      </c>
      <c r="O201" t="s">
        <v>57</v>
      </c>
      <c r="P201">
        <v>11</v>
      </c>
      <c r="Q201">
        <f t="shared" si="42"/>
        <v>11</v>
      </c>
      <c r="R201" t="s">
        <v>18</v>
      </c>
      <c r="S201" s="8" t="s">
        <v>18</v>
      </c>
      <c r="T201" s="9">
        <v>100</v>
      </c>
      <c r="U201" s="9">
        <f t="shared" si="43"/>
        <v>100</v>
      </c>
      <c r="V201" s="10">
        <v>100</v>
      </c>
      <c r="W201">
        <v>3.5</v>
      </c>
      <c r="X201" s="11">
        <f t="shared" si="44"/>
        <v>3.5</v>
      </c>
      <c r="Y201" t="s">
        <v>2103</v>
      </c>
      <c r="Z201" t="str">
        <f t="shared" si="45"/>
        <v>Yes</v>
      </c>
      <c r="AA201" t="str">
        <f t="shared" si="46"/>
        <v>Yes</v>
      </c>
      <c r="AB201" t="str">
        <f t="shared" si="47"/>
        <v>Yes</v>
      </c>
      <c r="AC201" s="12">
        <v>82</v>
      </c>
      <c r="AD201" s="12">
        <f t="shared" si="48"/>
        <v>82</v>
      </c>
    </row>
    <row r="202" spans="1:30" x14ac:dyDescent="0.3">
      <c r="A202" t="s">
        <v>495</v>
      </c>
      <c r="B202" t="s">
        <v>496</v>
      </c>
      <c r="C202" t="s">
        <v>2401</v>
      </c>
      <c r="D202" t="s">
        <v>2402</v>
      </c>
      <c r="E202" t="str">
        <f t="shared" si="37"/>
        <v>Jill Stephens</v>
      </c>
      <c r="F202" t="str">
        <f t="shared" si="38"/>
        <v>Jill Stephens</v>
      </c>
      <c r="H202" t="s">
        <v>86</v>
      </c>
      <c r="I202" t="str">
        <f t="shared" si="39"/>
        <v>Female</v>
      </c>
      <c r="J202">
        <v>25</v>
      </c>
      <c r="K202">
        <f t="shared" si="40"/>
        <v>25</v>
      </c>
      <c r="L202" t="str">
        <f t="shared" si="41"/>
        <v>First level</v>
      </c>
      <c r="M202" t="s">
        <v>201</v>
      </c>
      <c r="N202" t="s">
        <v>81</v>
      </c>
      <c r="O202" t="s">
        <v>49</v>
      </c>
      <c r="P202">
        <v>2</v>
      </c>
      <c r="Q202">
        <f t="shared" si="42"/>
        <v>2</v>
      </c>
      <c r="R202" t="s">
        <v>18</v>
      </c>
      <c r="S202" s="8" t="s">
        <v>18</v>
      </c>
      <c r="T202" s="9">
        <v>100</v>
      </c>
      <c r="U202" s="9">
        <f t="shared" si="43"/>
        <v>100</v>
      </c>
      <c r="V202" s="10">
        <v>100</v>
      </c>
      <c r="W202">
        <v>2.5</v>
      </c>
      <c r="X202" s="11">
        <f t="shared" si="44"/>
        <v>2.5</v>
      </c>
      <c r="Y202" t="s">
        <v>170</v>
      </c>
      <c r="Z202" t="str">
        <f t="shared" si="45"/>
        <v>no</v>
      </c>
      <c r="AA202" t="str">
        <f t="shared" si="46"/>
        <v>no</v>
      </c>
      <c r="AB202" t="str">
        <f t="shared" si="47"/>
        <v>No</v>
      </c>
      <c r="AC202" s="12">
        <v>87</v>
      </c>
      <c r="AD202" s="12">
        <f t="shared" si="48"/>
        <v>87</v>
      </c>
    </row>
    <row r="203" spans="1:30" x14ac:dyDescent="0.3">
      <c r="A203" t="s">
        <v>497</v>
      </c>
      <c r="B203" t="s">
        <v>498</v>
      </c>
      <c r="C203" t="s">
        <v>2403</v>
      </c>
      <c r="D203" t="s">
        <v>2264</v>
      </c>
      <c r="E203" t="str">
        <f t="shared" si="37"/>
        <v>Heidi Miranda</v>
      </c>
      <c r="F203" t="str">
        <f t="shared" si="38"/>
        <v>Heidi Miranda</v>
      </c>
      <c r="H203" t="s">
        <v>22</v>
      </c>
      <c r="I203" t="str">
        <f t="shared" si="39"/>
        <v>Female</v>
      </c>
      <c r="J203">
        <v>55</v>
      </c>
      <c r="K203">
        <f t="shared" si="40"/>
        <v>55</v>
      </c>
      <c r="L203" t="str">
        <f t="shared" si="41"/>
        <v>Fourth level</v>
      </c>
      <c r="M203" t="s">
        <v>186</v>
      </c>
      <c r="N203" t="s">
        <v>187</v>
      </c>
      <c r="O203" t="s">
        <v>124</v>
      </c>
      <c r="P203">
        <v>7</v>
      </c>
      <c r="Q203">
        <f t="shared" si="42"/>
        <v>7</v>
      </c>
      <c r="R203" t="s">
        <v>18</v>
      </c>
      <c r="S203" s="8" t="s">
        <v>18</v>
      </c>
      <c r="T203" s="9">
        <v>100</v>
      </c>
      <c r="U203" s="9">
        <f t="shared" si="43"/>
        <v>100</v>
      </c>
      <c r="V203" s="10">
        <v>100</v>
      </c>
      <c r="W203">
        <v>1.7</v>
      </c>
      <c r="X203" s="11">
        <f t="shared" si="44"/>
        <v>1.7</v>
      </c>
      <c r="Y203" t="s">
        <v>2103</v>
      </c>
      <c r="Z203" t="str">
        <f t="shared" si="45"/>
        <v>Yes</v>
      </c>
      <c r="AA203" t="str">
        <f t="shared" si="46"/>
        <v>Yes</v>
      </c>
      <c r="AB203" t="str">
        <f t="shared" si="47"/>
        <v>Yes</v>
      </c>
      <c r="AC203" s="12">
        <v>80</v>
      </c>
      <c r="AD203" s="12">
        <f t="shared" si="48"/>
        <v>80</v>
      </c>
    </row>
    <row r="204" spans="1:30" x14ac:dyDescent="0.3">
      <c r="A204" t="s">
        <v>499</v>
      </c>
      <c r="B204" t="s">
        <v>500</v>
      </c>
      <c r="C204" t="s">
        <v>2404</v>
      </c>
      <c r="D204" t="s">
        <v>2405</v>
      </c>
      <c r="E204" t="str">
        <f t="shared" si="37"/>
        <v>Jesus Martinez</v>
      </c>
      <c r="F204" t="str">
        <f t="shared" si="38"/>
        <v>Jesus Martinez</v>
      </c>
      <c r="H204" t="s">
        <v>107</v>
      </c>
      <c r="I204" t="str">
        <f t="shared" si="39"/>
        <v>Male</v>
      </c>
      <c r="J204">
        <v>42</v>
      </c>
      <c r="K204">
        <f t="shared" si="40"/>
        <v>42</v>
      </c>
      <c r="L204" t="str">
        <f t="shared" si="41"/>
        <v>Third level</v>
      </c>
      <c r="M204" t="s">
        <v>15</v>
      </c>
      <c r="N204" t="s">
        <v>16</v>
      </c>
      <c r="O204" t="s">
        <v>99</v>
      </c>
      <c r="P204">
        <v>10</v>
      </c>
      <c r="Q204">
        <f t="shared" si="42"/>
        <v>10</v>
      </c>
      <c r="R204" t="s">
        <v>26</v>
      </c>
      <c r="S204" s="8" t="s">
        <v>18</v>
      </c>
      <c r="T204" s="9">
        <v>100</v>
      </c>
      <c r="U204" s="9">
        <f t="shared" si="43"/>
        <v>100</v>
      </c>
      <c r="V204" s="10">
        <v>100</v>
      </c>
      <c r="W204">
        <v>4.5999999999999996</v>
      </c>
      <c r="X204" s="11">
        <f t="shared" si="44"/>
        <v>4.5999999999999996</v>
      </c>
      <c r="Y204" t="s">
        <v>2103</v>
      </c>
      <c r="Z204" t="str">
        <f t="shared" si="45"/>
        <v>Yes</v>
      </c>
      <c r="AA204" t="str">
        <f t="shared" si="46"/>
        <v>Yes</v>
      </c>
      <c r="AB204" t="str">
        <f t="shared" si="47"/>
        <v>Yes</v>
      </c>
      <c r="AC204" s="12">
        <v>71</v>
      </c>
      <c r="AD204" s="12">
        <f t="shared" si="48"/>
        <v>71</v>
      </c>
    </row>
    <row r="205" spans="1:30" x14ac:dyDescent="0.3">
      <c r="A205" t="s">
        <v>501</v>
      </c>
      <c r="B205" t="s">
        <v>502</v>
      </c>
      <c r="C205" t="s">
        <v>2406</v>
      </c>
      <c r="D205" t="s">
        <v>2407</v>
      </c>
      <c r="E205" t="str">
        <f t="shared" si="37"/>
        <v>Adam Payne</v>
      </c>
      <c r="F205" t="str">
        <f t="shared" si="38"/>
        <v>Adam Payne</v>
      </c>
      <c r="H205" t="s">
        <v>30</v>
      </c>
      <c r="I205" t="str">
        <f t="shared" si="39"/>
        <v>Male</v>
      </c>
      <c r="J205">
        <v>43</v>
      </c>
      <c r="K205">
        <f t="shared" si="40"/>
        <v>43</v>
      </c>
      <c r="L205" t="str">
        <f t="shared" si="41"/>
        <v>Third level</v>
      </c>
      <c r="M205" t="s">
        <v>134</v>
      </c>
      <c r="N205" t="s">
        <v>135</v>
      </c>
      <c r="O205" t="s">
        <v>25</v>
      </c>
      <c r="P205">
        <v>6</v>
      </c>
      <c r="Q205">
        <f t="shared" si="42"/>
        <v>6</v>
      </c>
      <c r="R205" t="s">
        <v>34</v>
      </c>
      <c r="S205" s="8" t="s">
        <v>34</v>
      </c>
      <c r="T205" s="9">
        <v>50</v>
      </c>
      <c r="U205" s="9">
        <f t="shared" si="43"/>
        <v>50</v>
      </c>
      <c r="V205" s="10">
        <v>50</v>
      </c>
      <c r="X205" s="11">
        <f t="shared" si="44"/>
        <v>2.5381486676016816</v>
      </c>
      <c r="Y205" t="s">
        <v>2102</v>
      </c>
      <c r="Z205" t="str">
        <f t="shared" si="45"/>
        <v>No</v>
      </c>
      <c r="AA205" t="str">
        <f t="shared" si="46"/>
        <v>No</v>
      </c>
      <c r="AB205" t="str">
        <f t="shared" si="47"/>
        <v>No</v>
      </c>
      <c r="AC205" s="12">
        <v>77</v>
      </c>
      <c r="AD205" s="12">
        <f t="shared" si="48"/>
        <v>77</v>
      </c>
    </row>
    <row r="206" spans="1:30" x14ac:dyDescent="0.3">
      <c r="A206" t="s">
        <v>503</v>
      </c>
      <c r="B206" t="s">
        <v>504</v>
      </c>
      <c r="C206" t="s">
        <v>2408</v>
      </c>
      <c r="D206" t="s">
        <v>2181</v>
      </c>
      <c r="E206" t="str">
        <f t="shared" si="37"/>
        <v>Walter Williams</v>
      </c>
      <c r="F206" t="str">
        <f t="shared" si="38"/>
        <v>Walter Williams</v>
      </c>
      <c r="H206" t="s">
        <v>107</v>
      </c>
      <c r="I206" t="str">
        <f t="shared" si="39"/>
        <v>Male</v>
      </c>
      <c r="J206">
        <v>54</v>
      </c>
      <c r="K206">
        <f t="shared" si="40"/>
        <v>54</v>
      </c>
      <c r="L206" t="str">
        <f t="shared" si="41"/>
        <v>Fourth level</v>
      </c>
      <c r="M206" t="s">
        <v>15</v>
      </c>
      <c r="N206" t="s">
        <v>16</v>
      </c>
      <c r="O206" t="s">
        <v>99</v>
      </c>
      <c r="P206">
        <v>29</v>
      </c>
      <c r="Q206">
        <f t="shared" si="42"/>
        <v>29</v>
      </c>
      <c r="R206" t="s">
        <v>50</v>
      </c>
      <c r="S206" s="8" t="s">
        <v>50</v>
      </c>
      <c r="T206" s="9">
        <v>30</v>
      </c>
      <c r="U206" s="9">
        <f t="shared" si="43"/>
        <v>30</v>
      </c>
      <c r="V206" s="10">
        <v>30</v>
      </c>
      <c r="W206">
        <v>1.7</v>
      </c>
      <c r="X206" s="11">
        <f t="shared" si="44"/>
        <v>1.7</v>
      </c>
      <c r="Y206" t="s">
        <v>2102</v>
      </c>
      <c r="Z206" t="str">
        <f t="shared" si="45"/>
        <v>No</v>
      </c>
      <c r="AA206" t="str">
        <f t="shared" si="46"/>
        <v>No</v>
      </c>
      <c r="AB206" t="str">
        <f t="shared" si="47"/>
        <v>No</v>
      </c>
      <c r="AC206" s="12">
        <v>68</v>
      </c>
      <c r="AD206" s="12">
        <f t="shared" si="48"/>
        <v>68</v>
      </c>
    </row>
    <row r="207" spans="1:30" x14ac:dyDescent="0.3">
      <c r="A207" t="s">
        <v>505</v>
      </c>
      <c r="B207" t="s">
        <v>506</v>
      </c>
      <c r="C207" t="s">
        <v>2409</v>
      </c>
      <c r="D207" t="s">
        <v>2410</v>
      </c>
      <c r="E207" t="str">
        <f t="shared" si="37"/>
        <v>Shannon Farmer</v>
      </c>
      <c r="F207" t="str">
        <f t="shared" si="38"/>
        <v>Shannon Farmer</v>
      </c>
      <c r="H207" t="s">
        <v>22</v>
      </c>
      <c r="I207" t="str">
        <f t="shared" si="39"/>
        <v>Female</v>
      </c>
      <c r="J207">
        <v>21</v>
      </c>
      <c r="K207">
        <f t="shared" si="40"/>
        <v>21</v>
      </c>
      <c r="L207" t="str">
        <f t="shared" si="41"/>
        <v>First level</v>
      </c>
      <c r="M207" t="s">
        <v>149</v>
      </c>
      <c r="N207" t="s">
        <v>150</v>
      </c>
      <c r="O207" t="s">
        <v>33</v>
      </c>
      <c r="P207">
        <v>0</v>
      </c>
      <c r="Q207">
        <f t="shared" si="42"/>
        <v>0</v>
      </c>
      <c r="R207" t="s">
        <v>151</v>
      </c>
      <c r="S207" s="8" t="s">
        <v>151</v>
      </c>
      <c r="T207" s="9">
        <v>20</v>
      </c>
      <c r="U207" s="9">
        <f t="shared" si="43"/>
        <v>20</v>
      </c>
      <c r="V207" s="10">
        <v>20</v>
      </c>
      <c r="W207">
        <v>1.8</v>
      </c>
      <c r="X207" s="11">
        <f t="shared" si="44"/>
        <v>1.8</v>
      </c>
      <c r="Y207" t="s">
        <v>2102</v>
      </c>
      <c r="Z207" t="str">
        <f t="shared" si="45"/>
        <v>No</v>
      </c>
      <c r="AA207" t="str">
        <f t="shared" si="46"/>
        <v>No</v>
      </c>
      <c r="AB207" t="str">
        <f t="shared" si="47"/>
        <v>No</v>
      </c>
      <c r="AC207" s="12">
        <v>91</v>
      </c>
      <c r="AD207" s="12">
        <f t="shared" si="48"/>
        <v>91</v>
      </c>
    </row>
    <row r="208" spans="1:30" x14ac:dyDescent="0.3">
      <c r="A208" t="s">
        <v>507</v>
      </c>
      <c r="B208" t="s">
        <v>508</v>
      </c>
      <c r="C208" t="s">
        <v>2411</v>
      </c>
      <c r="D208" t="s">
        <v>2412</v>
      </c>
      <c r="E208" t="str">
        <f t="shared" si="37"/>
        <v>Peter Reyes</v>
      </c>
      <c r="F208" t="str">
        <f t="shared" si="38"/>
        <v>Peter Reyes</v>
      </c>
      <c r="H208" t="s">
        <v>107</v>
      </c>
      <c r="I208" t="str">
        <f t="shared" si="39"/>
        <v>Male</v>
      </c>
      <c r="J208">
        <v>46</v>
      </c>
      <c r="K208">
        <f t="shared" si="40"/>
        <v>46</v>
      </c>
      <c r="L208" t="str">
        <f t="shared" si="41"/>
        <v>Third level</v>
      </c>
      <c r="M208" t="s">
        <v>138</v>
      </c>
      <c r="N208" t="s">
        <v>24</v>
      </c>
      <c r="O208" t="s">
        <v>82</v>
      </c>
      <c r="P208">
        <v>5</v>
      </c>
      <c r="Q208">
        <f t="shared" si="42"/>
        <v>5</v>
      </c>
      <c r="R208" t="s">
        <v>151</v>
      </c>
      <c r="S208" s="8" t="s">
        <v>151</v>
      </c>
      <c r="T208" s="9">
        <v>20</v>
      </c>
      <c r="U208" s="9">
        <f t="shared" si="43"/>
        <v>20</v>
      </c>
      <c r="V208" s="10">
        <v>20</v>
      </c>
      <c r="W208">
        <v>2.2000000000000002</v>
      </c>
      <c r="X208" s="11">
        <f t="shared" si="44"/>
        <v>2.2000000000000002</v>
      </c>
      <c r="Y208" t="s">
        <v>2102</v>
      </c>
      <c r="Z208" t="str">
        <f t="shared" si="45"/>
        <v>No</v>
      </c>
      <c r="AA208" t="str">
        <f t="shared" si="46"/>
        <v>No</v>
      </c>
      <c r="AB208" t="str">
        <f t="shared" si="47"/>
        <v>No</v>
      </c>
      <c r="AC208" s="12">
        <v>75</v>
      </c>
      <c r="AD208" s="12">
        <f t="shared" si="48"/>
        <v>75</v>
      </c>
    </row>
    <row r="209" spans="1:30" x14ac:dyDescent="0.3">
      <c r="A209" t="s">
        <v>509</v>
      </c>
      <c r="B209" t="s">
        <v>510</v>
      </c>
      <c r="C209" t="s">
        <v>2413</v>
      </c>
      <c r="D209" t="s">
        <v>2414</v>
      </c>
      <c r="E209" t="str">
        <f t="shared" si="37"/>
        <v>Kristen Knight</v>
      </c>
      <c r="F209" t="str">
        <f t="shared" si="38"/>
        <v>Kristen Knight</v>
      </c>
      <c r="H209" t="s">
        <v>86</v>
      </c>
      <c r="I209" t="str">
        <f t="shared" si="39"/>
        <v>Female</v>
      </c>
      <c r="J209">
        <v>30</v>
      </c>
      <c r="K209">
        <f t="shared" si="40"/>
        <v>30</v>
      </c>
      <c r="L209" t="str">
        <f t="shared" si="41"/>
        <v>First level</v>
      </c>
      <c r="M209" t="s">
        <v>201</v>
      </c>
      <c r="N209" t="s">
        <v>81</v>
      </c>
      <c r="O209" t="s">
        <v>17</v>
      </c>
      <c r="P209">
        <v>11</v>
      </c>
      <c r="Q209">
        <f t="shared" si="42"/>
        <v>11</v>
      </c>
      <c r="R209" t="s">
        <v>76</v>
      </c>
      <c r="S209" s="8" t="s">
        <v>76</v>
      </c>
      <c r="T209" s="9">
        <v>40</v>
      </c>
      <c r="U209" s="9">
        <f t="shared" si="43"/>
        <v>40</v>
      </c>
      <c r="V209" s="10">
        <v>40</v>
      </c>
      <c r="W209">
        <v>1</v>
      </c>
      <c r="X209" s="11">
        <f t="shared" si="44"/>
        <v>1</v>
      </c>
      <c r="Y209" t="s">
        <v>2102</v>
      </c>
      <c r="Z209" t="str">
        <f t="shared" si="45"/>
        <v>No</v>
      </c>
      <c r="AA209" t="str">
        <f t="shared" si="46"/>
        <v>No</v>
      </c>
      <c r="AB209" t="str">
        <f t="shared" si="47"/>
        <v>No</v>
      </c>
      <c r="AC209" s="12">
        <v>90</v>
      </c>
      <c r="AD209" s="12">
        <f t="shared" si="48"/>
        <v>90</v>
      </c>
    </row>
    <row r="210" spans="1:30" x14ac:dyDescent="0.3">
      <c r="A210" t="s">
        <v>511</v>
      </c>
      <c r="B210" t="s">
        <v>512</v>
      </c>
      <c r="C210" t="s">
        <v>2371</v>
      </c>
      <c r="D210" t="s">
        <v>2415</v>
      </c>
      <c r="E210" t="str">
        <f t="shared" si="37"/>
        <v>William Moore</v>
      </c>
      <c r="F210" t="str">
        <f t="shared" si="38"/>
        <v>William Moore</v>
      </c>
      <c r="H210" t="s">
        <v>30</v>
      </c>
      <c r="I210" t="str">
        <f t="shared" si="39"/>
        <v>Male</v>
      </c>
      <c r="J210">
        <v>36</v>
      </c>
      <c r="K210">
        <f t="shared" si="40"/>
        <v>36</v>
      </c>
      <c r="L210" t="str">
        <f t="shared" si="41"/>
        <v>Second level</v>
      </c>
      <c r="M210" t="s">
        <v>186</v>
      </c>
      <c r="N210" t="s">
        <v>187</v>
      </c>
      <c r="O210" t="s">
        <v>124</v>
      </c>
      <c r="P210">
        <v>11</v>
      </c>
      <c r="Q210">
        <f t="shared" si="42"/>
        <v>11</v>
      </c>
      <c r="R210" t="s">
        <v>181</v>
      </c>
      <c r="S210" s="8" t="s">
        <v>181</v>
      </c>
      <c r="T210" s="9">
        <v>75</v>
      </c>
      <c r="U210" s="9">
        <f t="shared" si="43"/>
        <v>75</v>
      </c>
      <c r="V210" s="10">
        <v>75</v>
      </c>
      <c r="W210">
        <v>3.2</v>
      </c>
      <c r="X210" s="11">
        <f t="shared" si="44"/>
        <v>3.2</v>
      </c>
      <c r="Y210" t="s">
        <v>2102</v>
      </c>
      <c r="Z210" t="str">
        <f t="shared" si="45"/>
        <v>No</v>
      </c>
      <c r="AA210" t="str">
        <f t="shared" si="46"/>
        <v>No</v>
      </c>
      <c r="AB210" t="str">
        <f t="shared" si="47"/>
        <v>No</v>
      </c>
      <c r="AC210" s="12">
        <v>93</v>
      </c>
      <c r="AD210" s="12">
        <f t="shared" si="48"/>
        <v>93</v>
      </c>
    </row>
    <row r="211" spans="1:30" x14ac:dyDescent="0.3">
      <c r="A211" t="s">
        <v>513</v>
      </c>
      <c r="B211" t="s">
        <v>514</v>
      </c>
      <c r="C211" t="s">
        <v>2151</v>
      </c>
      <c r="D211" t="s">
        <v>2416</v>
      </c>
      <c r="E211" t="str">
        <f t="shared" si="37"/>
        <v>Jennifer Rowe</v>
      </c>
      <c r="F211" t="str">
        <f t="shared" si="38"/>
        <v>Jennifer Rowe</v>
      </c>
      <c r="H211" t="s">
        <v>86</v>
      </c>
      <c r="I211" t="str">
        <f t="shared" si="39"/>
        <v>Female</v>
      </c>
      <c r="J211">
        <v>47</v>
      </c>
      <c r="K211">
        <f t="shared" si="40"/>
        <v>47</v>
      </c>
      <c r="L211" t="str">
        <f t="shared" si="41"/>
        <v>Third level</v>
      </c>
      <c r="M211" t="s">
        <v>31</v>
      </c>
      <c r="N211" t="s">
        <v>32</v>
      </c>
      <c r="O211" t="s">
        <v>57</v>
      </c>
      <c r="P211">
        <v>15</v>
      </c>
      <c r="Q211">
        <f t="shared" si="42"/>
        <v>15</v>
      </c>
      <c r="R211" t="s">
        <v>76</v>
      </c>
      <c r="S211" s="8" t="s">
        <v>76</v>
      </c>
      <c r="T211" s="9">
        <v>40</v>
      </c>
      <c r="U211" s="9">
        <f t="shared" si="43"/>
        <v>40</v>
      </c>
      <c r="V211" s="10">
        <v>40</v>
      </c>
      <c r="W211">
        <v>2.1</v>
      </c>
      <c r="X211" s="11">
        <f t="shared" si="44"/>
        <v>2.1</v>
      </c>
      <c r="Y211" t="s">
        <v>77</v>
      </c>
      <c r="Z211" t="str">
        <f t="shared" si="45"/>
        <v>yes</v>
      </c>
      <c r="AA211" t="str">
        <f t="shared" si="46"/>
        <v>yes</v>
      </c>
      <c r="AB211" t="str">
        <f t="shared" si="47"/>
        <v>Yes</v>
      </c>
      <c r="AC211" s="12">
        <v>94</v>
      </c>
      <c r="AD211" s="12">
        <f t="shared" si="48"/>
        <v>94</v>
      </c>
    </row>
    <row r="212" spans="1:30" x14ac:dyDescent="0.3">
      <c r="A212" t="s">
        <v>515</v>
      </c>
      <c r="B212" t="s">
        <v>516</v>
      </c>
      <c r="C212" t="s">
        <v>2417</v>
      </c>
      <c r="D212" t="s">
        <v>2386</v>
      </c>
      <c r="E212" t="str">
        <f t="shared" si="37"/>
        <v>Mikayla Henry</v>
      </c>
      <c r="F212" t="str">
        <f t="shared" si="38"/>
        <v>Mikayla Henry</v>
      </c>
      <c r="H212" t="s">
        <v>86</v>
      </c>
      <c r="I212" t="str">
        <f t="shared" si="39"/>
        <v>Female</v>
      </c>
      <c r="J212">
        <v>43</v>
      </c>
      <c r="K212">
        <f t="shared" si="40"/>
        <v>43</v>
      </c>
      <c r="L212" t="str">
        <f t="shared" si="41"/>
        <v>Third level</v>
      </c>
      <c r="M212" t="s">
        <v>138</v>
      </c>
      <c r="N212" t="s">
        <v>24</v>
      </c>
      <c r="O212" t="s">
        <v>25</v>
      </c>
      <c r="P212">
        <v>1</v>
      </c>
      <c r="Q212">
        <f t="shared" si="42"/>
        <v>1</v>
      </c>
      <c r="R212" t="s">
        <v>108</v>
      </c>
      <c r="S212" s="8" t="s">
        <v>2095</v>
      </c>
      <c r="T212" s="9">
        <v>50</v>
      </c>
      <c r="U212" s="9">
        <f t="shared" si="43"/>
        <v>50</v>
      </c>
      <c r="V212" s="10">
        <v>50</v>
      </c>
      <c r="W212">
        <v>4.5999999999999996</v>
      </c>
      <c r="X212" s="11">
        <f t="shared" si="44"/>
        <v>4.5999999999999996</v>
      </c>
      <c r="Y212" t="s">
        <v>2103</v>
      </c>
      <c r="Z212" t="str">
        <f t="shared" si="45"/>
        <v>Yes</v>
      </c>
      <c r="AA212" t="str">
        <f t="shared" si="46"/>
        <v>Yes</v>
      </c>
      <c r="AB212" t="str">
        <f t="shared" si="47"/>
        <v>Yes</v>
      </c>
      <c r="AC212" s="12">
        <v>64</v>
      </c>
      <c r="AD212" s="12">
        <f t="shared" si="48"/>
        <v>64</v>
      </c>
    </row>
    <row r="213" spans="1:30" x14ac:dyDescent="0.3">
      <c r="A213" t="s">
        <v>517</v>
      </c>
      <c r="B213" t="s">
        <v>518</v>
      </c>
      <c r="C213" t="s">
        <v>2418</v>
      </c>
      <c r="D213" t="s">
        <v>2419</v>
      </c>
      <c r="E213" t="str">
        <f t="shared" si="37"/>
        <v>Jacob Kerr</v>
      </c>
      <c r="F213" t="str">
        <f t="shared" si="38"/>
        <v>Jacob Kerr</v>
      </c>
      <c r="H213" t="s">
        <v>107</v>
      </c>
      <c r="I213" t="str">
        <f t="shared" si="39"/>
        <v>Male</v>
      </c>
      <c r="J213">
        <v>57</v>
      </c>
      <c r="K213">
        <f t="shared" si="40"/>
        <v>57</v>
      </c>
      <c r="L213" t="str">
        <f t="shared" si="41"/>
        <v>Fourth level</v>
      </c>
      <c r="M213" t="s">
        <v>122</v>
      </c>
      <c r="N213" t="s">
        <v>123</v>
      </c>
      <c r="O213" t="s">
        <v>87</v>
      </c>
      <c r="P213">
        <v>8</v>
      </c>
      <c r="Q213">
        <f t="shared" si="42"/>
        <v>8</v>
      </c>
      <c r="R213" t="s">
        <v>131</v>
      </c>
      <c r="S213" s="8" t="s">
        <v>131</v>
      </c>
      <c r="T213" s="9">
        <v>20</v>
      </c>
      <c r="U213" s="9">
        <f t="shared" si="43"/>
        <v>20</v>
      </c>
      <c r="V213" s="10">
        <v>20</v>
      </c>
      <c r="W213">
        <v>0</v>
      </c>
      <c r="X213" s="11">
        <f t="shared" si="44"/>
        <v>0</v>
      </c>
      <c r="Y213" t="s">
        <v>77</v>
      </c>
      <c r="Z213" t="str">
        <f t="shared" si="45"/>
        <v>yes</v>
      </c>
      <c r="AA213" t="str">
        <f t="shared" si="46"/>
        <v>yes</v>
      </c>
      <c r="AB213" t="str">
        <f t="shared" si="47"/>
        <v>Yes</v>
      </c>
      <c r="AC213" s="12">
        <v>84</v>
      </c>
      <c r="AD213" s="12">
        <f t="shared" si="48"/>
        <v>84</v>
      </c>
    </row>
    <row r="214" spans="1:30" x14ac:dyDescent="0.3">
      <c r="A214" t="s">
        <v>519</v>
      </c>
      <c r="B214" t="s">
        <v>520</v>
      </c>
      <c r="C214" t="s">
        <v>2420</v>
      </c>
      <c r="D214" t="s">
        <v>2117</v>
      </c>
      <c r="E214" t="str">
        <f t="shared" si="37"/>
        <v>Ryan Johnson</v>
      </c>
      <c r="F214" t="str">
        <f t="shared" si="38"/>
        <v>Ryan Johnson</v>
      </c>
      <c r="H214" t="s">
        <v>30</v>
      </c>
      <c r="I214" t="str">
        <f t="shared" si="39"/>
        <v>Male</v>
      </c>
      <c r="J214">
        <v>52</v>
      </c>
      <c r="K214">
        <f t="shared" si="40"/>
        <v>52</v>
      </c>
      <c r="L214" t="str">
        <f t="shared" si="41"/>
        <v>Fourth level</v>
      </c>
      <c r="M214" t="s">
        <v>15</v>
      </c>
      <c r="N214" t="s">
        <v>16</v>
      </c>
      <c r="O214" t="s">
        <v>124</v>
      </c>
      <c r="P214">
        <v>30</v>
      </c>
      <c r="Q214">
        <f t="shared" si="42"/>
        <v>30</v>
      </c>
      <c r="R214" t="s">
        <v>131</v>
      </c>
      <c r="S214" s="8" t="s">
        <v>131</v>
      </c>
      <c r="T214" s="9">
        <v>20</v>
      </c>
      <c r="U214" s="9">
        <f t="shared" si="43"/>
        <v>20</v>
      </c>
      <c r="V214" s="10">
        <v>20</v>
      </c>
      <c r="W214">
        <v>2.8</v>
      </c>
      <c r="X214" s="11">
        <f t="shared" si="44"/>
        <v>2.8</v>
      </c>
      <c r="Y214" t="s">
        <v>170</v>
      </c>
      <c r="Z214" t="str">
        <f t="shared" si="45"/>
        <v>no</v>
      </c>
      <c r="AA214" t="str">
        <f t="shared" si="46"/>
        <v>no</v>
      </c>
      <c r="AB214" t="str">
        <f t="shared" si="47"/>
        <v>No</v>
      </c>
      <c r="AC214" s="12">
        <v>87</v>
      </c>
      <c r="AD214" s="12">
        <f t="shared" si="48"/>
        <v>87</v>
      </c>
    </row>
    <row r="215" spans="1:30" x14ac:dyDescent="0.3">
      <c r="A215" t="s">
        <v>521</v>
      </c>
      <c r="B215" t="s">
        <v>522</v>
      </c>
      <c r="C215" t="s">
        <v>2166</v>
      </c>
      <c r="D215" t="s">
        <v>2421</v>
      </c>
      <c r="E215" t="str">
        <f t="shared" si="37"/>
        <v>Michael Ruiz</v>
      </c>
      <c r="F215" t="str">
        <f t="shared" si="38"/>
        <v>Michael Ruiz</v>
      </c>
      <c r="H215" t="s">
        <v>69</v>
      </c>
      <c r="I215" t="str">
        <f t="shared" si="39"/>
        <v>Male</v>
      </c>
      <c r="K215">
        <f t="shared" si="40"/>
        <v>41</v>
      </c>
      <c r="L215" t="str">
        <f t="shared" si="41"/>
        <v>Third level</v>
      </c>
      <c r="M215" t="s">
        <v>31</v>
      </c>
      <c r="N215" t="s">
        <v>32</v>
      </c>
      <c r="O215" t="s">
        <v>17</v>
      </c>
      <c r="P215">
        <v>8</v>
      </c>
      <c r="Q215">
        <f t="shared" si="42"/>
        <v>8</v>
      </c>
      <c r="R215" t="s">
        <v>40</v>
      </c>
      <c r="S215" s="8" t="s">
        <v>40</v>
      </c>
      <c r="T215" s="9">
        <v>40</v>
      </c>
      <c r="U215" s="9">
        <f t="shared" si="43"/>
        <v>40</v>
      </c>
      <c r="V215" s="10">
        <v>40</v>
      </c>
      <c r="W215">
        <v>0</v>
      </c>
      <c r="X215" s="11">
        <f t="shared" si="44"/>
        <v>0</v>
      </c>
      <c r="Y215" t="s">
        <v>2102</v>
      </c>
      <c r="Z215" t="str">
        <f t="shared" si="45"/>
        <v>No</v>
      </c>
      <c r="AA215" t="str">
        <f t="shared" si="46"/>
        <v>No</v>
      </c>
      <c r="AB215" t="str">
        <f t="shared" si="47"/>
        <v>No</v>
      </c>
      <c r="AC215" s="12">
        <v>64</v>
      </c>
      <c r="AD215" s="12">
        <f t="shared" si="48"/>
        <v>64</v>
      </c>
    </row>
    <row r="216" spans="1:30" x14ac:dyDescent="0.3">
      <c r="A216" t="s">
        <v>523</v>
      </c>
      <c r="B216" t="s">
        <v>524</v>
      </c>
      <c r="C216" t="s">
        <v>2422</v>
      </c>
      <c r="D216" t="s">
        <v>2423</v>
      </c>
      <c r="E216" t="str">
        <f t="shared" si="37"/>
        <v>Monica Roberts</v>
      </c>
      <c r="F216" t="str">
        <f t="shared" si="38"/>
        <v>Monica Roberts</v>
      </c>
      <c r="H216" t="s">
        <v>43</v>
      </c>
      <c r="I216" t="str">
        <f t="shared" si="39"/>
        <v>Female</v>
      </c>
      <c r="J216">
        <v>22</v>
      </c>
      <c r="K216">
        <f t="shared" si="40"/>
        <v>22</v>
      </c>
      <c r="L216" t="str">
        <f t="shared" si="41"/>
        <v>First level</v>
      </c>
      <c r="M216" t="s">
        <v>55</v>
      </c>
      <c r="N216" t="s">
        <v>56</v>
      </c>
      <c r="O216" t="s">
        <v>124</v>
      </c>
      <c r="P216">
        <v>0</v>
      </c>
      <c r="Q216">
        <f t="shared" si="42"/>
        <v>0</v>
      </c>
      <c r="R216" t="s">
        <v>18</v>
      </c>
      <c r="S216" s="8" t="s">
        <v>18</v>
      </c>
      <c r="T216" s="9">
        <v>100</v>
      </c>
      <c r="U216" s="9">
        <f t="shared" si="43"/>
        <v>100</v>
      </c>
      <c r="V216" s="10">
        <v>100</v>
      </c>
      <c r="W216">
        <v>2.7</v>
      </c>
      <c r="X216" s="11">
        <f t="shared" si="44"/>
        <v>2.7</v>
      </c>
      <c r="Y216" t="s">
        <v>2103</v>
      </c>
      <c r="Z216" t="str">
        <f t="shared" si="45"/>
        <v>Yes</v>
      </c>
      <c r="AA216" t="str">
        <f t="shared" si="46"/>
        <v>Yes</v>
      </c>
      <c r="AB216" t="str">
        <f t="shared" si="47"/>
        <v>Yes</v>
      </c>
      <c r="AC216" s="12">
        <v>64</v>
      </c>
      <c r="AD216" s="12">
        <f t="shared" si="48"/>
        <v>64</v>
      </c>
    </row>
    <row r="217" spans="1:30" x14ac:dyDescent="0.3">
      <c r="A217" t="s">
        <v>525</v>
      </c>
      <c r="B217" t="s">
        <v>526</v>
      </c>
      <c r="C217" t="s">
        <v>2424</v>
      </c>
      <c r="D217" t="s">
        <v>2186</v>
      </c>
      <c r="E217" t="str">
        <f t="shared" si="37"/>
        <v>Danny Brown</v>
      </c>
      <c r="F217" t="str">
        <f t="shared" si="38"/>
        <v>Danny Brown</v>
      </c>
      <c r="H217" t="s">
        <v>107</v>
      </c>
      <c r="I217" t="str">
        <f t="shared" si="39"/>
        <v>Male</v>
      </c>
      <c r="K217">
        <f t="shared" si="40"/>
        <v>41</v>
      </c>
      <c r="L217" t="str">
        <f t="shared" si="41"/>
        <v>Third level</v>
      </c>
      <c r="M217" t="s">
        <v>103</v>
      </c>
      <c r="N217" t="s">
        <v>104</v>
      </c>
      <c r="O217" t="s">
        <v>124</v>
      </c>
      <c r="P217">
        <v>12</v>
      </c>
      <c r="Q217">
        <f t="shared" si="42"/>
        <v>12</v>
      </c>
      <c r="R217" t="s">
        <v>131</v>
      </c>
      <c r="S217" s="8" t="s">
        <v>131</v>
      </c>
      <c r="T217" s="9">
        <v>20</v>
      </c>
      <c r="U217" s="9">
        <f t="shared" si="43"/>
        <v>20</v>
      </c>
      <c r="V217" s="10">
        <v>20</v>
      </c>
      <c r="W217">
        <v>0</v>
      </c>
      <c r="X217" s="11">
        <f t="shared" si="44"/>
        <v>0</v>
      </c>
      <c r="Y217" t="s">
        <v>2103</v>
      </c>
      <c r="Z217" t="str">
        <f t="shared" si="45"/>
        <v>Yes</v>
      </c>
      <c r="AA217" t="str">
        <f t="shared" si="46"/>
        <v>Yes</v>
      </c>
      <c r="AB217" t="str">
        <f t="shared" si="47"/>
        <v>Yes</v>
      </c>
      <c r="AC217" s="12">
        <v>80</v>
      </c>
      <c r="AD217" s="12">
        <f t="shared" si="48"/>
        <v>80</v>
      </c>
    </row>
    <row r="218" spans="1:30" x14ac:dyDescent="0.3">
      <c r="A218" t="s">
        <v>527</v>
      </c>
      <c r="B218" t="s">
        <v>528</v>
      </c>
      <c r="C218" t="s">
        <v>2425</v>
      </c>
      <c r="D218" t="s">
        <v>2369</v>
      </c>
      <c r="E218" t="str">
        <f t="shared" si="37"/>
        <v>Karen Larsen</v>
      </c>
      <c r="F218" t="str">
        <f t="shared" si="38"/>
        <v>Karen Larsen</v>
      </c>
      <c r="H218" t="s">
        <v>86</v>
      </c>
      <c r="I218" t="str">
        <f t="shared" si="39"/>
        <v>Female</v>
      </c>
      <c r="J218">
        <v>58</v>
      </c>
      <c r="K218">
        <f t="shared" si="40"/>
        <v>58</v>
      </c>
      <c r="L218" t="str">
        <f t="shared" si="41"/>
        <v>Fourth level</v>
      </c>
      <c r="M218" t="s">
        <v>201</v>
      </c>
      <c r="N218" t="s">
        <v>81</v>
      </c>
      <c r="O218" t="s">
        <v>25</v>
      </c>
      <c r="P218">
        <v>4</v>
      </c>
      <c r="Q218">
        <f t="shared" si="42"/>
        <v>4</v>
      </c>
      <c r="R218" t="s">
        <v>72</v>
      </c>
      <c r="S218" s="8" t="s">
        <v>72</v>
      </c>
      <c r="T218" s="9">
        <v>50</v>
      </c>
      <c r="U218" s="9">
        <f t="shared" si="43"/>
        <v>50</v>
      </c>
      <c r="V218" s="10">
        <v>50</v>
      </c>
      <c r="W218">
        <v>3.1</v>
      </c>
      <c r="X218" s="11">
        <f t="shared" si="44"/>
        <v>3.1</v>
      </c>
      <c r="Y218" t="s">
        <v>2102</v>
      </c>
      <c r="Z218" t="str">
        <f t="shared" si="45"/>
        <v>No</v>
      </c>
      <c r="AA218" t="str">
        <f t="shared" si="46"/>
        <v>No</v>
      </c>
      <c r="AB218" t="str">
        <f t="shared" si="47"/>
        <v>No</v>
      </c>
      <c r="AC218" s="12">
        <v>90</v>
      </c>
      <c r="AD218" s="12">
        <f t="shared" si="48"/>
        <v>90</v>
      </c>
    </row>
    <row r="219" spans="1:30" x14ac:dyDescent="0.3">
      <c r="A219" t="s">
        <v>529</v>
      </c>
      <c r="B219" t="s">
        <v>530</v>
      </c>
      <c r="C219" t="s">
        <v>2165</v>
      </c>
      <c r="D219" t="s">
        <v>2426</v>
      </c>
      <c r="E219" t="str">
        <f t="shared" si="37"/>
        <v>Robert Evans</v>
      </c>
      <c r="F219" t="str">
        <f t="shared" si="38"/>
        <v>Robert Evans</v>
      </c>
      <c r="H219" t="s">
        <v>107</v>
      </c>
      <c r="I219" t="str">
        <f t="shared" si="39"/>
        <v>Male</v>
      </c>
      <c r="J219">
        <v>39</v>
      </c>
      <c r="K219">
        <f t="shared" si="40"/>
        <v>39</v>
      </c>
      <c r="L219" t="str">
        <f t="shared" si="41"/>
        <v>Second level</v>
      </c>
      <c r="M219" t="s">
        <v>122</v>
      </c>
      <c r="N219" t="s">
        <v>123</v>
      </c>
      <c r="O219" t="s">
        <v>39</v>
      </c>
      <c r="P219">
        <v>14</v>
      </c>
      <c r="Q219">
        <f t="shared" si="42"/>
        <v>14</v>
      </c>
      <c r="R219" t="s">
        <v>26</v>
      </c>
      <c r="S219" s="8" t="s">
        <v>18</v>
      </c>
      <c r="T219" s="9">
        <v>100</v>
      </c>
      <c r="U219" s="9">
        <f t="shared" si="43"/>
        <v>100</v>
      </c>
      <c r="V219" s="10">
        <v>100</v>
      </c>
      <c r="W219">
        <v>0</v>
      </c>
      <c r="X219" s="11">
        <f t="shared" si="44"/>
        <v>0</v>
      </c>
      <c r="Y219" t="s">
        <v>2103</v>
      </c>
      <c r="Z219" t="str">
        <f t="shared" si="45"/>
        <v>Yes</v>
      </c>
      <c r="AA219" t="str">
        <f t="shared" si="46"/>
        <v>Yes</v>
      </c>
      <c r="AB219" t="str">
        <f t="shared" si="47"/>
        <v>Yes</v>
      </c>
      <c r="AC219" s="12">
        <v>92</v>
      </c>
      <c r="AD219" s="12">
        <f t="shared" si="48"/>
        <v>92</v>
      </c>
    </row>
    <row r="220" spans="1:30" x14ac:dyDescent="0.3">
      <c r="A220" t="s">
        <v>531</v>
      </c>
      <c r="B220" t="s">
        <v>532</v>
      </c>
      <c r="C220" t="s">
        <v>2122</v>
      </c>
      <c r="D220" t="s">
        <v>2427</v>
      </c>
      <c r="E220" t="str">
        <f t="shared" si="37"/>
        <v>Sean Poole</v>
      </c>
      <c r="F220" t="str">
        <f t="shared" si="38"/>
        <v>Sean Poole</v>
      </c>
      <c r="H220" t="s">
        <v>107</v>
      </c>
      <c r="I220" t="str">
        <f t="shared" si="39"/>
        <v>Male</v>
      </c>
      <c r="J220">
        <v>32</v>
      </c>
      <c r="K220">
        <f t="shared" si="40"/>
        <v>32</v>
      </c>
      <c r="L220" t="str">
        <f t="shared" si="41"/>
        <v>Second level</v>
      </c>
      <c r="M220" t="s">
        <v>55</v>
      </c>
      <c r="N220" t="s">
        <v>56</v>
      </c>
      <c r="O220" t="s">
        <v>33</v>
      </c>
      <c r="P220">
        <v>14</v>
      </c>
      <c r="Q220">
        <f t="shared" si="42"/>
        <v>14</v>
      </c>
      <c r="R220" t="s">
        <v>65</v>
      </c>
      <c r="S220" s="8" t="s">
        <v>65</v>
      </c>
      <c r="T220" s="9"/>
      <c r="U220" s="9">
        <f t="shared" si="43"/>
        <v>52.849083215796895</v>
      </c>
      <c r="V220" s="10">
        <v>52.849083215796895</v>
      </c>
      <c r="X220" s="11">
        <f t="shared" si="44"/>
        <v>2.5529327610872663</v>
      </c>
      <c r="Y220" t="s">
        <v>2102</v>
      </c>
      <c r="Z220" t="str">
        <f t="shared" si="45"/>
        <v>No</v>
      </c>
      <c r="AA220" t="str">
        <f t="shared" si="46"/>
        <v>No</v>
      </c>
      <c r="AB220" t="str">
        <f t="shared" si="47"/>
        <v>No</v>
      </c>
      <c r="AC220" s="12">
        <v>96</v>
      </c>
      <c r="AD220" s="12">
        <f t="shared" si="48"/>
        <v>96</v>
      </c>
    </row>
    <row r="221" spans="1:30" x14ac:dyDescent="0.3">
      <c r="A221" t="s">
        <v>533</v>
      </c>
      <c r="B221" t="s">
        <v>534</v>
      </c>
      <c r="C221" t="s">
        <v>2428</v>
      </c>
      <c r="D221" t="s">
        <v>2429</v>
      </c>
      <c r="E221" t="str">
        <f t="shared" si="37"/>
        <v>Richard Quinn</v>
      </c>
      <c r="F221" t="str">
        <f t="shared" si="38"/>
        <v>Richard Quinn</v>
      </c>
      <c r="H221" t="s">
        <v>107</v>
      </c>
      <c r="I221" t="str">
        <f t="shared" si="39"/>
        <v>Male</v>
      </c>
      <c r="J221">
        <v>37</v>
      </c>
      <c r="K221">
        <f t="shared" si="40"/>
        <v>37</v>
      </c>
      <c r="L221" t="str">
        <f t="shared" si="41"/>
        <v>Second level</v>
      </c>
      <c r="M221" t="s">
        <v>138</v>
      </c>
      <c r="N221" t="s">
        <v>24</v>
      </c>
      <c r="O221" t="s">
        <v>82</v>
      </c>
      <c r="P221">
        <v>2</v>
      </c>
      <c r="Q221">
        <f t="shared" si="42"/>
        <v>2</v>
      </c>
      <c r="R221" t="s">
        <v>50</v>
      </c>
      <c r="S221" s="8" t="s">
        <v>50</v>
      </c>
      <c r="T221" s="9">
        <v>30</v>
      </c>
      <c r="U221" s="9">
        <f t="shared" si="43"/>
        <v>30</v>
      </c>
      <c r="V221" s="10">
        <v>30</v>
      </c>
      <c r="W221">
        <v>2.2999999999999998</v>
      </c>
      <c r="X221" s="11">
        <f t="shared" si="44"/>
        <v>2.2999999999999998</v>
      </c>
      <c r="Y221" t="s">
        <v>77</v>
      </c>
      <c r="Z221" t="str">
        <f t="shared" si="45"/>
        <v>yes</v>
      </c>
      <c r="AA221" t="str">
        <f t="shared" si="46"/>
        <v>yes</v>
      </c>
      <c r="AB221" t="str">
        <f t="shared" si="47"/>
        <v>Yes</v>
      </c>
      <c r="AC221" s="12"/>
      <c r="AD221" s="12">
        <f t="shared" si="48"/>
        <v>79.572093023255817</v>
      </c>
    </row>
    <row r="222" spans="1:30" x14ac:dyDescent="0.3">
      <c r="A222" t="s">
        <v>535</v>
      </c>
      <c r="B222" t="s">
        <v>536</v>
      </c>
      <c r="C222" t="s">
        <v>2151</v>
      </c>
      <c r="D222" t="s">
        <v>2430</v>
      </c>
      <c r="E222" t="str">
        <f t="shared" si="37"/>
        <v>Jennifer Gonzalez</v>
      </c>
      <c r="F222" t="str">
        <f t="shared" si="38"/>
        <v>Jennifer Gonzalez</v>
      </c>
      <c r="H222" t="s">
        <v>22</v>
      </c>
      <c r="I222" t="str">
        <f t="shared" si="39"/>
        <v>Female</v>
      </c>
      <c r="J222">
        <v>21</v>
      </c>
      <c r="K222">
        <f t="shared" si="40"/>
        <v>21</v>
      </c>
      <c r="L222" t="str">
        <f t="shared" si="41"/>
        <v>First level</v>
      </c>
      <c r="M222" t="s">
        <v>186</v>
      </c>
      <c r="N222" t="s">
        <v>187</v>
      </c>
      <c r="O222" t="s">
        <v>87</v>
      </c>
      <c r="P222">
        <v>2</v>
      </c>
      <c r="Q222">
        <f t="shared" si="42"/>
        <v>2</v>
      </c>
      <c r="R222" t="s">
        <v>18</v>
      </c>
      <c r="S222" s="8" t="s">
        <v>18</v>
      </c>
      <c r="T222" s="9">
        <v>100</v>
      </c>
      <c r="U222" s="9">
        <f t="shared" si="43"/>
        <v>100</v>
      </c>
      <c r="V222" s="10">
        <v>100</v>
      </c>
      <c r="W222">
        <v>2.4</v>
      </c>
      <c r="X222" s="11">
        <f t="shared" si="44"/>
        <v>2.4</v>
      </c>
      <c r="Y222" t="s">
        <v>2103</v>
      </c>
      <c r="Z222" t="str">
        <f t="shared" si="45"/>
        <v>Yes</v>
      </c>
      <c r="AA222" t="str">
        <f t="shared" si="46"/>
        <v>Yes</v>
      </c>
      <c r="AB222" t="str">
        <f t="shared" si="47"/>
        <v>Yes</v>
      </c>
      <c r="AC222" s="12"/>
      <c r="AD222" s="12">
        <f t="shared" si="48"/>
        <v>79.572093023255817</v>
      </c>
    </row>
    <row r="223" spans="1:30" x14ac:dyDescent="0.3">
      <c r="A223" t="s">
        <v>537</v>
      </c>
      <c r="B223" t="s">
        <v>538</v>
      </c>
      <c r="C223" t="s">
        <v>2143</v>
      </c>
      <c r="D223" t="s">
        <v>2431</v>
      </c>
      <c r="E223" t="str">
        <f t="shared" si="37"/>
        <v>James Skinner</v>
      </c>
      <c r="F223" t="str">
        <f t="shared" si="38"/>
        <v>James Skinner</v>
      </c>
      <c r="H223" t="s">
        <v>69</v>
      </c>
      <c r="I223" t="str">
        <f t="shared" si="39"/>
        <v>Male</v>
      </c>
      <c r="J223">
        <v>41</v>
      </c>
      <c r="K223">
        <f t="shared" si="40"/>
        <v>41</v>
      </c>
      <c r="L223" t="str">
        <f t="shared" si="41"/>
        <v>Third level</v>
      </c>
      <c r="M223" t="s">
        <v>122</v>
      </c>
      <c r="N223" t="s">
        <v>123</v>
      </c>
      <c r="O223" t="s">
        <v>124</v>
      </c>
      <c r="P223">
        <v>4</v>
      </c>
      <c r="Q223">
        <f t="shared" si="42"/>
        <v>4</v>
      </c>
      <c r="R223" t="s">
        <v>92</v>
      </c>
      <c r="S223" s="8" t="s">
        <v>92</v>
      </c>
      <c r="T223" s="9">
        <v>75</v>
      </c>
      <c r="U223" s="9">
        <f t="shared" si="43"/>
        <v>75</v>
      </c>
      <c r="V223" s="10">
        <v>75</v>
      </c>
      <c r="W223">
        <v>2.6</v>
      </c>
      <c r="X223" s="11">
        <f t="shared" si="44"/>
        <v>2.6</v>
      </c>
      <c r="Y223" t="s">
        <v>65</v>
      </c>
      <c r="AA223" t="str">
        <f t="shared" si="46"/>
        <v>Unknown</v>
      </c>
      <c r="AB223" t="str">
        <f t="shared" si="47"/>
        <v>Unknown</v>
      </c>
      <c r="AC223" s="12">
        <v>85</v>
      </c>
      <c r="AD223" s="12">
        <f t="shared" si="48"/>
        <v>85</v>
      </c>
    </row>
    <row r="224" spans="1:30" x14ac:dyDescent="0.3">
      <c r="A224" t="s">
        <v>539</v>
      </c>
      <c r="B224" t="s">
        <v>540</v>
      </c>
      <c r="C224" t="s">
        <v>2128</v>
      </c>
      <c r="D224" t="s">
        <v>2432</v>
      </c>
      <c r="E224" t="str">
        <f t="shared" si="37"/>
        <v>Michelle Hill</v>
      </c>
      <c r="F224" t="str">
        <f t="shared" si="38"/>
        <v>Michelle Hill</v>
      </c>
      <c r="H224" t="s">
        <v>86</v>
      </c>
      <c r="I224" t="str">
        <f t="shared" si="39"/>
        <v>Female</v>
      </c>
      <c r="J224">
        <v>21</v>
      </c>
      <c r="K224">
        <f t="shared" si="40"/>
        <v>21</v>
      </c>
      <c r="L224" t="str">
        <f t="shared" si="41"/>
        <v>First level</v>
      </c>
      <c r="M224" t="s">
        <v>138</v>
      </c>
      <c r="N224" t="s">
        <v>24</v>
      </c>
      <c r="O224" t="s">
        <v>49</v>
      </c>
      <c r="P224">
        <v>0</v>
      </c>
      <c r="Q224">
        <f t="shared" si="42"/>
        <v>0</v>
      </c>
      <c r="R224" t="s">
        <v>61</v>
      </c>
      <c r="S224" s="8" t="s">
        <v>2094</v>
      </c>
      <c r="T224" s="9">
        <v>40</v>
      </c>
      <c r="U224" s="9">
        <f t="shared" si="43"/>
        <v>40</v>
      </c>
      <c r="V224" s="10">
        <v>40</v>
      </c>
      <c r="W224">
        <v>1.1000000000000001</v>
      </c>
      <c r="X224" s="11">
        <f t="shared" si="44"/>
        <v>1.1000000000000001</v>
      </c>
      <c r="Y224" t="s">
        <v>2102</v>
      </c>
      <c r="Z224" t="str">
        <f t="shared" si="45"/>
        <v>No</v>
      </c>
      <c r="AA224" t="str">
        <f t="shared" si="46"/>
        <v>No</v>
      </c>
      <c r="AB224" t="str">
        <f t="shared" si="47"/>
        <v>No</v>
      </c>
      <c r="AC224" s="12">
        <v>79</v>
      </c>
      <c r="AD224" s="12">
        <f t="shared" si="48"/>
        <v>79</v>
      </c>
    </row>
    <row r="225" spans="1:30" x14ac:dyDescent="0.3">
      <c r="A225" t="s">
        <v>541</v>
      </c>
      <c r="B225" t="s">
        <v>542</v>
      </c>
      <c r="C225" t="s">
        <v>2433</v>
      </c>
      <c r="D225" t="s">
        <v>2181</v>
      </c>
      <c r="E225" t="str">
        <f t="shared" si="37"/>
        <v>Jacqueline Williams</v>
      </c>
      <c r="F225" t="str">
        <f t="shared" si="38"/>
        <v>Jacqueline Williams</v>
      </c>
      <c r="H225" t="s">
        <v>86</v>
      </c>
      <c r="I225" t="str">
        <f t="shared" si="39"/>
        <v>Female</v>
      </c>
      <c r="J225">
        <v>58</v>
      </c>
      <c r="K225">
        <f t="shared" si="40"/>
        <v>58</v>
      </c>
      <c r="L225" t="str">
        <f t="shared" si="41"/>
        <v>Fourth level</v>
      </c>
      <c r="M225" t="s">
        <v>186</v>
      </c>
      <c r="N225" t="s">
        <v>187</v>
      </c>
      <c r="O225" t="s">
        <v>124</v>
      </c>
      <c r="P225">
        <v>9</v>
      </c>
      <c r="Q225">
        <f t="shared" si="42"/>
        <v>9</v>
      </c>
      <c r="R225" t="s">
        <v>44</v>
      </c>
      <c r="S225" s="8" t="s">
        <v>44</v>
      </c>
      <c r="T225" s="9">
        <v>30</v>
      </c>
      <c r="U225" s="9">
        <f t="shared" si="43"/>
        <v>30</v>
      </c>
      <c r="V225" s="10">
        <v>30</v>
      </c>
      <c r="W225">
        <v>0</v>
      </c>
      <c r="X225" s="11">
        <f t="shared" si="44"/>
        <v>0</v>
      </c>
      <c r="Y225" t="s">
        <v>2103</v>
      </c>
      <c r="Z225" t="str">
        <f t="shared" si="45"/>
        <v>Yes</v>
      </c>
      <c r="AA225" t="str">
        <f t="shared" si="46"/>
        <v>Yes</v>
      </c>
      <c r="AB225" t="str">
        <f t="shared" si="47"/>
        <v>Yes</v>
      </c>
      <c r="AC225" s="12">
        <v>65</v>
      </c>
      <c r="AD225" s="12">
        <f t="shared" si="48"/>
        <v>65</v>
      </c>
    </row>
    <row r="226" spans="1:30" x14ac:dyDescent="0.3">
      <c r="A226" t="s">
        <v>543</v>
      </c>
      <c r="B226" t="s">
        <v>544</v>
      </c>
      <c r="C226" t="s">
        <v>2434</v>
      </c>
      <c r="D226" t="s">
        <v>2117</v>
      </c>
      <c r="E226" t="str">
        <f t="shared" si="37"/>
        <v>Darrell Johnson</v>
      </c>
      <c r="F226" t="str">
        <f t="shared" si="38"/>
        <v>Darrell Johnson</v>
      </c>
      <c r="H226" t="s">
        <v>107</v>
      </c>
      <c r="I226" t="str">
        <f t="shared" si="39"/>
        <v>Male</v>
      </c>
      <c r="J226">
        <v>60</v>
      </c>
      <c r="K226">
        <f t="shared" si="40"/>
        <v>60</v>
      </c>
      <c r="L226" t="str">
        <f t="shared" si="41"/>
        <v>Fourth level</v>
      </c>
      <c r="M226" t="s">
        <v>138</v>
      </c>
      <c r="N226" t="s">
        <v>24</v>
      </c>
      <c r="O226" t="s">
        <v>124</v>
      </c>
      <c r="P226">
        <v>3</v>
      </c>
      <c r="Q226">
        <f t="shared" si="42"/>
        <v>3</v>
      </c>
      <c r="R226" t="s">
        <v>76</v>
      </c>
      <c r="S226" s="8" t="s">
        <v>76</v>
      </c>
      <c r="T226" s="9">
        <v>40</v>
      </c>
      <c r="U226" s="9">
        <f t="shared" si="43"/>
        <v>40</v>
      </c>
      <c r="V226" s="10">
        <v>40</v>
      </c>
      <c r="W226">
        <v>4.7</v>
      </c>
      <c r="X226" s="11">
        <f t="shared" si="44"/>
        <v>4.7</v>
      </c>
      <c r="Y226" t="s">
        <v>2102</v>
      </c>
      <c r="Z226" t="str">
        <f t="shared" si="45"/>
        <v>No</v>
      </c>
      <c r="AA226" t="str">
        <f t="shared" si="46"/>
        <v>No</v>
      </c>
      <c r="AB226" t="str">
        <f t="shared" si="47"/>
        <v>No</v>
      </c>
      <c r="AC226" s="12">
        <v>63</v>
      </c>
      <c r="AD226" s="12">
        <f t="shared" si="48"/>
        <v>63</v>
      </c>
    </row>
    <row r="227" spans="1:30" x14ac:dyDescent="0.3">
      <c r="A227" t="s">
        <v>545</v>
      </c>
      <c r="B227" t="s">
        <v>546</v>
      </c>
      <c r="C227" t="s">
        <v>2420</v>
      </c>
      <c r="D227" t="s">
        <v>2435</v>
      </c>
      <c r="E227" t="str">
        <f t="shared" si="37"/>
        <v>Ryan Crawford</v>
      </c>
      <c r="F227" t="str">
        <f t="shared" si="38"/>
        <v>Ryan Crawford</v>
      </c>
      <c r="H227" t="s">
        <v>107</v>
      </c>
      <c r="I227" t="str">
        <f t="shared" si="39"/>
        <v>Male</v>
      </c>
      <c r="J227">
        <v>27</v>
      </c>
      <c r="K227">
        <f t="shared" si="40"/>
        <v>27</v>
      </c>
      <c r="L227" t="str">
        <f t="shared" si="41"/>
        <v>First level</v>
      </c>
      <c r="M227" t="s">
        <v>164</v>
      </c>
      <c r="N227" t="s">
        <v>165</v>
      </c>
      <c r="O227" t="s">
        <v>39</v>
      </c>
      <c r="P227">
        <v>2</v>
      </c>
      <c r="Q227">
        <f t="shared" si="42"/>
        <v>2</v>
      </c>
      <c r="R227" t="s">
        <v>40</v>
      </c>
      <c r="S227" s="8" t="s">
        <v>40</v>
      </c>
      <c r="T227" s="9">
        <v>40</v>
      </c>
      <c r="U227" s="9">
        <f t="shared" si="43"/>
        <v>40</v>
      </c>
      <c r="V227" s="10">
        <v>40</v>
      </c>
      <c r="W227">
        <v>1.2</v>
      </c>
      <c r="X227" s="11">
        <f t="shared" si="44"/>
        <v>1.2</v>
      </c>
      <c r="Y227" t="s">
        <v>2102</v>
      </c>
      <c r="Z227" t="str">
        <f t="shared" si="45"/>
        <v>No</v>
      </c>
      <c r="AA227" t="str">
        <f t="shared" si="46"/>
        <v>No</v>
      </c>
      <c r="AB227" t="str">
        <f t="shared" si="47"/>
        <v>No</v>
      </c>
      <c r="AC227" s="12"/>
      <c r="AD227" s="12">
        <f t="shared" si="48"/>
        <v>79.613104524180969</v>
      </c>
    </row>
    <row r="228" spans="1:30" x14ac:dyDescent="0.3">
      <c r="A228" t="s">
        <v>547</v>
      </c>
      <c r="B228" t="s">
        <v>548</v>
      </c>
      <c r="C228" t="s">
        <v>2436</v>
      </c>
      <c r="D228" t="s">
        <v>2437</v>
      </c>
      <c r="E228" t="str">
        <f t="shared" si="37"/>
        <v>Chelsea Barber</v>
      </c>
      <c r="F228" t="str">
        <f t="shared" si="38"/>
        <v>Chelsea Barber</v>
      </c>
      <c r="H228" t="s">
        <v>86</v>
      </c>
      <c r="I228" t="str">
        <f t="shared" si="39"/>
        <v>Female</v>
      </c>
      <c r="J228">
        <v>29</v>
      </c>
      <c r="K228">
        <f t="shared" si="40"/>
        <v>29</v>
      </c>
      <c r="L228" t="str">
        <f t="shared" si="41"/>
        <v>First level</v>
      </c>
      <c r="M228" t="s">
        <v>31</v>
      </c>
      <c r="N228" t="s">
        <v>32</v>
      </c>
      <c r="O228" t="s">
        <v>124</v>
      </c>
      <c r="P228">
        <v>10</v>
      </c>
      <c r="Q228">
        <f t="shared" si="42"/>
        <v>10</v>
      </c>
      <c r="R228" t="s">
        <v>61</v>
      </c>
      <c r="S228" s="8" t="s">
        <v>2094</v>
      </c>
      <c r="T228" s="9">
        <v>40</v>
      </c>
      <c r="U228" s="9">
        <f t="shared" si="43"/>
        <v>40</v>
      </c>
      <c r="V228" s="10">
        <v>40</v>
      </c>
      <c r="W228">
        <v>1.2</v>
      </c>
      <c r="X228" s="11">
        <f t="shared" si="44"/>
        <v>1.2</v>
      </c>
      <c r="Y228" t="s">
        <v>2102</v>
      </c>
      <c r="Z228" t="str">
        <f t="shared" si="45"/>
        <v>No</v>
      </c>
      <c r="AA228" t="str">
        <f t="shared" si="46"/>
        <v>No</v>
      </c>
      <c r="AB228" t="str">
        <f t="shared" si="47"/>
        <v>No</v>
      </c>
      <c r="AC228" s="12">
        <v>78</v>
      </c>
      <c r="AD228" s="12">
        <f t="shared" si="48"/>
        <v>78</v>
      </c>
    </row>
    <row r="229" spans="1:30" x14ac:dyDescent="0.3">
      <c r="A229" t="s">
        <v>549</v>
      </c>
      <c r="B229" t="s">
        <v>550</v>
      </c>
      <c r="C229" t="s">
        <v>2438</v>
      </c>
      <c r="D229" t="s">
        <v>2405</v>
      </c>
      <c r="E229" t="str">
        <f t="shared" si="37"/>
        <v>Elaine Martinez</v>
      </c>
      <c r="F229" t="str">
        <f t="shared" si="38"/>
        <v>Elaine Martinez</v>
      </c>
      <c r="H229" t="s">
        <v>86</v>
      </c>
      <c r="I229" t="str">
        <f t="shared" si="39"/>
        <v>Female</v>
      </c>
      <c r="J229">
        <v>54</v>
      </c>
      <c r="K229">
        <f t="shared" si="40"/>
        <v>54</v>
      </c>
      <c r="L229" t="str">
        <f t="shared" si="41"/>
        <v>Fourth level</v>
      </c>
      <c r="M229" t="s">
        <v>138</v>
      </c>
      <c r="N229" t="s">
        <v>24</v>
      </c>
      <c r="O229" t="s">
        <v>33</v>
      </c>
      <c r="P229">
        <v>33</v>
      </c>
      <c r="Q229">
        <f t="shared" si="42"/>
        <v>33</v>
      </c>
      <c r="R229" t="s">
        <v>181</v>
      </c>
      <c r="S229" s="8" t="s">
        <v>181</v>
      </c>
      <c r="T229" s="9">
        <v>75</v>
      </c>
      <c r="U229" s="9">
        <f t="shared" si="43"/>
        <v>75</v>
      </c>
      <c r="V229" s="10">
        <v>75</v>
      </c>
      <c r="W229">
        <v>0</v>
      </c>
      <c r="X229" s="11">
        <f t="shared" si="44"/>
        <v>0</v>
      </c>
      <c r="Y229" t="s">
        <v>2103</v>
      </c>
      <c r="Z229" t="str">
        <f t="shared" si="45"/>
        <v>Yes</v>
      </c>
      <c r="AA229" t="str">
        <f t="shared" si="46"/>
        <v>Yes</v>
      </c>
      <c r="AB229" t="str">
        <f t="shared" si="47"/>
        <v>Yes</v>
      </c>
      <c r="AC229" s="12">
        <v>62</v>
      </c>
      <c r="AD229" s="12">
        <f t="shared" si="48"/>
        <v>62</v>
      </c>
    </row>
    <row r="230" spans="1:30" x14ac:dyDescent="0.3">
      <c r="A230" t="s">
        <v>551</v>
      </c>
      <c r="B230" t="s">
        <v>552</v>
      </c>
      <c r="C230" t="s">
        <v>2380</v>
      </c>
      <c r="D230" t="s">
        <v>2439</v>
      </c>
      <c r="E230" t="str">
        <f t="shared" si="37"/>
        <v>Joseph Kent</v>
      </c>
      <c r="F230" t="str">
        <f t="shared" si="38"/>
        <v>Joseph Kent</v>
      </c>
      <c r="H230" t="s">
        <v>107</v>
      </c>
      <c r="I230" t="str">
        <f t="shared" si="39"/>
        <v>Male</v>
      </c>
      <c r="J230">
        <v>52</v>
      </c>
      <c r="K230">
        <f t="shared" si="40"/>
        <v>52</v>
      </c>
      <c r="L230" t="str">
        <f t="shared" si="41"/>
        <v>Fourth level</v>
      </c>
      <c r="M230" t="s">
        <v>190</v>
      </c>
      <c r="N230" t="s">
        <v>81</v>
      </c>
      <c r="O230" t="s">
        <v>124</v>
      </c>
      <c r="P230">
        <v>12</v>
      </c>
      <c r="Q230">
        <f t="shared" si="42"/>
        <v>12</v>
      </c>
      <c r="R230" t="s">
        <v>76</v>
      </c>
      <c r="S230" s="8" t="s">
        <v>76</v>
      </c>
      <c r="T230" s="9">
        <v>40</v>
      </c>
      <c r="U230" s="9">
        <f t="shared" si="43"/>
        <v>40</v>
      </c>
      <c r="V230" s="10">
        <v>40</v>
      </c>
      <c r="W230">
        <v>1.2</v>
      </c>
      <c r="X230" s="11">
        <f t="shared" si="44"/>
        <v>1.2</v>
      </c>
      <c r="Y230" t="s">
        <v>2102</v>
      </c>
      <c r="Z230" t="str">
        <f t="shared" si="45"/>
        <v>No</v>
      </c>
      <c r="AA230" t="str">
        <f t="shared" si="46"/>
        <v>No</v>
      </c>
      <c r="AB230" t="str">
        <f t="shared" si="47"/>
        <v>No</v>
      </c>
      <c r="AC230" s="12">
        <v>76</v>
      </c>
      <c r="AD230" s="12">
        <f t="shared" si="48"/>
        <v>76</v>
      </c>
    </row>
    <row r="231" spans="1:30" x14ac:dyDescent="0.3">
      <c r="A231" t="s">
        <v>553</v>
      </c>
      <c r="B231" t="s">
        <v>554</v>
      </c>
      <c r="C231" t="s">
        <v>2158</v>
      </c>
      <c r="D231" t="s">
        <v>2440</v>
      </c>
      <c r="E231" t="str">
        <f t="shared" si="37"/>
        <v>Megan Welch</v>
      </c>
      <c r="F231" t="str">
        <f t="shared" si="38"/>
        <v>Megan Welch</v>
      </c>
      <c r="H231" t="s">
        <v>22</v>
      </c>
      <c r="I231" t="str">
        <f t="shared" si="39"/>
        <v>Female</v>
      </c>
      <c r="J231">
        <v>55</v>
      </c>
      <c r="K231">
        <f t="shared" si="40"/>
        <v>55</v>
      </c>
      <c r="L231" t="str">
        <f t="shared" si="41"/>
        <v>Fourth level</v>
      </c>
      <c r="M231" t="s">
        <v>55</v>
      </c>
      <c r="N231" t="s">
        <v>56</v>
      </c>
      <c r="O231" t="s">
        <v>17</v>
      </c>
      <c r="P231">
        <v>18</v>
      </c>
      <c r="Q231">
        <f t="shared" si="42"/>
        <v>18</v>
      </c>
      <c r="R231" t="s">
        <v>18</v>
      </c>
      <c r="S231" s="8" t="s">
        <v>18</v>
      </c>
      <c r="T231" s="9">
        <v>100</v>
      </c>
      <c r="U231" s="9">
        <f t="shared" si="43"/>
        <v>100</v>
      </c>
      <c r="V231" s="10">
        <v>100</v>
      </c>
      <c r="W231">
        <v>2.9</v>
      </c>
      <c r="X231" s="11">
        <f t="shared" si="44"/>
        <v>2.9</v>
      </c>
      <c r="Y231" t="s">
        <v>2102</v>
      </c>
      <c r="Z231" t="str">
        <f t="shared" si="45"/>
        <v>No</v>
      </c>
      <c r="AA231" t="str">
        <f t="shared" si="46"/>
        <v>No</v>
      </c>
      <c r="AB231" t="str">
        <f t="shared" si="47"/>
        <v>No</v>
      </c>
      <c r="AC231" s="12">
        <v>97</v>
      </c>
      <c r="AD231" s="12">
        <f t="shared" si="48"/>
        <v>97</v>
      </c>
    </row>
    <row r="232" spans="1:30" x14ac:dyDescent="0.3">
      <c r="A232" t="s">
        <v>555</v>
      </c>
      <c r="B232" t="s">
        <v>556</v>
      </c>
      <c r="C232" t="s">
        <v>2441</v>
      </c>
      <c r="D232" t="s">
        <v>2172</v>
      </c>
      <c r="E232" t="str">
        <f t="shared" si="37"/>
        <v>Stephen Ramirez</v>
      </c>
      <c r="F232" t="str">
        <f t="shared" si="38"/>
        <v>Stephen Ramirez</v>
      </c>
      <c r="H232" t="s">
        <v>30</v>
      </c>
      <c r="I232" t="str">
        <f t="shared" si="39"/>
        <v>Male</v>
      </c>
      <c r="J232">
        <v>37</v>
      </c>
      <c r="K232">
        <f t="shared" si="40"/>
        <v>37</v>
      </c>
      <c r="L232" t="str">
        <f t="shared" si="41"/>
        <v>Second level</v>
      </c>
      <c r="M232" t="s">
        <v>117</v>
      </c>
      <c r="N232" t="s">
        <v>118</v>
      </c>
      <c r="O232" t="s">
        <v>17</v>
      </c>
      <c r="P232">
        <v>4</v>
      </c>
      <c r="Q232">
        <f t="shared" si="42"/>
        <v>4</v>
      </c>
      <c r="R232" t="s">
        <v>65</v>
      </c>
      <c r="S232" s="8" t="s">
        <v>65</v>
      </c>
      <c r="T232" s="9"/>
      <c r="U232" s="9">
        <f t="shared" si="43"/>
        <v>52.808022922636106</v>
      </c>
      <c r="V232" s="10">
        <v>52.808022922636106</v>
      </c>
      <c r="X232" s="11">
        <f t="shared" si="44"/>
        <v>2.5652616279069753</v>
      </c>
      <c r="Y232" t="s">
        <v>2102</v>
      </c>
      <c r="Z232" t="str">
        <f t="shared" si="45"/>
        <v>No</v>
      </c>
      <c r="AA232" t="str">
        <f t="shared" si="46"/>
        <v>No</v>
      </c>
      <c r="AB232" t="str">
        <f t="shared" si="47"/>
        <v>No</v>
      </c>
      <c r="AC232" s="12"/>
      <c r="AD232" s="12">
        <f t="shared" si="48"/>
        <v>79.621664050235481</v>
      </c>
    </row>
    <row r="233" spans="1:30" x14ac:dyDescent="0.3">
      <c r="A233" t="s">
        <v>557</v>
      </c>
      <c r="B233" t="s">
        <v>558</v>
      </c>
      <c r="C233" t="s">
        <v>2442</v>
      </c>
      <c r="D233" t="s">
        <v>2443</v>
      </c>
      <c r="E233" t="str">
        <f t="shared" si="37"/>
        <v>Chloe Gray</v>
      </c>
      <c r="F233" t="str">
        <f t="shared" si="38"/>
        <v>Chloe Gray</v>
      </c>
      <c r="H233" t="s">
        <v>86</v>
      </c>
      <c r="I233" t="str">
        <f t="shared" si="39"/>
        <v>Female</v>
      </c>
      <c r="J233">
        <v>34</v>
      </c>
      <c r="K233">
        <f t="shared" si="40"/>
        <v>34</v>
      </c>
      <c r="L233" t="str">
        <f t="shared" si="41"/>
        <v>Second level</v>
      </c>
      <c r="M233" t="s">
        <v>149</v>
      </c>
      <c r="N233" t="s">
        <v>150</v>
      </c>
      <c r="O233" t="s">
        <v>57</v>
      </c>
      <c r="P233">
        <v>11</v>
      </c>
      <c r="Q233">
        <f t="shared" si="42"/>
        <v>11</v>
      </c>
      <c r="R233" t="s">
        <v>72</v>
      </c>
      <c r="S233" s="8" t="s">
        <v>72</v>
      </c>
      <c r="T233" s="9">
        <v>50</v>
      </c>
      <c r="U233" s="9">
        <f t="shared" si="43"/>
        <v>50</v>
      </c>
      <c r="V233" s="10">
        <v>50</v>
      </c>
      <c r="W233">
        <v>3.9</v>
      </c>
      <c r="X233" s="11">
        <f t="shared" si="44"/>
        <v>3.9</v>
      </c>
      <c r="Y233" t="s">
        <v>2103</v>
      </c>
      <c r="Z233" t="str">
        <f t="shared" si="45"/>
        <v>Yes</v>
      </c>
      <c r="AA233" t="str">
        <f t="shared" si="46"/>
        <v>Yes</v>
      </c>
      <c r="AB233" t="str">
        <f t="shared" si="47"/>
        <v>Yes</v>
      </c>
      <c r="AC233" s="12">
        <v>82</v>
      </c>
      <c r="AD233" s="12">
        <f t="shared" si="48"/>
        <v>82</v>
      </c>
    </row>
    <row r="234" spans="1:30" x14ac:dyDescent="0.3">
      <c r="A234" t="s">
        <v>559</v>
      </c>
      <c r="B234" t="s">
        <v>560</v>
      </c>
      <c r="C234" t="s">
        <v>2166</v>
      </c>
      <c r="D234" t="s">
        <v>2181</v>
      </c>
      <c r="E234" t="str">
        <f t="shared" si="37"/>
        <v>Michael Williams</v>
      </c>
      <c r="F234" t="str">
        <f t="shared" si="38"/>
        <v>Michael Williams</v>
      </c>
      <c r="H234" t="s">
        <v>107</v>
      </c>
      <c r="I234" t="str">
        <f t="shared" si="39"/>
        <v>Male</v>
      </c>
      <c r="J234">
        <v>20</v>
      </c>
      <c r="K234">
        <f t="shared" si="40"/>
        <v>20</v>
      </c>
      <c r="L234" t="str">
        <f t="shared" si="41"/>
        <v>First level</v>
      </c>
      <c r="M234" t="s">
        <v>145</v>
      </c>
      <c r="N234" t="s">
        <v>146</v>
      </c>
      <c r="O234" t="s">
        <v>57</v>
      </c>
      <c r="P234">
        <v>1</v>
      </c>
      <c r="Q234">
        <f t="shared" si="42"/>
        <v>1</v>
      </c>
      <c r="R234" t="s">
        <v>34</v>
      </c>
      <c r="S234" s="8" t="s">
        <v>34</v>
      </c>
      <c r="T234" s="9">
        <v>50</v>
      </c>
      <c r="U234" s="9">
        <f t="shared" si="43"/>
        <v>50</v>
      </c>
      <c r="V234" s="10">
        <v>50</v>
      </c>
      <c r="W234">
        <v>3.1</v>
      </c>
      <c r="X234" s="11">
        <f t="shared" si="44"/>
        <v>3.1</v>
      </c>
      <c r="Y234" t="s">
        <v>65</v>
      </c>
      <c r="AA234" t="str">
        <f t="shared" si="46"/>
        <v>Unknown</v>
      </c>
      <c r="AB234" t="str">
        <f t="shared" si="47"/>
        <v>Unknown</v>
      </c>
      <c r="AC234" s="12">
        <v>71</v>
      </c>
      <c r="AD234" s="12">
        <f t="shared" si="48"/>
        <v>71</v>
      </c>
    </row>
    <row r="235" spans="1:30" x14ac:dyDescent="0.3">
      <c r="A235" t="s">
        <v>561</v>
      </c>
      <c r="B235" t="s">
        <v>562</v>
      </c>
      <c r="C235" t="s">
        <v>2124</v>
      </c>
      <c r="D235" t="s">
        <v>2123</v>
      </c>
      <c r="E235" t="str">
        <f t="shared" si="37"/>
        <v>Matthew Martin</v>
      </c>
      <c r="F235" t="str">
        <f t="shared" si="38"/>
        <v>Matthew Martin</v>
      </c>
      <c r="H235" t="s">
        <v>107</v>
      </c>
      <c r="I235" t="str">
        <f t="shared" si="39"/>
        <v>Male</v>
      </c>
      <c r="J235">
        <v>22</v>
      </c>
      <c r="K235">
        <f t="shared" si="40"/>
        <v>22</v>
      </c>
      <c r="L235" t="str">
        <f t="shared" si="41"/>
        <v>First level</v>
      </c>
      <c r="M235" t="s">
        <v>190</v>
      </c>
      <c r="N235" t="s">
        <v>81</v>
      </c>
      <c r="O235" t="s">
        <v>82</v>
      </c>
      <c r="P235">
        <v>2</v>
      </c>
      <c r="Q235">
        <f t="shared" si="42"/>
        <v>2</v>
      </c>
      <c r="R235" t="s">
        <v>65</v>
      </c>
      <c r="S235" s="8" t="s">
        <v>65</v>
      </c>
      <c r="T235" s="9"/>
      <c r="U235" s="9">
        <f t="shared" si="43"/>
        <v>52.744252873563219</v>
      </c>
      <c r="V235" s="10">
        <v>52.744252873563219</v>
      </c>
      <c r="W235">
        <v>0</v>
      </c>
      <c r="X235" s="11">
        <f t="shared" si="44"/>
        <v>0</v>
      </c>
      <c r="Y235" t="s">
        <v>2103</v>
      </c>
      <c r="Z235" t="str">
        <f t="shared" si="45"/>
        <v>Yes</v>
      </c>
      <c r="AA235" t="str">
        <f t="shared" si="46"/>
        <v>Yes</v>
      </c>
      <c r="AB235" t="str">
        <f t="shared" si="47"/>
        <v>Yes</v>
      </c>
      <c r="AC235" s="12"/>
      <c r="AD235" s="12">
        <f t="shared" si="48"/>
        <v>79.631496062992127</v>
      </c>
    </row>
    <row r="236" spans="1:30" x14ac:dyDescent="0.3">
      <c r="A236" t="s">
        <v>563</v>
      </c>
      <c r="B236" t="s">
        <v>564</v>
      </c>
      <c r="C236" t="s">
        <v>2444</v>
      </c>
      <c r="D236" t="s">
        <v>2445</v>
      </c>
      <c r="E236" t="str">
        <f t="shared" si="37"/>
        <v>Julia Murphy</v>
      </c>
      <c r="F236" t="str">
        <f t="shared" si="38"/>
        <v>Julia Murphy</v>
      </c>
      <c r="H236" t="s">
        <v>86</v>
      </c>
      <c r="I236" t="str">
        <f t="shared" si="39"/>
        <v>Female</v>
      </c>
      <c r="J236">
        <v>23</v>
      </c>
      <c r="K236">
        <f t="shared" si="40"/>
        <v>23</v>
      </c>
      <c r="L236" t="str">
        <f t="shared" si="41"/>
        <v>First level</v>
      </c>
      <c r="M236" t="s">
        <v>122</v>
      </c>
      <c r="N236" t="s">
        <v>123</v>
      </c>
      <c r="O236" t="s">
        <v>33</v>
      </c>
      <c r="P236">
        <v>2</v>
      </c>
      <c r="Q236">
        <f t="shared" si="42"/>
        <v>2</v>
      </c>
      <c r="R236" t="s">
        <v>34</v>
      </c>
      <c r="S236" s="8" t="s">
        <v>34</v>
      </c>
      <c r="T236" s="9">
        <v>50</v>
      </c>
      <c r="U236" s="9">
        <f t="shared" si="43"/>
        <v>50</v>
      </c>
      <c r="V236" s="10">
        <v>50</v>
      </c>
      <c r="W236">
        <v>3.2</v>
      </c>
      <c r="X236" s="11">
        <f t="shared" si="44"/>
        <v>3.2</v>
      </c>
      <c r="Y236" t="s">
        <v>2103</v>
      </c>
      <c r="Z236" t="str">
        <f t="shared" si="45"/>
        <v>Yes</v>
      </c>
      <c r="AA236" t="str">
        <f t="shared" si="46"/>
        <v>Yes</v>
      </c>
      <c r="AB236" t="str">
        <f t="shared" si="47"/>
        <v>Yes</v>
      </c>
      <c r="AC236" s="12"/>
      <c r="AD236" s="12">
        <f t="shared" si="48"/>
        <v>79.631496062992127</v>
      </c>
    </row>
    <row r="237" spans="1:30" x14ac:dyDescent="0.3">
      <c r="A237" t="s">
        <v>565</v>
      </c>
      <c r="B237" t="s">
        <v>566</v>
      </c>
      <c r="C237" t="s">
        <v>2152</v>
      </c>
      <c r="D237" t="s">
        <v>2426</v>
      </c>
      <c r="E237" t="str">
        <f t="shared" si="37"/>
        <v>Anna Evans</v>
      </c>
      <c r="F237" t="str">
        <f t="shared" si="38"/>
        <v>Anna Evans</v>
      </c>
      <c r="H237" t="s">
        <v>86</v>
      </c>
      <c r="I237" t="str">
        <f t="shared" si="39"/>
        <v>Female</v>
      </c>
      <c r="J237">
        <v>53</v>
      </c>
      <c r="K237">
        <f t="shared" si="40"/>
        <v>53</v>
      </c>
      <c r="L237" t="str">
        <f t="shared" si="41"/>
        <v>Fourth level</v>
      </c>
      <c r="M237" t="s">
        <v>122</v>
      </c>
      <c r="N237" t="s">
        <v>123</v>
      </c>
      <c r="O237" t="s">
        <v>17</v>
      </c>
      <c r="P237">
        <v>34</v>
      </c>
      <c r="Q237">
        <f t="shared" si="42"/>
        <v>34</v>
      </c>
      <c r="R237" t="s">
        <v>44</v>
      </c>
      <c r="S237" s="8" t="s">
        <v>44</v>
      </c>
      <c r="T237" s="9">
        <v>30</v>
      </c>
      <c r="U237" s="9">
        <f t="shared" si="43"/>
        <v>30</v>
      </c>
      <c r="V237" s="10">
        <v>30</v>
      </c>
      <c r="X237" s="11">
        <f t="shared" si="44"/>
        <v>2.5653508771929814</v>
      </c>
      <c r="Y237" t="s">
        <v>2103</v>
      </c>
      <c r="Z237" t="str">
        <f t="shared" si="45"/>
        <v>Yes</v>
      </c>
      <c r="AA237" t="str">
        <f t="shared" si="46"/>
        <v>Yes</v>
      </c>
      <c r="AB237" t="str">
        <f t="shared" si="47"/>
        <v>Yes</v>
      </c>
      <c r="AC237" s="12"/>
      <c r="AD237" s="12">
        <f t="shared" si="48"/>
        <v>79.631496062992127</v>
      </c>
    </row>
    <row r="238" spans="1:30" x14ac:dyDescent="0.3">
      <c r="A238" t="s">
        <v>567</v>
      </c>
      <c r="B238" t="s">
        <v>568</v>
      </c>
      <c r="C238" t="s">
        <v>2256</v>
      </c>
      <c r="D238" t="s">
        <v>2446</v>
      </c>
      <c r="E238" t="str">
        <f t="shared" si="37"/>
        <v>Brenda Fleming</v>
      </c>
      <c r="F238" t="str">
        <f t="shared" si="38"/>
        <v>Brenda Fleming</v>
      </c>
      <c r="H238" t="s">
        <v>86</v>
      </c>
      <c r="I238" t="str">
        <f t="shared" si="39"/>
        <v>Female</v>
      </c>
      <c r="J238">
        <v>56</v>
      </c>
      <c r="K238">
        <f t="shared" si="40"/>
        <v>56</v>
      </c>
      <c r="L238" t="str">
        <f t="shared" si="41"/>
        <v>Fourth level</v>
      </c>
      <c r="M238" t="s">
        <v>122</v>
      </c>
      <c r="N238" t="s">
        <v>123</v>
      </c>
      <c r="O238" t="s">
        <v>33</v>
      </c>
      <c r="P238">
        <v>27</v>
      </c>
      <c r="Q238">
        <f t="shared" si="42"/>
        <v>27</v>
      </c>
      <c r="R238" t="s">
        <v>18</v>
      </c>
      <c r="S238" s="8" t="s">
        <v>18</v>
      </c>
      <c r="T238" s="9">
        <v>100</v>
      </c>
      <c r="U238" s="9">
        <f t="shared" si="43"/>
        <v>100</v>
      </c>
      <c r="V238" s="10">
        <v>100</v>
      </c>
      <c r="W238">
        <v>4.7</v>
      </c>
      <c r="X238" s="11">
        <f t="shared" si="44"/>
        <v>4.7</v>
      </c>
      <c r="Y238" t="s">
        <v>2103</v>
      </c>
      <c r="Z238" t="str">
        <f t="shared" si="45"/>
        <v>Yes</v>
      </c>
      <c r="AA238" t="str">
        <f t="shared" si="46"/>
        <v>Yes</v>
      </c>
      <c r="AB238" t="str">
        <f t="shared" si="47"/>
        <v>Yes</v>
      </c>
      <c r="AC238" s="12">
        <v>69</v>
      </c>
      <c r="AD238" s="12">
        <f t="shared" si="48"/>
        <v>69</v>
      </c>
    </row>
    <row r="239" spans="1:30" x14ac:dyDescent="0.3">
      <c r="A239" t="s">
        <v>569</v>
      </c>
      <c r="B239" t="s">
        <v>570</v>
      </c>
      <c r="C239" t="s">
        <v>2447</v>
      </c>
      <c r="D239" t="s">
        <v>2448</v>
      </c>
      <c r="E239" t="str">
        <f t="shared" si="37"/>
        <v>Daniel Harrington</v>
      </c>
      <c r="F239" t="str">
        <f t="shared" si="38"/>
        <v>Daniel Harrington</v>
      </c>
      <c r="H239" t="s">
        <v>107</v>
      </c>
      <c r="I239" t="str">
        <f t="shared" si="39"/>
        <v>Male</v>
      </c>
      <c r="J239">
        <v>27</v>
      </c>
      <c r="K239">
        <f t="shared" si="40"/>
        <v>27</v>
      </c>
      <c r="L239" t="str">
        <f t="shared" si="41"/>
        <v>First level</v>
      </c>
      <c r="M239" t="s">
        <v>138</v>
      </c>
      <c r="N239" t="s">
        <v>24</v>
      </c>
      <c r="O239" t="s">
        <v>49</v>
      </c>
      <c r="P239">
        <v>4</v>
      </c>
      <c r="Q239">
        <f t="shared" si="42"/>
        <v>4</v>
      </c>
      <c r="R239" t="s">
        <v>92</v>
      </c>
      <c r="S239" s="8" t="s">
        <v>92</v>
      </c>
      <c r="T239" s="9">
        <v>75</v>
      </c>
      <c r="U239" s="9">
        <f t="shared" si="43"/>
        <v>75</v>
      </c>
      <c r="V239" s="10">
        <v>75</v>
      </c>
      <c r="W239">
        <v>5</v>
      </c>
      <c r="X239" s="11">
        <f t="shared" si="44"/>
        <v>5</v>
      </c>
      <c r="Y239" t="s">
        <v>2102</v>
      </c>
      <c r="Z239" t="str">
        <f t="shared" si="45"/>
        <v>No</v>
      </c>
      <c r="AA239" t="str">
        <f t="shared" si="46"/>
        <v>No</v>
      </c>
      <c r="AB239" t="str">
        <f t="shared" si="47"/>
        <v>No</v>
      </c>
      <c r="AC239" s="12">
        <v>88</v>
      </c>
      <c r="AD239" s="12">
        <f t="shared" si="48"/>
        <v>88</v>
      </c>
    </row>
    <row r="240" spans="1:30" x14ac:dyDescent="0.3">
      <c r="A240" t="s">
        <v>571</v>
      </c>
      <c r="B240" t="s">
        <v>572</v>
      </c>
      <c r="C240" t="s">
        <v>2447</v>
      </c>
      <c r="D240" t="s">
        <v>2449</v>
      </c>
      <c r="E240" t="str">
        <f t="shared" si="37"/>
        <v>Daniel Barnett</v>
      </c>
      <c r="F240" t="str">
        <f t="shared" si="38"/>
        <v>Daniel Barnett</v>
      </c>
      <c r="H240" t="s">
        <v>107</v>
      </c>
      <c r="I240" t="str">
        <f t="shared" si="39"/>
        <v>Male</v>
      </c>
      <c r="J240">
        <v>34</v>
      </c>
      <c r="K240">
        <f t="shared" si="40"/>
        <v>34</v>
      </c>
      <c r="L240" t="str">
        <f t="shared" si="41"/>
        <v>Second level</v>
      </c>
      <c r="M240" t="s">
        <v>15</v>
      </c>
      <c r="N240" t="s">
        <v>16</v>
      </c>
      <c r="O240" t="s">
        <v>25</v>
      </c>
      <c r="P240">
        <v>11</v>
      </c>
      <c r="Q240">
        <f t="shared" si="42"/>
        <v>11</v>
      </c>
      <c r="R240" t="s">
        <v>61</v>
      </c>
      <c r="S240" s="8" t="s">
        <v>2094</v>
      </c>
      <c r="T240" s="9">
        <v>40</v>
      </c>
      <c r="U240" s="9">
        <f t="shared" si="43"/>
        <v>40</v>
      </c>
      <c r="V240" s="10">
        <v>40</v>
      </c>
      <c r="X240" s="11">
        <f t="shared" si="44"/>
        <v>2.5586510263929609</v>
      </c>
      <c r="Y240" t="s">
        <v>2102</v>
      </c>
      <c r="Z240" t="str">
        <f t="shared" si="45"/>
        <v>No</v>
      </c>
      <c r="AA240" t="str">
        <f t="shared" si="46"/>
        <v>No</v>
      </c>
      <c r="AB240" t="str">
        <f t="shared" si="47"/>
        <v>No</v>
      </c>
      <c r="AC240" s="12">
        <v>67</v>
      </c>
      <c r="AD240" s="12">
        <f t="shared" si="48"/>
        <v>67</v>
      </c>
    </row>
    <row r="241" spans="1:30" x14ac:dyDescent="0.3">
      <c r="A241" t="s">
        <v>573</v>
      </c>
      <c r="B241" t="s">
        <v>574</v>
      </c>
      <c r="C241" t="s">
        <v>2206</v>
      </c>
      <c r="D241" t="s">
        <v>2450</v>
      </c>
      <c r="E241" t="str">
        <f t="shared" si="37"/>
        <v>Mark Cummings</v>
      </c>
      <c r="F241" t="str">
        <f t="shared" si="38"/>
        <v>Mark Cummings</v>
      </c>
      <c r="H241" t="s">
        <v>107</v>
      </c>
      <c r="I241" t="str">
        <f t="shared" si="39"/>
        <v>Male</v>
      </c>
      <c r="J241">
        <v>29</v>
      </c>
      <c r="K241">
        <f t="shared" si="40"/>
        <v>29</v>
      </c>
      <c r="L241" t="str">
        <f t="shared" si="41"/>
        <v>First level</v>
      </c>
      <c r="M241" t="s">
        <v>64</v>
      </c>
      <c r="N241" t="s">
        <v>24</v>
      </c>
      <c r="O241" t="s">
        <v>39</v>
      </c>
      <c r="P241">
        <v>4</v>
      </c>
      <c r="Q241">
        <f t="shared" si="42"/>
        <v>4</v>
      </c>
      <c r="R241" t="s">
        <v>108</v>
      </c>
      <c r="S241" s="8" t="s">
        <v>2095</v>
      </c>
      <c r="T241" s="9">
        <v>50</v>
      </c>
      <c r="U241" s="9">
        <f t="shared" si="43"/>
        <v>50</v>
      </c>
      <c r="V241" s="10">
        <v>50</v>
      </c>
      <c r="W241">
        <v>4</v>
      </c>
      <c r="X241" s="11">
        <f t="shared" si="44"/>
        <v>4</v>
      </c>
      <c r="Y241" t="s">
        <v>2102</v>
      </c>
      <c r="Z241" t="str">
        <f t="shared" si="45"/>
        <v>No</v>
      </c>
      <c r="AA241" t="str">
        <f t="shared" si="46"/>
        <v>No</v>
      </c>
      <c r="AB241" t="str">
        <f t="shared" si="47"/>
        <v>No</v>
      </c>
      <c r="AC241" s="12"/>
      <c r="AD241" s="12">
        <f t="shared" si="48"/>
        <v>79.655063291139243</v>
      </c>
    </row>
    <row r="242" spans="1:30" x14ac:dyDescent="0.3">
      <c r="A242" t="s">
        <v>575</v>
      </c>
      <c r="B242" t="s">
        <v>576</v>
      </c>
      <c r="C242" t="s">
        <v>2308</v>
      </c>
      <c r="D242" t="s">
        <v>2451</v>
      </c>
      <c r="E242" t="str">
        <f t="shared" si="37"/>
        <v>Christopher Guerra</v>
      </c>
      <c r="F242" t="str">
        <f t="shared" si="38"/>
        <v>Christopher Guerra</v>
      </c>
      <c r="H242" t="s">
        <v>107</v>
      </c>
      <c r="I242" t="str">
        <f t="shared" si="39"/>
        <v>Male</v>
      </c>
      <c r="J242">
        <v>34</v>
      </c>
      <c r="K242">
        <f t="shared" si="40"/>
        <v>34</v>
      </c>
      <c r="L242" t="str">
        <f t="shared" si="41"/>
        <v>Second level</v>
      </c>
      <c r="M242" t="s">
        <v>103</v>
      </c>
      <c r="N242" t="s">
        <v>104</v>
      </c>
      <c r="O242" t="s">
        <v>49</v>
      </c>
      <c r="P242">
        <v>11</v>
      </c>
      <c r="Q242">
        <f t="shared" si="42"/>
        <v>11</v>
      </c>
      <c r="R242" t="s">
        <v>65</v>
      </c>
      <c r="S242" s="8" t="s">
        <v>65</v>
      </c>
      <c r="T242" s="9"/>
      <c r="U242" s="9">
        <f t="shared" si="43"/>
        <v>52.70289855072464</v>
      </c>
      <c r="V242" s="10">
        <v>52.70289855072464</v>
      </c>
      <c r="W242">
        <v>1.2</v>
      </c>
      <c r="X242" s="11">
        <f t="shared" si="44"/>
        <v>1.2</v>
      </c>
      <c r="Y242" t="s">
        <v>2103</v>
      </c>
      <c r="Z242" t="str">
        <f t="shared" si="45"/>
        <v>Yes</v>
      </c>
      <c r="AA242" t="str">
        <f t="shared" si="46"/>
        <v>Yes</v>
      </c>
      <c r="AB242" t="str">
        <f t="shared" si="47"/>
        <v>Yes</v>
      </c>
      <c r="AC242" s="12"/>
      <c r="AD242" s="12">
        <f t="shared" si="48"/>
        <v>79.655063291139243</v>
      </c>
    </row>
    <row r="243" spans="1:30" x14ac:dyDescent="0.3">
      <c r="A243" t="s">
        <v>577</v>
      </c>
      <c r="B243" t="s">
        <v>578</v>
      </c>
      <c r="C243" t="s">
        <v>2452</v>
      </c>
      <c r="D243" t="s">
        <v>2285</v>
      </c>
      <c r="E243" t="str">
        <f t="shared" si="37"/>
        <v>Sarah Ho</v>
      </c>
      <c r="F243" t="str">
        <f t="shared" si="38"/>
        <v>Sarah Ho</v>
      </c>
      <c r="H243" t="s">
        <v>43</v>
      </c>
      <c r="I243" t="str">
        <f t="shared" si="39"/>
        <v>Female</v>
      </c>
      <c r="J243">
        <v>32</v>
      </c>
      <c r="K243">
        <f t="shared" si="40"/>
        <v>32</v>
      </c>
      <c r="L243" t="str">
        <f t="shared" si="41"/>
        <v>Second level</v>
      </c>
      <c r="M243" t="s">
        <v>190</v>
      </c>
      <c r="N243" t="s">
        <v>81</v>
      </c>
      <c r="O243" t="s">
        <v>49</v>
      </c>
      <c r="P243">
        <v>1</v>
      </c>
      <c r="Q243">
        <f t="shared" si="42"/>
        <v>1</v>
      </c>
      <c r="R243" t="s">
        <v>18</v>
      </c>
      <c r="S243" s="8" t="s">
        <v>18</v>
      </c>
      <c r="T243" s="9">
        <v>100</v>
      </c>
      <c r="U243" s="9">
        <f t="shared" si="43"/>
        <v>100</v>
      </c>
      <c r="V243" s="10">
        <v>100</v>
      </c>
      <c r="W243">
        <v>4.7</v>
      </c>
      <c r="X243" s="11">
        <f t="shared" si="44"/>
        <v>4.7</v>
      </c>
      <c r="Y243" t="s">
        <v>2102</v>
      </c>
      <c r="Z243" t="str">
        <f t="shared" si="45"/>
        <v>No</v>
      </c>
      <c r="AA243" t="str">
        <f t="shared" si="46"/>
        <v>No</v>
      </c>
      <c r="AB243" t="str">
        <f t="shared" si="47"/>
        <v>No</v>
      </c>
      <c r="AC243" s="12">
        <v>67</v>
      </c>
      <c r="AD243" s="12">
        <f t="shared" si="48"/>
        <v>67</v>
      </c>
    </row>
    <row r="244" spans="1:30" x14ac:dyDescent="0.3">
      <c r="A244" t="s">
        <v>579</v>
      </c>
      <c r="B244" t="s">
        <v>580</v>
      </c>
      <c r="C244" t="s">
        <v>2249</v>
      </c>
      <c r="D244" t="s">
        <v>2231</v>
      </c>
      <c r="E244" t="str">
        <f t="shared" si="37"/>
        <v>Veronica Thomas</v>
      </c>
      <c r="F244" t="str">
        <f t="shared" si="38"/>
        <v>Veronica Thomas</v>
      </c>
      <c r="H244" t="s">
        <v>86</v>
      </c>
      <c r="I244" t="str">
        <f t="shared" si="39"/>
        <v>Female</v>
      </c>
      <c r="J244">
        <v>21</v>
      </c>
      <c r="K244">
        <f t="shared" si="40"/>
        <v>21</v>
      </c>
      <c r="L244" t="str">
        <f t="shared" si="41"/>
        <v>First level</v>
      </c>
      <c r="M244" t="s">
        <v>164</v>
      </c>
      <c r="N244" t="s">
        <v>165</v>
      </c>
      <c r="O244" t="s">
        <v>124</v>
      </c>
      <c r="P244">
        <v>2</v>
      </c>
      <c r="Q244">
        <f t="shared" si="42"/>
        <v>2</v>
      </c>
      <c r="R244" t="s">
        <v>151</v>
      </c>
      <c r="S244" s="8" t="s">
        <v>151</v>
      </c>
      <c r="T244" s="9">
        <v>20</v>
      </c>
      <c r="U244" s="9">
        <f t="shared" si="43"/>
        <v>20</v>
      </c>
      <c r="V244" s="10">
        <v>20</v>
      </c>
      <c r="W244">
        <v>2.4</v>
      </c>
      <c r="X244" s="11">
        <f t="shared" si="44"/>
        <v>2.4</v>
      </c>
      <c r="Y244" t="s">
        <v>65</v>
      </c>
      <c r="AA244" t="str">
        <f t="shared" si="46"/>
        <v>Unknown</v>
      </c>
      <c r="AB244" t="str">
        <f t="shared" si="47"/>
        <v>Unknown</v>
      </c>
      <c r="AC244" s="12">
        <v>86</v>
      </c>
      <c r="AD244" s="12">
        <f t="shared" si="48"/>
        <v>86</v>
      </c>
    </row>
    <row r="245" spans="1:30" x14ac:dyDescent="0.3">
      <c r="A245" t="s">
        <v>581</v>
      </c>
      <c r="B245" t="s">
        <v>582</v>
      </c>
      <c r="C245" t="s">
        <v>2350</v>
      </c>
      <c r="D245" t="s">
        <v>2453</v>
      </c>
      <c r="E245" t="str">
        <f t="shared" si="37"/>
        <v>Mitchell Watson</v>
      </c>
      <c r="F245" t="str">
        <f t="shared" si="38"/>
        <v>Mitchell Watson</v>
      </c>
      <c r="H245" t="s">
        <v>69</v>
      </c>
      <c r="I245" t="str">
        <f t="shared" si="39"/>
        <v>Male</v>
      </c>
      <c r="J245">
        <v>20</v>
      </c>
      <c r="K245">
        <f t="shared" si="40"/>
        <v>20</v>
      </c>
      <c r="L245" t="str">
        <f t="shared" si="41"/>
        <v>First level</v>
      </c>
      <c r="M245" t="s">
        <v>190</v>
      </c>
      <c r="N245" t="s">
        <v>81</v>
      </c>
      <c r="O245" t="s">
        <v>33</v>
      </c>
      <c r="P245">
        <v>2</v>
      </c>
      <c r="Q245">
        <f t="shared" si="42"/>
        <v>2</v>
      </c>
      <c r="R245" t="s">
        <v>65</v>
      </c>
      <c r="S245" s="8" t="s">
        <v>65</v>
      </c>
      <c r="T245" s="9"/>
      <c r="U245" s="9">
        <f t="shared" si="43"/>
        <v>52.638081395348834</v>
      </c>
      <c r="V245" s="10">
        <v>52.638081395348834</v>
      </c>
      <c r="W245">
        <v>1.1000000000000001</v>
      </c>
      <c r="X245" s="11">
        <f t="shared" si="44"/>
        <v>1.1000000000000001</v>
      </c>
      <c r="Y245" t="s">
        <v>2102</v>
      </c>
      <c r="Z245" t="str">
        <f t="shared" si="45"/>
        <v>No</v>
      </c>
      <c r="AA245" t="str">
        <f t="shared" si="46"/>
        <v>No</v>
      </c>
      <c r="AB245" t="str">
        <f t="shared" si="47"/>
        <v>No</v>
      </c>
      <c r="AC245" s="12">
        <v>69</v>
      </c>
      <c r="AD245" s="12">
        <f t="shared" si="48"/>
        <v>69</v>
      </c>
    </row>
    <row r="246" spans="1:30" x14ac:dyDescent="0.3">
      <c r="A246" t="s">
        <v>583</v>
      </c>
      <c r="B246" t="s">
        <v>584</v>
      </c>
      <c r="C246" t="s">
        <v>2422</v>
      </c>
      <c r="D246" t="s">
        <v>2445</v>
      </c>
      <c r="E246" t="str">
        <f t="shared" si="37"/>
        <v>Monica Murphy</v>
      </c>
      <c r="F246" t="str">
        <f t="shared" si="38"/>
        <v>Monica Murphy</v>
      </c>
      <c r="H246" t="s">
        <v>22</v>
      </c>
      <c r="I246" t="str">
        <f t="shared" si="39"/>
        <v>Female</v>
      </c>
      <c r="J246">
        <v>35</v>
      </c>
      <c r="K246">
        <f t="shared" si="40"/>
        <v>35</v>
      </c>
      <c r="L246" t="str">
        <f t="shared" si="41"/>
        <v>Second level</v>
      </c>
      <c r="M246" t="s">
        <v>64</v>
      </c>
      <c r="N246" t="s">
        <v>24</v>
      </c>
      <c r="O246" t="s">
        <v>25</v>
      </c>
      <c r="P246">
        <v>10</v>
      </c>
      <c r="Q246">
        <f t="shared" si="42"/>
        <v>10</v>
      </c>
      <c r="R246" t="s">
        <v>34</v>
      </c>
      <c r="S246" s="8" t="s">
        <v>34</v>
      </c>
      <c r="T246" s="9">
        <v>50</v>
      </c>
      <c r="U246" s="9">
        <f t="shared" si="43"/>
        <v>50</v>
      </c>
      <c r="V246" s="10">
        <v>50</v>
      </c>
      <c r="W246">
        <v>1.4</v>
      </c>
      <c r="X246" s="11">
        <f t="shared" si="44"/>
        <v>1.4</v>
      </c>
      <c r="Y246" t="s">
        <v>2103</v>
      </c>
      <c r="Z246" t="str">
        <f t="shared" si="45"/>
        <v>Yes</v>
      </c>
      <c r="AA246" t="str">
        <f t="shared" si="46"/>
        <v>Yes</v>
      </c>
      <c r="AB246" t="str">
        <f t="shared" si="47"/>
        <v>Yes</v>
      </c>
      <c r="AC246" s="12">
        <v>85</v>
      </c>
      <c r="AD246" s="12">
        <f t="shared" si="48"/>
        <v>85</v>
      </c>
    </row>
    <row r="247" spans="1:30" x14ac:dyDescent="0.3">
      <c r="A247" t="s">
        <v>585</v>
      </c>
      <c r="B247" t="s">
        <v>586</v>
      </c>
      <c r="C247" t="s">
        <v>2413</v>
      </c>
      <c r="D247" t="s">
        <v>2181</v>
      </c>
      <c r="E247" t="str">
        <f t="shared" si="37"/>
        <v>Kristen Williams</v>
      </c>
      <c r="F247" t="str">
        <f t="shared" si="38"/>
        <v>Kristen Williams</v>
      </c>
      <c r="H247" t="s">
        <v>86</v>
      </c>
      <c r="I247" t="str">
        <f t="shared" si="39"/>
        <v>Female</v>
      </c>
      <c r="J247">
        <v>47</v>
      </c>
      <c r="K247">
        <f t="shared" si="40"/>
        <v>47</v>
      </c>
      <c r="L247" t="str">
        <f t="shared" si="41"/>
        <v>Third level</v>
      </c>
      <c r="M247" t="s">
        <v>64</v>
      </c>
      <c r="N247" t="s">
        <v>24</v>
      </c>
      <c r="O247" t="s">
        <v>82</v>
      </c>
      <c r="P247">
        <v>18</v>
      </c>
      <c r="Q247">
        <f t="shared" si="42"/>
        <v>18</v>
      </c>
      <c r="R247" t="s">
        <v>76</v>
      </c>
      <c r="S247" s="8" t="s">
        <v>76</v>
      </c>
      <c r="T247" s="9">
        <v>40</v>
      </c>
      <c r="U247" s="9">
        <f t="shared" si="43"/>
        <v>40</v>
      </c>
      <c r="V247" s="10">
        <v>40</v>
      </c>
      <c r="W247">
        <v>3.4</v>
      </c>
      <c r="X247" s="11">
        <f t="shared" si="44"/>
        <v>3.4</v>
      </c>
      <c r="Y247" t="s">
        <v>2102</v>
      </c>
      <c r="Z247" t="str">
        <f t="shared" si="45"/>
        <v>No</v>
      </c>
      <c r="AA247" t="str">
        <f t="shared" si="46"/>
        <v>No</v>
      </c>
      <c r="AB247" t="str">
        <f t="shared" si="47"/>
        <v>No</v>
      </c>
      <c r="AC247" s="12">
        <v>60</v>
      </c>
      <c r="AD247" s="12">
        <f t="shared" si="48"/>
        <v>60</v>
      </c>
    </row>
    <row r="248" spans="1:30" x14ac:dyDescent="0.3">
      <c r="A248" t="s">
        <v>587</v>
      </c>
      <c r="B248" t="s">
        <v>588</v>
      </c>
      <c r="C248" t="s">
        <v>2106</v>
      </c>
      <c r="D248" t="s">
        <v>2207</v>
      </c>
      <c r="E248" t="str">
        <f t="shared" si="37"/>
        <v>Nicole Wright</v>
      </c>
      <c r="F248" t="str">
        <f t="shared" si="38"/>
        <v>Nicole Wright</v>
      </c>
      <c r="H248" t="s">
        <v>86</v>
      </c>
      <c r="I248" t="str">
        <f t="shared" si="39"/>
        <v>Female</v>
      </c>
      <c r="J248">
        <v>41</v>
      </c>
      <c r="K248">
        <f t="shared" si="40"/>
        <v>41</v>
      </c>
      <c r="L248" t="str">
        <f t="shared" si="41"/>
        <v>Third level</v>
      </c>
      <c r="M248" t="s">
        <v>70</v>
      </c>
      <c r="N248" t="s">
        <v>71</v>
      </c>
      <c r="O248" t="s">
        <v>17</v>
      </c>
      <c r="P248">
        <v>4</v>
      </c>
      <c r="Q248">
        <f t="shared" si="42"/>
        <v>4</v>
      </c>
      <c r="R248" t="s">
        <v>76</v>
      </c>
      <c r="S248" s="8" t="s">
        <v>76</v>
      </c>
      <c r="T248" s="9">
        <v>40</v>
      </c>
      <c r="U248" s="9">
        <f t="shared" si="43"/>
        <v>40</v>
      </c>
      <c r="V248" s="10">
        <v>40</v>
      </c>
      <c r="W248">
        <v>2.7</v>
      </c>
      <c r="X248" s="11">
        <f t="shared" si="44"/>
        <v>2.7</v>
      </c>
      <c r="Y248" t="s">
        <v>2103</v>
      </c>
      <c r="Z248" t="str">
        <f t="shared" si="45"/>
        <v>Yes</v>
      </c>
      <c r="AA248" t="str">
        <f t="shared" si="46"/>
        <v>Yes</v>
      </c>
      <c r="AB248" t="str">
        <f t="shared" si="47"/>
        <v>Yes</v>
      </c>
      <c r="AC248" s="12">
        <v>70</v>
      </c>
      <c r="AD248" s="12">
        <f t="shared" si="48"/>
        <v>70</v>
      </c>
    </row>
    <row r="249" spans="1:30" x14ac:dyDescent="0.3">
      <c r="A249" t="s">
        <v>589</v>
      </c>
      <c r="B249" t="s">
        <v>590</v>
      </c>
      <c r="C249" t="s">
        <v>2251</v>
      </c>
      <c r="D249" t="s">
        <v>2421</v>
      </c>
      <c r="E249" t="str">
        <f t="shared" si="37"/>
        <v>Andrew Ruiz</v>
      </c>
      <c r="F249" t="str">
        <f t="shared" si="38"/>
        <v>Andrew Ruiz</v>
      </c>
      <c r="H249" t="s">
        <v>30</v>
      </c>
      <c r="I249" t="str">
        <f t="shared" si="39"/>
        <v>Male</v>
      </c>
      <c r="J249">
        <v>58</v>
      </c>
      <c r="K249">
        <f t="shared" si="40"/>
        <v>58</v>
      </c>
      <c r="L249" t="str">
        <f t="shared" si="41"/>
        <v>Fourth level</v>
      </c>
      <c r="M249" t="s">
        <v>80</v>
      </c>
      <c r="N249" t="s">
        <v>81</v>
      </c>
      <c r="O249" t="s">
        <v>39</v>
      </c>
      <c r="P249">
        <v>23</v>
      </c>
      <c r="Q249">
        <f t="shared" si="42"/>
        <v>23</v>
      </c>
      <c r="R249" t="s">
        <v>65</v>
      </c>
      <c r="S249" s="8" t="s">
        <v>65</v>
      </c>
      <c r="T249" s="9"/>
      <c r="U249" s="9">
        <f t="shared" si="43"/>
        <v>52.708029197080293</v>
      </c>
      <c r="V249" s="10">
        <v>52.708029197080293</v>
      </c>
      <c r="W249">
        <v>4.9000000000000004</v>
      </c>
      <c r="X249" s="11">
        <f t="shared" si="44"/>
        <v>4.9000000000000004</v>
      </c>
      <c r="Y249" t="s">
        <v>2102</v>
      </c>
      <c r="Z249" t="str">
        <f t="shared" si="45"/>
        <v>No</v>
      </c>
      <c r="AA249" t="str">
        <f t="shared" si="46"/>
        <v>No</v>
      </c>
      <c r="AB249" t="str">
        <f t="shared" si="47"/>
        <v>No</v>
      </c>
      <c r="AC249" s="12"/>
      <c r="AD249" s="12">
        <f t="shared" si="48"/>
        <v>79.720447284345042</v>
      </c>
    </row>
    <row r="250" spans="1:30" x14ac:dyDescent="0.3">
      <c r="A250" t="s">
        <v>591</v>
      </c>
      <c r="B250" t="s">
        <v>592</v>
      </c>
      <c r="C250" t="s">
        <v>2395</v>
      </c>
      <c r="D250" t="s">
        <v>2454</v>
      </c>
      <c r="E250" t="str">
        <f t="shared" si="37"/>
        <v>Zachary Jackson</v>
      </c>
      <c r="F250" t="str">
        <f t="shared" si="38"/>
        <v>Zachary Jackson</v>
      </c>
      <c r="H250" t="s">
        <v>107</v>
      </c>
      <c r="I250" t="str">
        <f t="shared" si="39"/>
        <v>Male</v>
      </c>
      <c r="J250">
        <v>34</v>
      </c>
      <c r="K250">
        <f t="shared" si="40"/>
        <v>34</v>
      </c>
      <c r="L250" t="str">
        <f t="shared" si="41"/>
        <v>Second level</v>
      </c>
      <c r="M250" t="s">
        <v>186</v>
      </c>
      <c r="N250" t="s">
        <v>187</v>
      </c>
      <c r="O250" t="s">
        <v>57</v>
      </c>
      <c r="P250">
        <v>6</v>
      </c>
      <c r="Q250">
        <f t="shared" si="42"/>
        <v>6</v>
      </c>
      <c r="R250" t="s">
        <v>92</v>
      </c>
      <c r="S250" s="8" t="s">
        <v>92</v>
      </c>
      <c r="T250" s="9">
        <v>75</v>
      </c>
      <c r="U250" s="9">
        <f t="shared" si="43"/>
        <v>75</v>
      </c>
      <c r="V250" s="10">
        <v>75</v>
      </c>
      <c r="W250">
        <v>1.9</v>
      </c>
      <c r="X250" s="11">
        <f t="shared" si="44"/>
        <v>1.9</v>
      </c>
      <c r="Y250" t="s">
        <v>2103</v>
      </c>
      <c r="Z250" t="str">
        <f t="shared" si="45"/>
        <v>Yes</v>
      </c>
      <c r="AA250" t="str">
        <f t="shared" si="46"/>
        <v>Yes</v>
      </c>
      <c r="AB250" t="str">
        <f t="shared" si="47"/>
        <v>Yes</v>
      </c>
      <c r="AC250" s="12">
        <v>81</v>
      </c>
      <c r="AD250" s="12">
        <f t="shared" si="48"/>
        <v>81</v>
      </c>
    </row>
    <row r="251" spans="1:30" x14ac:dyDescent="0.3">
      <c r="A251" t="s">
        <v>593</v>
      </c>
      <c r="B251" t="s">
        <v>594</v>
      </c>
      <c r="C251" t="s">
        <v>2455</v>
      </c>
      <c r="D251" t="s">
        <v>2150</v>
      </c>
      <c r="E251" t="str">
        <f t="shared" si="37"/>
        <v>Stephanie Carter</v>
      </c>
      <c r="F251" t="str">
        <f t="shared" si="38"/>
        <v>Stephanie Carter</v>
      </c>
      <c r="H251" t="s">
        <v>86</v>
      </c>
      <c r="I251" t="str">
        <f t="shared" si="39"/>
        <v>Female</v>
      </c>
      <c r="J251">
        <v>50</v>
      </c>
      <c r="K251">
        <f t="shared" si="40"/>
        <v>50</v>
      </c>
      <c r="L251" t="str">
        <f t="shared" si="41"/>
        <v>Third level</v>
      </c>
      <c r="M251" t="s">
        <v>103</v>
      </c>
      <c r="N251" t="s">
        <v>104</v>
      </c>
      <c r="O251" t="s">
        <v>25</v>
      </c>
      <c r="P251">
        <v>5</v>
      </c>
      <c r="Q251">
        <f t="shared" si="42"/>
        <v>5</v>
      </c>
      <c r="R251" t="s">
        <v>18</v>
      </c>
      <c r="S251" s="8" t="s">
        <v>18</v>
      </c>
      <c r="T251" s="9">
        <v>100</v>
      </c>
      <c r="U251" s="9">
        <f t="shared" si="43"/>
        <v>100</v>
      </c>
      <c r="V251" s="10">
        <v>100</v>
      </c>
      <c r="X251" s="11">
        <f t="shared" si="44"/>
        <v>2.5555059523809511</v>
      </c>
      <c r="Y251" t="s">
        <v>2103</v>
      </c>
      <c r="Z251" t="str">
        <f t="shared" si="45"/>
        <v>Yes</v>
      </c>
      <c r="AA251" t="str">
        <f t="shared" si="46"/>
        <v>Yes</v>
      </c>
      <c r="AB251" t="str">
        <f t="shared" si="47"/>
        <v>Yes</v>
      </c>
      <c r="AC251" s="12"/>
      <c r="AD251" s="12">
        <f t="shared" si="48"/>
        <v>79.718400000000003</v>
      </c>
    </row>
    <row r="252" spans="1:30" x14ac:dyDescent="0.3">
      <c r="A252" t="s">
        <v>595</v>
      </c>
      <c r="B252" t="s">
        <v>596</v>
      </c>
      <c r="C252" t="s">
        <v>2173</v>
      </c>
      <c r="D252" t="s">
        <v>2456</v>
      </c>
      <c r="E252" t="str">
        <f t="shared" si="37"/>
        <v>Amy Olson</v>
      </c>
      <c r="F252" t="str">
        <f t="shared" si="38"/>
        <v>Amy Olson</v>
      </c>
      <c r="H252" t="s">
        <v>86</v>
      </c>
      <c r="I252" t="str">
        <f t="shared" si="39"/>
        <v>Female</v>
      </c>
      <c r="J252">
        <v>42</v>
      </c>
      <c r="K252">
        <f t="shared" si="40"/>
        <v>42</v>
      </c>
      <c r="L252" t="str">
        <f t="shared" si="41"/>
        <v>Third level</v>
      </c>
      <c r="M252" t="s">
        <v>190</v>
      </c>
      <c r="N252" t="s">
        <v>81</v>
      </c>
      <c r="O252" t="s">
        <v>99</v>
      </c>
      <c r="P252">
        <v>19</v>
      </c>
      <c r="Q252">
        <f t="shared" si="42"/>
        <v>19</v>
      </c>
      <c r="R252" t="s">
        <v>58</v>
      </c>
      <c r="S252" s="8" t="s">
        <v>2093</v>
      </c>
      <c r="T252" s="9">
        <v>75</v>
      </c>
      <c r="U252" s="9">
        <f t="shared" si="43"/>
        <v>75</v>
      </c>
      <c r="V252" s="10">
        <v>75</v>
      </c>
      <c r="W252">
        <v>4.5999999999999996</v>
      </c>
      <c r="X252" s="11">
        <f t="shared" si="44"/>
        <v>4.5999999999999996</v>
      </c>
      <c r="Y252" t="s">
        <v>2102</v>
      </c>
      <c r="Z252" t="str">
        <f t="shared" si="45"/>
        <v>No</v>
      </c>
      <c r="AA252" t="str">
        <f t="shared" si="46"/>
        <v>No</v>
      </c>
      <c r="AB252" t="str">
        <f t="shared" si="47"/>
        <v>No</v>
      </c>
      <c r="AC252" s="12">
        <v>78</v>
      </c>
      <c r="AD252" s="12">
        <f t="shared" si="48"/>
        <v>78</v>
      </c>
    </row>
    <row r="253" spans="1:30" x14ac:dyDescent="0.3">
      <c r="A253" t="s">
        <v>597</v>
      </c>
      <c r="B253" t="s">
        <v>598</v>
      </c>
      <c r="C253" t="s">
        <v>2457</v>
      </c>
      <c r="D253" t="s">
        <v>2458</v>
      </c>
      <c r="E253" t="str">
        <f t="shared" si="37"/>
        <v>Fred Stark</v>
      </c>
      <c r="F253" t="str">
        <f t="shared" si="38"/>
        <v>Fred Stark</v>
      </c>
      <c r="H253" t="s">
        <v>107</v>
      </c>
      <c r="I253" t="str">
        <f t="shared" si="39"/>
        <v>Male</v>
      </c>
      <c r="J253">
        <v>43</v>
      </c>
      <c r="K253">
        <f t="shared" si="40"/>
        <v>43</v>
      </c>
      <c r="L253" t="str">
        <f t="shared" si="41"/>
        <v>Third level</v>
      </c>
      <c r="M253" t="s">
        <v>31</v>
      </c>
      <c r="N253" t="s">
        <v>32</v>
      </c>
      <c r="O253" t="s">
        <v>82</v>
      </c>
      <c r="P253">
        <v>6</v>
      </c>
      <c r="Q253">
        <f t="shared" si="42"/>
        <v>6</v>
      </c>
      <c r="R253" t="s">
        <v>34</v>
      </c>
      <c r="S253" s="8" t="s">
        <v>34</v>
      </c>
      <c r="T253" s="9">
        <v>50</v>
      </c>
      <c r="U253" s="9">
        <f t="shared" si="43"/>
        <v>50</v>
      </c>
      <c r="V253" s="10">
        <v>50</v>
      </c>
      <c r="W253">
        <v>0</v>
      </c>
      <c r="X253" s="11">
        <f t="shared" si="44"/>
        <v>0</v>
      </c>
      <c r="Y253" t="s">
        <v>2102</v>
      </c>
      <c r="Z253" t="str">
        <f t="shared" si="45"/>
        <v>No</v>
      </c>
      <c r="AA253" t="str">
        <f t="shared" si="46"/>
        <v>No</v>
      </c>
      <c r="AB253" t="str">
        <f t="shared" si="47"/>
        <v>No</v>
      </c>
      <c r="AC253" s="12">
        <v>81</v>
      </c>
      <c r="AD253" s="12">
        <f t="shared" si="48"/>
        <v>81</v>
      </c>
    </row>
    <row r="254" spans="1:30" x14ac:dyDescent="0.3">
      <c r="A254" t="s">
        <v>599</v>
      </c>
      <c r="B254" t="s">
        <v>600</v>
      </c>
      <c r="C254" t="s">
        <v>2418</v>
      </c>
      <c r="D254" t="s">
        <v>2459</v>
      </c>
      <c r="E254" t="str">
        <f t="shared" si="37"/>
        <v>Jacob Gill</v>
      </c>
      <c r="F254" t="str">
        <f t="shared" si="38"/>
        <v>Jacob Gill</v>
      </c>
      <c r="H254" t="s">
        <v>107</v>
      </c>
      <c r="I254" t="str">
        <f t="shared" si="39"/>
        <v>Male</v>
      </c>
      <c r="J254">
        <v>34</v>
      </c>
      <c r="K254">
        <f t="shared" si="40"/>
        <v>34</v>
      </c>
      <c r="L254" t="str">
        <f t="shared" si="41"/>
        <v>Second level</v>
      </c>
      <c r="M254" t="s">
        <v>31</v>
      </c>
      <c r="N254" t="s">
        <v>32</v>
      </c>
      <c r="O254" t="s">
        <v>57</v>
      </c>
      <c r="P254">
        <v>8</v>
      </c>
      <c r="Q254">
        <f t="shared" si="42"/>
        <v>8</v>
      </c>
      <c r="R254" t="s">
        <v>92</v>
      </c>
      <c r="S254" s="8" t="s">
        <v>92</v>
      </c>
      <c r="T254" s="9">
        <v>75</v>
      </c>
      <c r="U254" s="9">
        <f t="shared" si="43"/>
        <v>75</v>
      </c>
      <c r="V254" s="10">
        <v>75</v>
      </c>
      <c r="W254">
        <v>1.8</v>
      </c>
      <c r="X254" s="11">
        <f t="shared" si="44"/>
        <v>1.8</v>
      </c>
      <c r="Y254" t="s">
        <v>2103</v>
      </c>
      <c r="Z254" t="str">
        <f t="shared" si="45"/>
        <v>Yes</v>
      </c>
      <c r="AA254" t="str">
        <f t="shared" si="46"/>
        <v>Yes</v>
      </c>
      <c r="AB254" t="str">
        <f t="shared" si="47"/>
        <v>Yes</v>
      </c>
      <c r="AC254" s="12">
        <v>71</v>
      </c>
      <c r="AD254" s="12">
        <f t="shared" si="48"/>
        <v>71</v>
      </c>
    </row>
    <row r="255" spans="1:30" x14ac:dyDescent="0.3">
      <c r="A255" t="s">
        <v>601</v>
      </c>
      <c r="B255" t="s">
        <v>602</v>
      </c>
      <c r="C255" t="s">
        <v>2368</v>
      </c>
      <c r="D255" t="s">
        <v>2309</v>
      </c>
      <c r="E255" t="str">
        <f t="shared" si="37"/>
        <v>Anthony Nichols</v>
      </c>
      <c r="F255" t="str">
        <f t="shared" si="38"/>
        <v>Anthony Nichols</v>
      </c>
      <c r="H255" t="s">
        <v>107</v>
      </c>
      <c r="I255" t="str">
        <f t="shared" si="39"/>
        <v>Male</v>
      </c>
      <c r="J255">
        <v>24</v>
      </c>
      <c r="K255">
        <f t="shared" si="40"/>
        <v>24</v>
      </c>
      <c r="L255" t="str">
        <f t="shared" si="41"/>
        <v>First level</v>
      </c>
      <c r="M255" t="s">
        <v>201</v>
      </c>
      <c r="N255" t="s">
        <v>81</v>
      </c>
      <c r="O255" t="s">
        <v>25</v>
      </c>
      <c r="P255">
        <v>3</v>
      </c>
      <c r="Q255">
        <f t="shared" si="42"/>
        <v>3</v>
      </c>
      <c r="R255" t="s">
        <v>92</v>
      </c>
      <c r="S255" s="8" t="s">
        <v>92</v>
      </c>
      <c r="T255" s="9">
        <v>75</v>
      </c>
      <c r="U255" s="9">
        <f t="shared" si="43"/>
        <v>75</v>
      </c>
      <c r="V255" s="10">
        <v>75</v>
      </c>
      <c r="W255">
        <v>2</v>
      </c>
      <c r="X255" s="11">
        <f t="shared" si="44"/>
        <v>2</v>
      </c>
      <c r="Y255" t="s">
        <v>2102</v>
      </c>
      <c r="Z255" t="str">
        <f t="shared" si="45"/>
        <v>No</v>
      </c>
      <c r="AA255" t="str">
        <f t="shared" si="46"/>
        <v>No</v>
      </c>
      <c r="AB255" t="str">
        <f t="shared" si="47"/>
        <v>No</v>
      </c>
      <c r="AC255" s="12"/>
      <c r="AD255" s="12">
        <f t="shared" si="48"/>
        <v>79.733118971061089</v>
      </c>
    </row>
    <row r="256" spans="1:30" x14ac:dyDescent="0.3">
      <c r="A256" t="s">
        <v>603</v>
      </c>
      <c r="B256" t="s">
        <v>604</v>
      </c>
      <c r="C256" t="s">
        <v>2371</v>
      </c>
      <c r="D256" t="s">
        <v>2460</v>
      </c>
      <c r="E256" t="str">
        <f t="shared" si="37"/>
        <v>William Knapp</v>
      </c>
      <c r="F256" t="str">
        <f t="shared" si="38"/>
        <v>William Knapp</v>
      </c>
      <c r="H256" t="s">
        <v>107</v>
      </c>
      <c r="I256" t="str">
        <f t="shared" si="39"/>
        <v>Male</v>
      </c>
      <c r="J256">
        <v>48</v>
      </c>
      <c r="K256">
        <f t="shared" si="40"/>
        <v>48</v>
      </c>
      <c r="L256" t="str">
        <f t="shared" si="41"/>
        <v>Third level</v>
      </c>
      <c r="M256" t="s">
        <v>164</v>
      </c>
      <c r="N256" t="s">
        <v>165</v>
      </c>
      <c r="O256" t="s">
        <v>82</v>
      </c>
      <c r="P256">
        <v>8</v>
      </c>
      <c r="Q256">
        <f t="shared" si="42"/>
        <v>8</v>
      </c>
      <c r="R256" t="s">
        <v>44</v>
      </c>
      <c r="S256" s="8" t="s">
        <v>44</v>
      </c>
      <c r="T256" s="9">
        <v>30</v>
      </c>
      <c r="U256" s="9">
        <f t="shared" si="43"/>
        <v>30</v>
      </c>
      <c r="V256" s="10">
        <v>30</v>
      </c>
      <c r="W256">
        <v>5</v>
      </c>
      <c r="X256" s="11">
        <f t="shared" si="44"/>
        <v>5</v>
      </c>
      <c r="Y256" t="s">
        <v>2103</v>
      </c>
      <c r="Z256" t="str">
        <f t="shared" si="45"/>
        <v>Yes</v>
      </c>
      <c r="AA256" t="str">
        <f t="shared" si="46"/>
        <v>Yes</v>
      </c>
      <c r="AB256" t="str">
        <f t="shared" si="47"/>
        <v>Yes</v>
      </c>
      <c r="AC256" s="12">
        <v>99</v>
      </c>
      <c r="AD256" s="12">
        <f t="shared" si="48"/>
        <v>99</v>
      </c>
    </row>
    <row r="257" spans="1:30" x14ac:dyDescent="0.3">
      <c r="A257" t="s">
        <v>605</v>
      </c>
      <c r="B257" t="s">
        <v>606</v>
      </c>
      <c r="C257" t="s">
        <v>2287</v>
      </c>
      <c r="D257" t="s">
        <v>2461</v>
      </c>
      <c r="E257" t="str">
        <f t="shared" si="37"/>
        <v>Elizabeth Walker</v>
      </c>
      <c r="F257" t="str">
        <f t="shared" si="38"/>
        <v>Elizabeth Walker</v>
      </c>
      <c r="H257" t="s">
        <v>86</v>
      </c>
      <c r="I257" t="str">
        <f t="shared" si="39"/>
        <v>Female</v>
      </c>
      <c r="J257">
        <v>39</v>
      </c>
      <c r="K257">
        <f t="shared" si="40"/>
        <v>39</v>
      </c>
      <c r="L257" t="str">
        <f t="shared" si="41"/>
        <v>Second level</v>
      </c>
      <c r="M257" t="s">
        <v>122</v>
      </c>
      <c r="N257" t="s">
        <v>123</v>
      </c>
      <c r="O257" t="s">
        <v>57</v>
      </c>
      <c r="P257">
        <v>12</v>
      </c>
      <c r="Q257">
        <f t="shared" si="42"/>
        <v>12</v>
      </c>
      <c r="R257" t="s">
        <v>131</v>
      </c>
      <c r="S257" s="8" t="s">
        <v>131</v>
      </c>
      <c r="T257" s="9">
        <v>20</v>
      </c>
      <c r="U257" s="9">
        <f t="shared" si="43"/>
        <v>20</v>
      </c>
      <c r="V257" s="10">
        <v>20</v>
      </c>
      <c r="W257">
        <v>3.2</v>
      </c>
      <c r="X257" s="11">
        <f t="shared" si="44"/>
        <v>3.2</v>
      </c>
      <c r="Y257" t="s">
        <v>2103</v>
      </c>
      <c r="Z257" t="str">
        <f t="shared" si="45"/>
        <v>Yes</v>
      </c>
      <c r="AA257" t="str">
        <f t="shared" si="46"/>
        <v>Yes</v>
      </c>
      <c r="AB257" t="str">
        <f t="shared" si="47"/>
        <v>Yes</v>
      </c>
      <c r="AC257" s="12">
        <v>66</v>
      </c>
      <c r="AD257" s="12">
        <f t="shared" si="48"/>
        <v>66</v>
      </c>
    </row>
    <row r="258" spans="1:30" x14ac:dyDescent="0.3">
      <c r="A258" t="s">
        <v>607</v>
      </c>
      <c r="B258" t="s">
        <v>608</v>
      </c>
      <c r="C258" t="s">
        <v>2256</v>
      </c>
      <c r="D258" t="s">
        <v>2462</v>
      </c>
      <c r="E258" t="str">
        <f t="shared" si="37"/>
        <v>Brenda Reeves</v>
      </c>
      <c r="F258" t="str">
        <f t="shared" si="38"/>
        <v>Brenda Reeves</v>
      </c>
      <c r="H258" t="s">
        <v>86</v>
      </c>
      <c r="I258" t="str">
        <f t="shared" si="39"/>
        <v>Female</v>
      </c>
      <c r="J258">
        <v>57</v>
      </c>
      <c r="K258">
        <f t="shared" si="40"/>
        <v>57</v>
      </c>
      <c r="L258" t="str">
        <f t="shared" si="41"/>
        <v>Fourth level</v>
      </c>
      <c r="M258" t="s">
        <v>23</v>
      </c>
      <c r="N258" t="s">
        <v>24</v>
      </c>
      <c r="O258" t="s">
        <v>17</v>
      </c>
      <c r="P258">
        <v>30</v>
      </c>
      <c r="Q258">
        <f t="shared" si="42"/>
        <v>30</v>
      </c>
      <c r="R258" t="s">
        <v>50</v>
      </c>
      <c r="S258" s="8" t="s">
        <v>50</v>
      </c>
      <c r="T258" s="9">
        <v>30</v>
      </c>
      <c r="U258" s="9">
        <f t="shared" si="43"/>
        <v>30</v>
      </c>
      <c r="V258" s="10">
        <v>30</v>
      </c>
      <c r="W258">
        <v>2.4</v>
      </c>
      <c r="X258" s="11">
        <f t="shared" si="44"/>
        <v>2.4</v>
      </c>
      <c r="Y258" t="s">
        <v>65</v>
      </c>
      <c r="AA258" t="str">
        <f t="shared" si="46"/>
        <v>Unknown</v>
      </c>
      <c r="AB258" t="str">
        <f t="shared" si="47"/>
        <v>Unknown</v>
      </c>
      <c r="AC258" s="12">
        <v>80</v>
      </c>
      <c r="AD258" s="12">
        <f t="shared" si="48"/>
        <v>80</v>
      </c>
    </row>
    <row r="259" spans="1:30" x14ac:dyDescent="0.3">
      <c r="A259" t="s">
        <v>609</v>
      </c>
      <c r="B259" t="s">
        <v>610</v>
      </c>
      <c r="C259" t="s">
        <v>2463</v>
      </c>
      <c r="D259" t="s">
        <v>2464</v>
      </c>
      <c r="E259" t="str">
        <f t="shared" ref="E259:E322" si="49">CONCATENATE(C259," ",D259)</f>
        <v>Carrie Little</v>
      </c>
      <c r="F259" t="str">
        <f t="shared" ref="F259:F322" si="50">PROPER(E259)</f>
        <v>Carrie Little</v>
      </c>
      <c r="H259" t="s">
        <v>22</v>
      </c>
      <c r="I259" t="str">
        <f t="shared" ref="I259:I322" si="51">PROPER(H259)</f>
        <v>Female</v>
      </c>
      <c r="J259">
        <v>44</v>
      </c>
      <c r="K259">
        <f t="shared" ref="K259:K322" si="52">IF(ISBLANK(J259),ROUND(AVERAGEIF($I$2:$I$1001,I259,$J$2:$J$1001),0),J259)</f>
        <v>44</v>
      </c>
      <c r="L259" t="str">
        <f t="shared" ref="L259:L322" si="53">IF(AND(K259&gt;=20,K259&lt;=30),"First level",IF(AND(K259&gt;30,K259&lt;=40),"Second level",IF(AND(K259&gt;40,K259&lt;=50),"Third level",IF(H266&gt;50,"Fourth level"))))</f>
        <v>Third level</v>
      </c>
      <c r="M259" t="s">
        <v>138</v>
      </c>
      <c r="N259" t="s">
        <v>24</v>
      </c>
      <c r="O259" t="s">
        <v>39</v>
      </c>
      <c r="P259">
        <v>21</v>
      </c>
      <c r="Q259">
        <f t="shared" ref="Q259:Q322" si="54">IF(ISBLANK(P259),ROUND(AVERAGEIF($L$2:$L$1001,L259,$P$2:$P$1001),0),P259)</f>
        <v>21</v>
      </c>
      <c r="R259" t="s">
        <v>18</v>
      </c>
      <c r="S259" s="8" t="s">
        <v>18</v>
      </c>
      <c r="T259" s="9">
        <v>100</v>
      </c>
      <c r="U259" s="9">
        <f t="shared" ref="U259:U322" si="55">IF(ISBLANK(T259),AVERAGE(T258:T1258),T259)</f>
        <v>100</v>
      </c>
      <c r="V259" s="10">
        <v>100</v>
      </c>
      <c r="W259">
        <v>2.9</v>
      </c>
      <c r="X259" s="11">
        <f t="shared" ref="X259:X322" si="56">IF(ISBLANK(W259),AVERAGE(W259:W1258),W259)</f>
        <v>2.9</v>
      </c>
      <c r="Y259" t="s">
        <v>2102</v>
      </c>
      <c r="Z259" t="str">
        <f t="shared" ref="Z259:Z322" si="57">CLEAN(Y259)</f>
        <v>No</v>
      </c>
      <c r="AA259" t="str">
        <f t="shared" ref="AA259:AA322" si="58">IF(ISBLANK(Z259),"Unknown",Z259)</f>
        <v>No</v>
      </c>
      <c r="AB259" t="str">
        <f t="shared" ref="AB259:AB322" si="59">PROPER(AA259)</f>
        <v>No</v>
      </c>
      <c r="AC259" s="12">
        <v>83</v>
      </c>
      <c r="AD259" s="12">
        <f t="shared" ref="AD259:AD322" si="60">IF(ISBLANK(AC259),AVERAGE(AC259:AC1258),AC259)</f>
        <v>83</v>
      </c>
    </row>
    <row r="260" spans="1:30" x14ac:dyDescent="0.3">
      <c r="A260" t="s">
        <v>611</v>
      </c>
      <c r="B260" t="s">
        <v>612</v>
      </c>
      <c r="C260" t="s">
        <v>2336</v>
      </c>
      <c r="D260" t="s">
        <v>2454</v>
      </c>
      <c r="E260" t="str">
        <f t="shared" si="49"/>
        <v>Steven Jackson</v>
      </c>
      <c r="F260" t="str">
        <f t="shared" si="50"/>
        <v>Steven Jackson</v>
      </c>
      <c r="H260" t="s">
        <v>30</v>
      </c>
      <c r="I260" t="str">
        <f t="shared" si="51"/>
        <v>Male</v>
      </c>
      <c r="J260">
        <v>37</v>
      </c>
      <c r="K260">
        <f t="shared" si="52"/>
        <v>37</v>
      </c>
      <c r="L260" t="str">
        <f t="shared" si="53"/>
        <v>Second level</v>
      </c>
      <c r="M260" t="s">
        <v>117</v>
      </c>
      <c r="N260" t="s">
        <v>118</v>
      </c>
      <c r="O260" t="s">
        <v>82</v>
      </c>
      <c r="P260">
        <v>17</v>
      </c>
      <c r="Q260">
        <f t="shared" si="54"/>
        <v>17</v>
      </c>
      <c r="R260" t="s">
        <v>325</v>
      </c>
      <c r="S260" s="8" t="s">
        <v>2097</v>
      </c>
      <c r="T260" s="9">
        <v>20</v>
      </c>
      <c r="U260" s="9">
        <f t="shared" si="55"/>
        <v>20</v>
      </c>
      <c r="V260" s="10">
        <v>20</v>
      </c>
      <c r="W260">
        <v>0</v>
      </c>
      <c r="X260" s="11">
        <f t="shared" si="56"/>
        <v>0</v>
      </c>
      <c r="Y260" t="s">
        <v>77</v>
      </c>
      <c r="Z260" t="str">
        <f t="shared" si="57"/>
        <v>yes</v>
      </c>
      <c r="AA260" t="str">
        <f t="shared" si="58"/>
        <v>yes</v>
      </c>
      <c r="AB260" t="str">
        <f t="shared" si="59"/>
        <v>Yes</v>
      </c>
      <c r="AC260" s="12">
        <v>87</v>
      </c>
      <c r="AD260" s="12">
        <f t="shared" si="60"/>
        <v>87</v>
      </c>
    </row>
    <row r="261" spans="1:30" x14ac:dyDescent="0.3">
      <c r="A261" t="s">
        <v>613</v>
      </c>
      <c r="B261" t="s">
        <v>614</v>
      </c>
      <c r="C261" t="s">
        <v>2206</v>
      </c>
      <c r="D261" t="s">
        <v>2465</v>
      </c>
      <c r="E261" t="str">
        <f t="shared" si="49"/>
        <v>Mark Perry</v>
      </c>
      <c r="F261" t="str">
        <f t="shared" si="50"/>
        <v>Mark Perry</v>
      </c>
      <c r="H261" t="s">
        <v>107</v>
      </c>
      <c r="I261" t="str">
        <f t="shared" si="51"/>
        <v>Male</v>
      </c>
      <c r="J261">
        <v>50</v>
      </c>
      <c r="K261">
        <f t="shared" si="52"/>
        <v>50</v>
      </c>
      <c r="L261" t="str">
        <f t="shared" si="53"/>
        <v>Third level</v>
      </c>
      <c r="M261" t="s">
        <v>70</v>
      </c>
      <c r="N261" t="s">
        <v>71</v>
      </c>
      <c r="O261" t="s">
        <v>57</v>
      </c>
      <c r="P261">
        <v>9</v>
      </c>
      <c r="Q261">
        <f t="shared" si="54"/>
        <v>9</v>
      </c>
      <c r="R261" t="s">
        <v>44</v>
      </c>
      <c r="S261" s="8" t="s">
        <v>44</v>
      </c>
      <c r="T261" s="9">
        <v>30</v>
      </c>
      <c r="U261" s="9">
        <f t="shared" si="55"/>
        <v>30</v>
      </c>
      <c r="V261" s="10">
        <v>30</v>
      </c>
      <c r="W261">
        <v>3</v>
      </c>
      <c r="X261" s="11">
        <f t="shared" si="56"/>
        <v>3</v>
      </c>
      <c r="Y261" t="s">
        <v>2102</v>
      </c>
      <c r="Z261" t="str">
        <f t="shared" si="57"/>
        <v>No</v>
      </c>
      <c r="AA261" t="str">
        <f t="shared" si="58"/>
        <v>No</v>
      </c>
      <c r="AB261" t="str">
        <f t="shared" si="59"/>
        <v>No</v>
      </c>
      <c r="AC261" s="12">
        <v>76</v>
      </c>
      <c r="AD261" s="12">
        <f t="shared" si="60"/>
        <v>76</v>
      </c>
    </row>
    <row r="262" spans="1:30" x14ac:dyDescent="0.3">
      <c r="A262" t="s">
        <v>615</v>
      </c>
      <c r="B262" t="s">
        <v>616</v>
      </c>
      <c r="C262" t="s">
        <v>2466</v>
      </c>
      <c r="D262" t="s">
        <v>2113</v>
      </c>
      <c r="E262" t="str">
        <f t="shared" si="49"/>
        <v>Cameron Spencer</v>
      </c>
      <c r="F262" t="str">
        <f t="shared" si="50"/>
        <v>Cameron Spencer</v>
      </c>
      <c r="H262" t="s">
        <v>107</v>
      </c>
      <c r="I262" t="str">
        <f t="shared" si="51"/>
        <v>Male</v>
      </c>
      <c r="J262">
        <v>50</v>
      </c>
      <c r="K262">
        <f t="shared" si="52"/>
        <v>50</v>
      </c>
      <c r="L262" t="str">
        <f t="shared" si="53"/>
        <v>Third level</v>
      </c>
      <c r="M262" t="s">
        <v>201</v>
      </c>
      <c r="N262" t="s">
        <v>81</v>
      </c>
      <c r="O262" t="s">
        <v>82</v>
      </c>
      <c r="P262">
        <v>2</v>
      </c>
      <c r="Q262">
        <f t="shared" si="54"/>
        <v>2</v>
      </c>
      <c r="R262" t="s">
        <v>34</v>
      </c>
      <c r="S262" s="8" t="s">
        <v>34</v>
      </c>
      <c r="T262" s="9">
        <v>50</v>
      </c>
      <c r="U262" s="9">
        <f t="shared" si="55"/>
        <v>50</v>
      </c>
      <c r="V262" s="10">
        <v>50</v>
      </c>
      <c r="W262">
        <v>1.6</v>
      </c>
      <c r="X262" s="11">
        <f t="shared" si="56"/>
        <v>1.6</v>
      </c>
      <c r="Y262" t="s">
        <v>170</v>
      </c>
      <c r="Z262" t="str">
        <f t="shared" si="57"/>
        <v>no</v>
      </c>
      <c r="AA262" t="str">
        <f t="shared" si="58"/>
        <v>no</v>
      </c>
      <c r="AB262" t="str">
        <f t="shared" si="59"/>
        <v>No</v>
      </c>
      <c r="AC262" s="12">
        <v>89</v>
      </c>
      <c r="AD262" s="12">
        <f t="shared" si="60"/>
        <v>89</v>
      </c>
    </row>
    <row r="263" spans="1:30" x14ac:dyDescent="0.3">
      <c r="A263" t="s">
        <v>617</v>
      </c>
      <c r="B263" t="s">
        <v>618</v>
      </c>
      <c r="C263" t="s">
        <v>2151</v>
      </c>
      <c r="D263" t="s">
        <v>2467</v>
      </c>
      <c r="E263" t="str">
        <f t="shared" si="49"/>
        <v>Jennifer Holmes</v>
      </c>
      <c r="F263" t="str">
        <f t="shared" si="50"/>
        <v>Jennifer Holmes</v>
      </c>
      <c r="H263" t="s">
        <v>86</v>
      </c>
      <c r="I263" t="str">
        <f t="shared" si="51"/>
        <v>Female</v>
      </c>
      <c r="J263">
        <v>28</v>
      </c>
      <c r="K263">
        <f t="shared" si="52"/>
        <v>28</v>
      </c>
      <c r="L263" t="str">
        <f t="shared" si="53"/>
        <v>First level</v>
      </c>
      <c r="M263" t="s">
        <v>145</v>
      </c>
      <c r="N263" t="s">
        <v>146</v>
      </c>
      <c r="O263" t="s">
        <v>33</v>
      </c>
      <c r="P263">
        <v>1</v>
      </c>
      <c r="Q263">
        <f t="shared" si="54"/>
        <v>1</v>
      </c>
      <c r="R263" t="s">
        <v>151</v>
      </c>
      <c r="S263" s="8" t="s">
        <v>151</v>
      </c>
      <c r="T263" s="9">
        <v>20</v>
      </c>
      <c r="U263" s="9">
        <f t="shared" si="55"/>
        <v>20</v>
      </c>
      <c r="V263" s="10">
        <v>20</v>
      </c>
      <c r="W263">
        <v>3.6</v>
      </c>
      <c r="X263" s="11">
        <f t="shared" si="56"/>
        <v>3.6</v>
      </c>
      <c r="Y263" t="s">
        <v>77</v>
      </c>
      <c r="Z263" t="str">
        <f t="shared" si="57"/>
        <v>yes</v>
      </c>
      <c r="AA263" t="str">
        <f t="shared" si="58"/>
        <v>yes</v>
      </c>
      <c r="AB263" t="str">
        <f t="shared" si="59"/>
        <v>Yes</v>
      </c>
      <c r="AC263" s="12">
        <v>94</v>
      </c>
      <c r="AD263" s="12">
        <f t="shared" si="60"/>
        <v>94</v>
      </c>
    </row>
    <row r="264" spans="1:30" x14ac:dyDescent="0.3">
      <c r="A264" t="s">
        <v>619</v>
      </c>
      <c r="B264" t="s">
        <v>620</v>
      </c>
      <c r="C264" t="s">
        <v>2418</v>
      </c>
      <c r="D264" t="s">
        <v>2380</v>
      </c>
      <c r="E264" t="str">
        <f t="shared" si="49"/>
        <v>Jacob Joseph</v>
      </c>
      <c r="F264" t="str">
        <f t="shared" si="50"/>
        <v>Jacob Joseph</v>
      </c>
      <c r="H264" t="s">
        <v>107</v>
      </c>
      <c r="I264" t="str">
        <f t="shared" si="51"/>
        <v>Male</v>
      </c>
      <c r="J264">
        <v>48</v>
      </c>
      <c r="K264">
        <f t="shared" si="52"/>
        <v>48</v>
      </c>
      <c r="L264" t="str">
        <f t="shared" si="53"/>
        <v>Third level</v>
      </c>
      <c r="M264" t="s">
        <v>15</v>
      </c>
      <c r="N264" t="s">
        <v>16</v>
      </c>
      <c r="O264" t="s">
        <v>39</v>
      </c>
      <c r="P264">
        <v>23</v>
      </c>
      <c r="Q264">
        <f t="shared" si="54"/>
        <v>23</v>
      </c>
      <c r="R264" t="s">
        <v>65</v>
      </c>
      <c r="S264" s="8" t="s">
        <v>65</v>
      </c>
      <c r="T264" s="9"/>
      <c r="U264" s="9">
        <f t="shared" si="55"/>
        <v>52.660208643815203</v>
      </c>
      <c r="V264" s="10">
        <v>52.660208643815203</v>
      </c>
      <c r="W264">
        <v>2.1</v>
      </c>
      <c r="X264" s="11">
        <f t="shared" si="56"/>
        <v>2.1</v>
      </c>
      <c r="Y264" t="s">
        <v>2102</v>
      </c>
      <c r="Z264" t="str">
        <f t="shared" si="57"/>
        <v>No</v>
      </c>
      <c r="AA264" t="str">
        <f t="shared" si="58"/>
        <v>No</v>
      </c>
      <c r="AB264" t="str">
        <f t="shared" si="59"/>
        <v>No</v>
      </c>
      <c r="AC264" s="12">
        <v>68</v>
      </c>
      <c r="AD264" s="12">
        <f t="shared" si="60"/>
        <v>68</v>
      </c>
    </row>
    <row r="265" spans="1:30" x14ac:dyDescent="0.3">
      <c r="A265" t="s">
        <v>621</v>
      </c>
      <c r="B265" t="s">
        <v>622</v>
      </c>
      <c r="C265" t="s">
        <v>2468</v>
      </c>
      <c r="D265" t="s">
        <v>2305</v>
      </c>
      <c r="E265" t="str">
        <f t="shared" si="49"/>
        <v>Jeffery Tucker</v>
      </c>
      <c r="F265" t="str">
        <f t="shared" si="50"/>
        <v>Jeffery Tucker</v>
      </c>
      <c r="H265" t="s">
        <v>107</v>
      </c>
      <c r="I265" t="str">
        <f t="shared" si="51"/>
        <v>Male</v>
      </c>
      <c r="J265">
        <v>42</v>
      </c>
      <c r="K265">
        <f t="shared" si="52"/>
        <v>42</v>
      </c>
      <c r="L265" t="str">
        <f t="shared" si="53"/>
        <v>Third level</v>
      </c>
      <c r="M265" t="s">
        <v>31</v>
      </c>
      <c r="N265" t="s">
        <v>32</v>
      </c>
      <c r="O265" t="s">
        <v>99</v>
      </c>
      <c r="P265">
        <v>8</v>
      </c>
      <c r="Q265">
        <f t="shared" si="54"/>
        <v>8</v>
      </c>
      <c r="R265" t="s">
        <v>44</v>
      </c>
      <c r="S265" s="8" t="s">
        <v>44</v>
      </c>
      <c r="T265" s="9">
        <v>30</v>
      </c>
      <c r="U265" s="9">
        <f t="shared" si="55"/>
        <v>30</v>
      </c>
      <c r="V265" s="10">
        <v>30</v>
      </c>
      <c r="W265">
        <v>3.6</v>
      </c>
      <c r="X265" s="11">
        <f t="shared" si="56"/>
        <v>3.6</v>
      </c>
      <c r="Y265" t="s">
        <v>2103</v>
      </c>
      <c r="Z265" t="str">
        <f t="shared" si="57"/>
        <v>Yes</v>
      </c>
      <c r="AA265" t="str">
        <f t="shared" si="58"/>
        <v>Yes</v>
      </c>
      <c r="AB265" t="str">
        <f t="shared" si="59"/>
        <v>Yes</v>
      </c>
      <c r="AC265" s="12">
        <v>96</v>
      </c>
      <c r="AD265" s="12">
        <f t="shared" si="60"/>
        <v>96</v>
      </c>
    </row>
    <row r="266" spans="1:30" x14ac:dyDescent="0.3">
      <c r="A266" t="s">
        <v>623</v>
      </c>
      <c r="B266" t="s">
        <v>624</v>
      </c>
      <c r="C266" t="s">
        <v>2433</v>
      </c>
      <c r="D266" t="s">
        <v>2469</v>
      </c>
      <c r="E266" t="str">
        <f t="shared" si="49"/>
        <v>Jacqueline Drake</v>
      </c>
      <c r="F266" t="str">
        <f t="shared" si="50"/>
        <v>Jacqueline Drake</v>
      </c>
      <c r="H266" t="s">
        <v>86</v>
      </c>
      <c r="I266" t="str">
        <f t="shared" si="51"/>
        <v>Female</v>
      </c>
      <c r="J266">
        <v>37</v>
      </c>
      <c r="K266">
        <f t="shared" si="52"/>
        <v>37</v>
      </c>
      <c r="L266" t="str">
        <f t="shared" si="53"/>
        <v>Second level</v>
      </c>
      <c r="M266" t="s">
        <v>138</v>
      </c>
      <c r="N266" t="s">
        <v>24</v>
      </c>
      <c r="O266" t="s">
        <v>57</v>
      </c>
      <c r="P266">
        <v>6</v>
      </c>
      <c r="Q266">
        <f t="shared" si="54"/>
        <v>6</v>
      </c>
      <c r="R266" t="s">
        <v>131</v>
      </c>
      <c r="S266" s="8" t="s">
        <v>131</v>
      </c>
      <c r="T266" s="9">
        <v>20</v>
      </c>
      <c r="U266" s="9">
        <f t="shared" si="55"/>
        <v>20</v>
      </c>
      <c r="V266" s="10">
        <v>20</v>
      </c>
      <c r="W266">
        <v>2.7</v>
      </c>
      <c r="X266" s="11">
        <f t="shared" si="56"/>
        <v>2.7</v>
      </c>
      <c r="Y266" t="s">
        <v>2103</v>
      </c>
      <c r="Z266" t="str">
        <f t="shared" si="57"/>
        <v>Yes</v>
      </c>
      <c r="AA266" t="str">
        <f t="shared" si="58"/>
        <v>Yes</v>
      </c>
      <c r="AB266" t="str">
        <f t="shared" si="59"/>
        <v>Yes</v>
      </c>
      <c r="AC266" s="12">
        <v>91</v>
      </c>
      <c r="AD266" s="12">
        <f t="shared" si="60"/>
        <v>91</v>
      </c>
    </row>
    <row r="267" spans="1:30" x14ac:dyDescent="0.3">
      <c r="A267" t="s">
        <v>625</v>
      </c>
      <c r="B267" t="s">
        <v>626</v>
      </c>
      <c r="C267" t="s">
        <v>2397</v>
      </c>
      <c r="D267" t="s">
        <v>2243</v>
      </c>
      <c r="E267" t="str">
        <f t="shared" si="49"/>
        <v>Brian Bautista</v>
      </c>
      <c r="F267" t="str">
        <f t="shared" si="50"/>
        <v>Brian Bautista</v>
      </c>
      <c r="H267" t="s">
        <v>107</v>
      </c>
      <c r="I267" t="str">
        <f t="shared" si="51"/>
        <v>Male</v>
      </c>
      <c r="J267">
        <v>21</v>
      </c>
      <c r="K267">
        <f t="shared" si="52"/>
        <v>21</v>
      </c>
      <c r="L267" t="str">
        <f t="shared" si="53"/>
        <v>First level</v>
      </c>
      <c r="M267" t="s">
        <v>103</v>
      </c>
      <c r="N267" t="s">
        <v>104</v>
      </c>
      <c r="O267" t="s">
        <v>17</v>
      </c>
      <c r="P267">
        <v>1</v>
      </c>
      <c r="Q267">
        <f t="shared" si="54"/>
        <v>1</v>
      </c>
      <c r="R267" t="s">
        <v>18</v>
      </c>
      <c r="S267" s="8" t="s">
        <v>18</v>
      </c>
      <c r="T267" s="9">
        <v>100</v>
      </c>
      <c r="U267" s="9">
        <f t="shared" si="55"/>
        <v>100</v>
      </c>
      <c r="V267" s="10">
        <v>100</v>
      </c>
      <c r="W267">
        <v>2.1</v>
      </c>
      <c r="X267" s="11">
        <f t="shared" si="56"/>
        <v>2.1</v>
      </c>
      <c r="Y267" t="s">
        <v>2103</v>
      </c>
      <c r="Z267" t="str">
        <f t="shared" si="57"/>
        <v>Yes</v>
      </c>
      <c r="AA267" t="str">
        <f t="shared" si="58"/>
        <v>Yes</v>
      </c>
      <c r="AB267" t="str">
        <f t="shared" si="59"/>
        <v>Yes</v>
      </c>
      <c r="AC267" s="12">
        <v>92</v>
      </c>
      <c r="AD267" s="12">
        <f t="shared" si="60"/>
        <v>92</v>
      </c>
    </row>
    <row r="268" spans="1:30" x14ac:dyDescent="0.3">
      <c r="A268" t="s">
        <v>627</v>
      </c>
      <c r="B268" t="s">
        <v>628</v>
      </c>
      <c r="C268" t="s">
        <v>2470</v>
      </c>
      <c r="D268" t="s">
        <v>2471</v>
      </c>
      <c r="E268" t="str">
        <f t="shared" si="49"/>
        <v>Dakota Wells</v>
      </c>
      <c r="F268" t="str">
        <f t="shared" si="50"/>
        <v>Dakota Wells</v>
      </c>
      <c r="H268" t="s">
        <v>69</v>
      </c>
      <c r="I268" t="str">
        <f t="shared" si="51"/>
        <v>Male</v>
      </c>
      <c r="J268">
        <v>50</v>
      </c>
      <c r="K268">
        <f t="shared" si="52"/>
        <v>50</v>
      </c>
      <c r="L268" t="str">
        <f t="shared" si="53"/>
        <v>Third level</v>
      </c>
      <c r="M268" t="s">
        <v>122</v>
      </c>
      <c r="N268" t="s">
        <v>123</v>
      </c>
      <c r="O268" t="s">
        <v>39</v>
      </c>
      <c r="P268">
        <v>19</v>
      </c>
      <c r="Q268">
        <f t="shared" si="54"/>
        <v>19</v>
      </c>
      <c r="R268" t="s">
        <v>40</v>
      </c>
      <c r="S268" s="8" t="s">
        <v>40</v>
      </c>
      <c r="T268" s="9">
        <v>40</v>
      </c>
      <c r="U268" s="9">
        <f t="shared" si="55"/>
        <v>40</v>
      </c>
      <c r="V268" s="10">
        <v>40</v>
      </c>
      <c r="W268">
        <v>4.9000000000000004</v>
      </c>
      <c r="X268" s="11">
        <f t="shared" si="56"/>
        <v>4.9000000000000004</v>
      </c>
      <c r="Y268" t="s">
        <v>65</v>
      </c>
      <c r="AA268" t="str">
        <f t="shared" si="58"/>
        <v>Unknown</v>
      </c>
      <c r="AB268" t="str">
        <f t="shared" si="59"/>
        <v>Unknown</v>
      </c>
      <c r="AC268" s="12">
        <v>82</v>
      </c>
      <c r="AD268" s="12">
        <f t="shared" si="60"/>
        <v>82</v>
      </c>
    </row>
    <row r="269" spans="1:30" x14ac:dyDescent="0.3">
      <c r="A269" t="s">
        <v>629</v>
      </c>
      <c r="B269" t="s">
        <v>630</v>
      </c>
      <c r="C269" t="s">
        <v>2195</v>
      </c>
      <c r="D269" t="s">
        <v>2176</v>
      </c>
      <c r="E269" t="str">
        <f t="shared" si="49"/>
        <v>Julie White</v>
      </c>
      <c r="F269" t="str">
        <f t="shared" si="50"/>
        <v>Julie White</v>
      </c>
      <c r="H269" t="s">
        <v>86</v>
      </c>
      <c r="I269" t="str">
        <f t="shared" si="51"/>
        <v>Female</v>
      </c>
      <c r="J269">
        <v>22</v>
      </c>
      <c r="K269">
        <f t="shared" si="52"/>
        <v>22</v>
      </c>
      <c r="L269" t="str">
        <f t="shared" si="53"/>
        <v>First level</v>
      </c>
      <c r="M269" t="s">
        <v>80</v>
      </c>
      <c r="N269" t="s">
        <v>81</v>
      </c>
      <c r="O269" t="s">
        <v>49</v>
      </c>
      <c r="P269">
        <v>2</v>
      </c>
      <c r="Q269">
        <f t="shared" si="54"/>
        <v>2</v>
      </c>
      <c r="R269" t="s">
        <v>44</v>
      </c>
      <c r="S269" s="8" t="s">
        <v>44</v>
      </c>
      <c r="T269" s="9">
        <v>30</v>
      </c>
      <c r="U269" s="9">
        <f t="shared" si="55"/>
        <v>30</v>
      </c>
      <c r="V269" s="10">
        <v>30</v>
      </c>
      <c r="W269">
        <v>2.1</v>
      </c>
      <c r="X269" s="11">
        <f t="shared" si="56"/>
        <v>2.1</v>
      </c>
      <c r="Y269" t="s">
        <v>65</v>
      </c>
      <c r="AA269" t="str">
        <f t="shared" si="58"/>
        <v>Unknown</v>
      </c>
      <c r="AB269" t="str">
        <f t="shared" si="59"/>
        <v>Unknown</v>
      </c>
      <c r="AC269" s="12"/>
      <c r="AD269" s="12">
        <f t="shared" si="60"/>
        <v>79.623973727421998</v>
      </c>
    </row>
    <row r="270" spans="1:30" x14ac:dyDescent="0.3">
      <c r="A270" t="s">
        <v>631</v>
      </c>
      <c r="B270" t="s">
        <v>632</v>
      </c>
      <c r="C270" t="s">
        <v>2209</v>
      </c>
      <c r="D270" t="s">
        <v>2472</v>
      </c>
      <c r="E270" t="str">
        <f t="shared" si="49"/>
        <v>Barbara Keith</v>
      </c>
      <c r="F270" t="str">
        <f t="shared" si="50"/>
        <v>Barbara Keith</v>
      </c>
      <c r="H270" t="s">
        <v>86</v>
      </c>
      <c r="I270" t="str">
        <f t="shared" si="51"/>
        <v>Female</v>
      </c>
      <c r="J270">
        <v>39</v>
      </c>
      <c r="K270">
        <f t="shared" si="52"/>
        <v>39</v>
      </c>
      <c r="L270" t="str">
        <f t="shared" si="53"/>
        <v>Second level</v>
      </c>
      <c r="M270" t="s">
        <v>95</v>
      </c>
      <c r="N270" t="s">
        <v>96</v>
      </c>
      <c r="O270" t="s">
        <v>39</v>
      </c>
      <c r="P270">
        <v>21</v>
      </c>
      <c r="Q270">
        <f t="shared" si="54"/>
        <v>21</v>
      </c>
      <c r="R270" t="s">
        <v>18</v>
      </c>
      <c r="S270" s="8" t="s">
        <v>18</v>
      </c>
      <c r="T270" s="9">
        <v>100</v>
      </c>
      <c r="U270" s="9">
        <f t="shared" si="55"/>
        <v>100</v>
      </c>
      <c r="V270" s="10">
        <v>100</v>
      </c>
      <c r="W270">
        <v>0</v>
      </c>
      <c r="X270" s="11">
        <f t="shared" si="56"/>
        <v>0</v>
      </c>
      <c r="Y270" t="s">
        <v>170</v>
      </c>
      <c r="Z270" t="str">
        <f t="shared" si="57"/>
        <v>no</v>
      </c>
      <c r="AA270" t="str">
        <f t="shared" si="58"/>
        <v>no</v>
      </c>
      <c r="AB270" t="str">
        <f t="shared" si="59"/>
        <v>No</v>
      </c>
      <c r="AC270" s="12">
        <v>91</v>
      </c>
      <c r="AD270" s="12">
        <f t="shared" si="60"/>
        <v>91</v>
      </c>
    </row>
    <row r="271" spans="1:30" x14ac:dyDescent="0.3">
      <c r="A271" t="s">
        <v>633</v>
      </c>
      <c r="B271" t="s">
        <v>634</v>
      </c>
      <c r="C271" t="s">
        <v>2473</v>
      </c>
      <c r="D271" t="s">
        <v>2474</v>
      </c>
      <c r="E271" t="str">
        <f t="shared" si="49"/>
        <v>Heather Camacho</v>
      </c>
      <c r="F271" t="str">
        <f t="shared" si="50"/>
        <v>Heather Camacho</v>
      </c>
      <c r="H271" t="s">
        <v>86</v>
      </c>
      <c r="I271" t="str">
        <f t="shared" si="51"/>
        <v>Female</v>
      </c>
      <c r="J271">
        <v>25</v>
      </c>
      <c r="K271">
        <f t="shared" si="52"/>
        <v>25</v>
      </c>
      <c r="L271" t="str">
        <f t="shared" si="53"/>
        <v>First level</v>
      </c>
      <c r="M271" t="s">
        <v>95</v>
      </c>
      <c r="N271" t="s">
        <v>96</v>
      </c>
      <c r="O271" t="s">
        <v>124</v>
      </c>
      <c r="P271">
        <v>3</v>
      </c>
      <c r="Q271">
        <f t="shared" si="54"/>
        <v>3</v>
      </c>
      <c r="R271" t="s">
        <v>72</v>
      </c>
      <c r="S271" s="8" t="s">
        <v>72</v>
      </c>
      <c r="T271" s="9">
        <v>50</v>
      </c>
      <c r="U271" s="9">
        <f t="shared" si="55"/>
        <v>50</v>
      </c>
      <c r="V271" s="10">
        <v>50</v>
      </c>
      <c r="W271">
        <v>2.8</v>
      </c>
      <c r="X271" s="11">
        <f t="shared" si="56"/>
        <v>2.8</v>
      </c>
      <c r="Y271" t="s">
        <v>77</v>
      </c>
      <c r="Z271" t="str">
        <f t="shared" si="57"/>
        <v>yes</v>
      </c>
      <c r="AA271" t="str">
        <f t="shared" si="58"/>
        <v>yes</v>
      </c>
      <c r="AB271" t="str">
        <f t="shared" si="59"/>
        <v>Yes</v>
      </c>
      <c r="AC271" s="12">
        <v>86</v>
      </c>
      <c r="AD271" s="12">
        <f t="shared" si="60"/>
        <v>86</v>
      </c>
    </row>
    <row r="272" spans="1:30" x14ac:dyDescent="0.3">
      <c r="A272" t="s">
        <v>635</v>
      </c>
      <c r="B272" t="s">
        <v>636</v>
      </c>
      <c r="C272" t="s">
        <v>2149</v>
      </c>
      <c r="D272" t="s">
        <v>2238</v>
      </c>
      <c r="E272" t="str">
        <f t="shared" si="49"/>
        <v>Melanie Harris</v>
      </c>
      <c r="F272" t="str">
        <f t="shared" si="50"/>
        <v>Melanie Harris</v>
      </c>
      <c r="H272" t="s">
        <v>22</v>
      </c>
      <c r="I272" t="str">
        <f t="shared" si="51"/>
        <v>Female</v>
      </c>
      <c r="J272">
        <v>47</v>
      </c>
      <c r="K272">
        <f t="shared" si="52"/>
        <v>47</v>
      </c>
      <c r="L272" t="str">
        <f t="shared" si="53"/>
        <v>Third level</v>
      </c>
      <c r="M272" t="s">
        <v>164</v>
      </c>
      <c r="N272" t="s">
        <v>165</v>
      </c>
      <c r="O272" t="s">
        <v>25</v>
      </c>
      <c r="P272">
        <v>14</v>
      </c>
      <c r="Q272">
        <f t="shared" si="54"/>
        <v>14</v>
      </c>
      <c r="R272" t="s">
        <v>65</v>
      </c>
      <c r="S272" s="8" t="s">
        <v>65</v>
      </c>
      <c r="T272" s="9"/>
      <c r="U272" s="9">
        <f t="shared" si="55"/>
        <v>52.703313253012048</v>
      </c>
      <c r="V272" s="10">
        <v>52.703313253012048</v>
      </c>
      <c r="X272" s="11">
        <f t="shared" si="56"/>
        <v>2.5565950920245379</v>
      </c>
      <c r="Y272" t="s">
        <v>2102</v>
      </c>
      <c r="Z272" t="str">
        <f t="shared" si="57"/>
        <v>No</v>
      </c>
      <c r="AA272" t="str">
        <f t="shared" si="58"/>
        <v>No</v>
      </c>
      <c r="AB272" t="str">
        <f t="shared" si="59"/>
        <v>No</v>
      </c>
      <c r="AC272" s="12">
        <v>69</v>
      </c>
      <c r="AD272" s="12">
        <f t="shared" si="60"/>
        <v>69</v>
      </c>
    </row>
    <row r="273" spans="1:30" x14ac:dyDescent="0.3">
      <c r="A273" t="s">
        <v>637</v>
      </c>
      <c r="B273" t="s">
        <v>638</v>
      </c>
      <c r="C273" t="s">
        <v>2433</v>
      </c>
      <c r="D273" t="s">
        <v>2475</v>
      </c>
      <c r="E273" t="str">
        <f t="shared" si="49"/>
        <v>Jacqueline Peterson</v>
      </c>
      <c r="F273" t="str">
        <f t="shared" si="50"/>
        <v>Jacqueline Peterson</v>
      </c>
      <c r="H273" t="s">
        <v>86</v>
      </c>
      <c r="I273" t="str">
        <f t="shared" si="51"/>
        <v>Female</v>
      </c>
      <c r="J273">
        <v>35</v>
      </c>
      <c r="K273">
        <f t="shared" si="52"/>
        <v>35</v>
      </c>
      <c r="L273" t="str">
        <f t="shared" si="53"/>
        <v>Second level</v>
      </c>
      <c r="M273" t="s">
        <v>164</v>
      </c>
      <c r="N273" t="s">
        <v>165</v>
      </c>
      <c r="O273" t="s">
        <v>82</v>
      </c>
      <c r="P273">
        <v>10</v>
      </c>
      <c r="Q273">
        <f t="shared" si="54"/>
        <v>10</v>
      </c>
      <c r="R273" t="s">
        <v>26</v>
      </c>
      <c r="S273" s="8" t="s">
        <v>18</v>
      </c>
      <c r="T273" s="9">
        <v>100</v>
      </c>
      <c r="U273" s="9">
        <f t="shared" si="55"/>
        <v>100</v>
      </c>
      <c r="V273" s="10">
        <v>100</v>
      </c>
      <c r="W273">
        <v>4.7</v>
      </c>
      <c r="X273" s="11">
        <f t="shared" si="56"/>
        <v>4.7</v>
      </c>
      <c r="Y273" t="s">
        <v>2103</v>
      </c>
      <c r="Z273" t="str">
        <f t="shared" si="57"/>
        <v>Yes</v>
      </c>
      <c r="AA273" t="str">
        <f t="shared" si="58"/>
        <v>Yes</v>
      </c>
      <c r="AB273" t="str">
        <f t="shared" si="59"/>
        <v>Yes</v>
      </c>
      <c r="AC273" s="12">
        <v>84</v>
      </c>
      <c r="AD273" s="12">
        <f t="shared" si="60"/>
        <v>84</v>
      </c>
    </row>
    <row r="274" spans="1:30" x14ac:dyDescent="0.3">
      <c r="A274" t="s">
        <v>639</v>
      </c>
      <c r="B274" t="s">
        <v>640</v>
      </c>
      <c r="C274" t="s">
        <v>2476</v>
      </c>
      <c r="D274" t="s">
        <v>2477</v>
      </c>
      <c r="E274" t="str">
        <f t="shared" si="49"/>
        <v>Nancy Long</v>
      </c>
      <c r="F274" t="str">
        <f t="shared" si="50"/>
        <v>Nancy Long</v>
      </c>
      <c r="H274" t="s">
        <v>86</v>
      </c>
      <c r="I274" t="str">
        <f t="shared" si="51"/>
        <v>Female</v>
      </c>
      <c r="K274">
        <f t="shared" si="52"/>
        <v>40</v>
      </c>
      <c r="L274" t="str">
        <f t="shared" si="53"/>
        <v>Second level</v>
      </c>
      <c r="M274" t="s">
        <v>75</v>
      </c>
      <c r="N274" t="s">
        <v>24</v>
      </c>
      <c r="O274" t="s">
        <v>87</v>
      </c>
      <c r="P274">
        <v>5</v>
      </c>
      <c r="Q274">
        <f t="shared" si="54"/>
        <v>5</v>
      </c>
      <c r="R274" t="s">
        <v>18</v>
      </c>
      <c r="S274" s="8" t="s">
        <v>18</v>
      </c>
      <c r="T274" s="9">
        <v>100</v>
      </c>
      <c r="U274" s="9">
        <f t="shared" si="55"/>
        <v>100</v>
      </c>
      <c r="V274" s="10">
        <v>100</v>
      </c>
      <c r="W274">
        <v>1.3</v>
      </c>
      <c r="X274" s="11">
        <f t="shared" si="56"/>
        <v>1.3</v>
      </c>
      <c r="Y274" t="s">
        <v>2102</v>
      </c>
      <c r="Z274" t="str">
        <f t="shared" si="57"/>
        <v>No</v>
      </c>
      <c r="AA274" t="str">
        <f t="shared" si="58"/>
        <v>No</v>
      </c>
      <c r="AB274" t="str">
        <f t="shared" si="59"/>
        <v>No</v>
      </c>
      <c r="AC274" s="12">
        <v>60</v>
      </c>
      <c r="AD274" s="12">
        <f t="shared" si="60"/>
        <v>60</v>
      </c>
    </row>
    <row r="275" spans="1:30" x14ac:dyDescent="0.3">
      <c r="A275" t="s">
        <v>641</v>
      </c>
      <c r="B275" t="s">
        <v>642</v>
      </c>
      <c r="C275" t="s">
        <v>2110</v>
      </c>
      <c r="D275" t="s">
        <v>2350</v>
      </c>
      <c r="E275" t="str">
        <f t="shared" si="49"/>
        <v>Juan Mitchell</v>
      </c>
      <c r="F275" t="str">
        <f t="shared" si="50"/>
        <v>Juan Mitchell</v>
      </c>
      <c r="H275" t="s">
        <v>30</v>
      </c>
      <c r="I275" t="str">
        <f t="shared" si="51"/>
        <v>Male</v>
      </c>
      <c r="J275">
        <v>35</v>
      </c>
      <c r="K275">
        <f t="shared" si="52"/>
        <v>35</v>
      </c>
      <c r="L275" t="str">
        <f t="shared" si="53"/>
        <v>Second level</v>
      </c>
      <c r="M275" t="s">
        <v>47</v>
      </c>
      <c r="N275" t="s">
        <v>48</v>
      </c>
      <c r="O275" t="s">
        <v>17</v>
      </c>
      <c r="P275">
        <v>6</v>
      </c>
      <c r="Q275">
        <f t="shared" si="54"/>
        <v>6</v>
      </c>
      <c r="R275" t="s">
        <v>58</v>
      </c>
      <c r="S275" s="8" t="s">
        <v>2093</v>
      </c>
      <c r="T275" s="9">
        <v>75</v>
      </c>
      <c r="U275" s="9">
        <f t="shared" si="55"/>
        <v>75</v>
      </c>
      <c r="V275" s="10">
        <v>75</v>
      </c>
      <c r="W275">
        <v>1.6</v>
      </c>
      <c r="X275" s="11">
        <f t="shared" si="56"/>
        <v>1.6</v>
      </c>
      <c r="Y275" t="s">
        <v>2103</v>
      </c>
      <c r="Z275" t="str">
        <f t="shared" si="57"/>
        <v>Yes</v>
      </c>
      <c r="AA275" t="str">
        <f t="shared" si="58"/>
        <v>Yes</v>
      </c>
      <c r="AB275" t="str">
        <f t="shared" si="59"/>
        <v>Yes</v>
      </c>
      <c r="AC275" s="12">
        <v>97</v>
      </c>
      <c r="AD275" s="12">
        <f t="shared" si="60"/>
        <v>97</v>
      </c>
    </row>
    <row r="276" spans="1:30" x14ac:dyDescent="0.3">
      <c r="A276" t="s">
        <v>643</v>
      </c>
      <c r="B276" t="s">
        <v>644</v>
      </c>
      <c r="C276" t="s">
        <v>2371</v>
      </c>
      <c r="D276" t="s">
        <v>2478</v>
      </c>
      <c r="E276" t="str">
        <f t="shared" si="49"/>
        <v>William Gaines</v>
      </c>
      <c r="F276" t="str">
        <f t="shared" si="50"/>
        <v>William Gaines</v>
      </c>
      <c r="H276" t="s">
        <v>107</v>
      </c>
      <c r="I276" t="str">
        <f t="shared" si="51"/>
        <v>Male</v>
      </c>
      <c r="J276">
        <v>59</v>
      </c>
      <c r="K276">
        <f t="shared" si="52"/>
        <v>59</v>
      </c>
      <c r="L276" t="str">
        <f t="shared" si="53"/>
        <v>Fourth level</v>
      </c>
      <c r="M276" t="s">
        <v>145</v>
      </c>
      <c r="N276" t="s">
        <v>146</v>
      </c>
      <c r="O276" t="s">
        <v>39</v>
      </c>
      <c r="P276">
        <v>21</v>
      </c>
      <c r="Q276">
        <f t="shared" si="54"/>
        <v>21</v>
      </c>
      <c r="R276" t="s">
        <v>18</v>
      </c>
      <c r="S276" s="8" t="s">
        <v>18</v>
      </c>
      <c r="T276" s="9">
        <v>100</v>
      </c>
      <c r="U276" s="9">
        <f t="shared" si="55"/>
        <v>100</v>
      </c>
      <c r="V276" s="10">
        <v>100</v>
      </c>
      <c r="W276">
        <v>0</v>
      </c>
      <c r="X276" s="11">
        <f t="shared" si="56"/>
        <v>0</v>
      </c>
      <c r="Y276" t="s">
        <v>65</v>
      </c>
      <c r="AA276" t="str">
        <f t="shared" si="58"/>
        <v>Unknown</v>
      </c>
      <c r="AB276" t="str">
        <f t="shared" si="59"/>
        <v>Unknown</v>
      </c>
      <c r="AC276" s="12">
        <v>70</v>
      </c>
      <c r="AD276" s="12">
        <f t="shared" si="60"/>
        <v>70</v>
      </c>
    </row>
    <row r="277" spans="1:30" x14ac:dyDescent="0.3">
      <c r="A277" t="s">
        <v>645</v>
      </c>
      <c r="B277" t="s">
        <v>646</v>
      </c>
      <c r="C277" t="s">
        <v>2479</v>
      </c>
      <c r="D277" t="s">
        <v>2480</v>
      </c>
      <c r="E277" t="str">
        <f t="shared" si="49"/>
        <v>Haley Yates</v>
      </c>
      <c r="F277" t="str">
        <f t="shared" si="50"/>
        <v>Haley Yates</v>
      </c>
      <c r="H277" t="s">
        <v>22</v>
      </c>
      <c r="I277" t="str">
        <f t="shared" si="51"/>
        <v>Female</v>
      </c>
      <c r="J277">
        <v>26</v>
      </c>
      <c r="K277">
        <f t="shared" si="52"/>
        <v>26</v>
      </c>
      <c r="L277" t="str">
        <f t="shared" si="53"/>
        <v>First level</v>
      </c>
      <c r="M277" t="s">
        <v>186</v>
      </c>
      <c r="N277" t="s">
        <v>187</v>
      </c>
      <c r="O277" t="s">
        <v>82</v>
      </c>
      <c r="P277">
        <v>4</v>
      </c>
      <c r="Q277">
        <f t="shared" si="54"/>
        <v>4</v>
      </c>
      <c r="R277" t="s">
        <v>26</v>
      </c>
      <c r="S277" s="8" t="s">
        <v>18</v>
      </c>
      <c r="T277" s="9">
        <v>100</v>
      </c>
      <c r="U277" s="9">
        <f t="shared" si="55"/>
        <v>100</v>
      </c>
      <c r="V277" s="10">
        <v>100</v>
      </c>
      <c r="W277">
        <v>3.6</v>
      </c>
      <c r="X277" s="11">
        <f t="shared" si="56"/>
        <v>3.6</v>
      </c>
      <c r="Y277" t="s">
        <v>170</v>
      </c>
      <c r="Z277" t="str">
        <f t="shared" si="57"/>
        <v>no</v>
      </c>
      <c r="AA277" t="str">
        <f t="shared" si="58"/>
        <v>no</v>
      </c>
      <c r="AB277" t="str">
        <f t="shared" si="59"/>
        <v>No</v>
      </c>
      <c r="AC277" s="12">
        <v>81</v>
      </c>
      <c r="AD277" s="12">
        <f t="shared" si="60"/>
        <v>81</v>
      </c>
    </row>
    <row r="278" spans="1:30" x14ac:dyDescent="0.3">
      <c r="A278" t="s">
        <v>647</v>
      </c>
      <c r="B278" t="s">
        <v>648</v>
      </c>
      <c r="C278" t="s">
        <v>2428</v>
      </c>
      <c r="D278" t="s">
        <v>2344</v>
      </c>
      <c r="E278" t="str">
        <f t="shared" si="49"/>
        <v>Richard Mcguire</v>
      </c>
      <c r="F278" t="str">
        <f t="shared" si="50"/>
        <v>Richard Mcguire</v>
      </c>
      <c r="H278" t="s">
        <v>69</v>
      </c>
      <c r="I278" t="str">
        <f t="shared" si="51"/>
        <v>Male</v>
      </c>
      <c r="J278">
        <v>44</v>
      </c>
      <c r="K278">
        <f t="shared" si="52"/>
        <v>44</v>
      </c>
      <c r="L278" t="str">
        <f t="shared" si="53"/>
        <v>Third level</v>
      </c>
      <c r="M278" t="s">
        <v>134</v>
      </c>
      <c r="N278" t="s">
        <v>135</v>
      </c>
      <c r="O278" t="s">
        <v>124</v>
      </c>
      <c r="P278">
        <v>18</v>
      </c>
      <c r="Q278">
        <f t="shared" si="54"/>
        <v>18</v>
      </c>
      <c r="R278" t="s">
        <v>151</v>
      </c>
      <c r="S278" s="8" t="s">
        <v>151</v>
      </c>
      <c r="T278" s="9">
        <v>20</v>
      </c>
      <c r="U278" s="9">
        <f t="shared" si="55"/>
        <v>20</v>
      </c>
      <c r="V278" s="10">
        <v>20</v>
      </c>
      <c r="W278">
        <v>4.7</v>
      </c>
      <c r="X278" s="11">
        <f t="shared" si="56"/>
        <v>4.7</v>
      </c>
      <c r="Y278" t="s">
        <v>2103</v>
      </c>
      <c r="Z278" t="str">
        <f t="shared" si="57"/>
        <v>Yes</v>
      </c>
      <c r="AA278" t="str">
        <f t="shared" si="58"/>
        <v>Yes</v>
      </c>
      <c r="AB278" t="str">
        <f t="shared" si="59"/>
        <v>Yes</v>
      </c>
      <c r="AC278" s="12">
        <v>88</v>
      </c>
      <c r="AD278" s="12">
        <f t="shared" si="60"/>
        <v>88</v>
      </c>
    </row>
    <row r="279" spans="1:30" x14ac:dyDescent="0.3">
      <c r="A279" t="s">
        <v>649</v>
      </c>
      <c r="B279" t="s">
        <v>650</v>
      </c>
      <c r="C279" t="s">
        <v>2455</v>
      </c>
      <c r="D279" t="s">
        <v>2481</v>
      </c>
      <c r="E279" t="str">
        <f t="shared" si="49"/>
        <v>Stephanie Fisher</v>
      </c>
      <c r="F279" t="str">
        <f t="shared" si="50"/>
        <v>Stephanie Fisher</v>
      </c>
      <c r="H279" t="s">
        <v>86</v>
      </c>
      <c r="I279" t="str">
        <f t="shared" si="51"/>
        <v>Female</v>
      </c>
      <c r="J279">
        <v>31</v>
      </c>
      <c r="K279">
        <f t="shared" si="52"/>
        <v>31</v>
      </c>
      <c r="L279" t="str">
        <f t="shared" si="53"/>
        <v>Second level</v>
      </c>
      <c r="M279" t="s">
        <v>164</v>
      </c>
      <c r="N279" t="s">
        <v>165</v>
      </c>
      <c r="O279" t="s">
        <v>82</v>
      </c>
      <c r="P279">
        <v>12</v>
      </c>
      <c r="Q279">
        <f t="shared" si="54"/>
        <v>12</v>
      </c>
      <c r="R279" t="s">
        <v>40</v>
      </c>
      <c r="S279" s="8" t="s">
        <v>40</v>
      </c>
      <c r="T279" s="9">
        <v>40</v>
      </c>
      <c r="U279" s="9">
        <f t="shared" si="55"/>
        <v>40</v>
      </c>
      <c r="V279" s="10">
        <v>40</v>
      </c>
      <c r="X279" s="11">
        <f t="shared" si="56"/>
        <v>2.5557275541795645</v>
      </c>
      <c r="Y279" t="s">
        <v>2103</v>
      </c>
      <c r="Z279" t="str">
        <f t="shared" si="57"/>
        <v>Yes</v>
      </c>
      <c r="AA279" t="str">
        <f t="shared" si="58"/>
        <v>Yes</v>
      </c>
      <c r="AB279" t="str">
        <f t="shared" si="59"/>
        <v>Yes</v>
      </c>
      <c r="AC279" s="12">
        <v>100</v>
      </c>
      <c r="AD279" s="12">
        <f t="shared" si="60"/>
        <v>100</v>
      </c>
    </row>
    <row r="280" spans="1:30" x14ac:dyDescent="0.3">
      <c r="A280" t="s">
        <v>651</v>
      </c>
      <c r="B280" t="s">
        <v>652</v>
      </c>
      <c r="C280" t="s">
        <v>2368</v>
      </c>
      <c r="D280" t="s">
        <v>2482</v>
      </c>
      <c r="E280" t="str">
        <f t="shared" si="49"/>
        <v>Anthony Goodwin</v>
      </c>
      <c r="F280" t="str">
        <f t="shared" si="50"/>
        <v>Anthony Goodwin</v>
      </c>
      <c r="H280" t="s">
        <v>30</v>
      </c>
      <c r="I280" t="str">
        <f t="shared" si="51"/>
        <v>Male</v>
      </c>
      <c r="J280">
        <v>60</v>
      </c>
      <c r="K280">
        <f t="shared" si="52"/>
        <v>60</v>
      </c>
      <c r="L280" t="str">
        <f t="shared" si="53"/>
        <v>Fourth level</v>
      </c>
      <c r="M280" t="s">
        <v>70</v>
      </c>
      <c r="N280" t="s">
        <v>71</v>
      </c>
      <c r="O280" t="s">
        <v>57</v>
      </c>
      <c r="P280">
        <v>6</v>
      </c>
      <c r="Q280">
        <f t="shared" si="54"/>
        <v>6</v>
      </c>
      <c r="R280" t="s">
        <v>65</v>
      </c>
      <c r="S280" s="8" t="s">
        <v>65</v>
      </c>
      <c r="T280" s="9"/>
      <c r="U280" s="9">
        <f t="shared" si="55"/>
        <v>52.435312024353124</v>
      </c>
      <c r="V280" s="10">
        <v>52.435312024353124</v>
      </c>
      <c r="W280">
        <v>3.2</v>
      </c>
      <c r="X280" s="11">
        <f t="shared" si="56"/>
        <v>3.2</v>
      </c>
      <c r="Y280" t="s">
        <v>2102</v>
      </c>
      <c r="Z280" t="str">
        <f t="shared" si="57"/>
        <v>No</v>
      </c>
      <c r="AA280" t="str">
        <f t="shared" si="58"/>
        <v>No</v>
      </c>
      <c r="AB280" t="str">
        <f t="shared" si="59"/>
        <v>No</v>
      </c>
      <c r="AC280" s="12">
        <v>95</v>
      </c>
      <c r="AD280" s="12">
        <f t="shared" si="60"/>
        <v>95</v>
      </c>
    </row>
    <row r="281" spans="1:30" x14ac:dyDescent="0.3">
      <c r="A281" t="s">
        <v>653</v>
      </c>
      <c r="B281" t="s">
        <v>654</v>
      </c>
      <c r="C281" t="s">
        <v>2483</v>
      </c>
      <c r="D281" t="s">
        <v>2484</v>
      </c>
      <c r="E281" t="str">
        <f t="shared" si="49"/>
        <v>Meagan Walters</v>
      </c>
      <c r="F281" t="str">
        <f t="shared" si="50"/>
        <v>Meagan Walters</v>
      </c>
      <c r="H281" t="s">
        <v>43</v>
      </c>
      <c r="I281" t="str">
        <f t="shared" si="51"/>
        <v>Female</v>
      </c>
      <c r="J281">
        <v>23</v>
      </c>
      <c r="K281">
        <f t="shared" si="52"/>
        <v>23</v>
      </c>
      <c r="L281" t="str">
        <f t="shared" si="53"/>
        <v>First level</v>
      </c>
      <c r="M281" t="s">
        <v>75</v>
      </c>
      <c r="N281" t="s">
        <v>24</v>
      </c>
      <c r="O281" t="s">
        <v>17</v>
      </c>
      <c r="P281">
        <v>4</v>
      </c>
      <c r="Q281">
        <f t="shared" si="54"/>
        <v>4</v>
      </c>
      <c r="R281" t="s">
        <v>325</v>
      </c>
      <c r="S281" s="8" t="s">
        <v>2097</v>
      </c>
      <c r="T281" s="9">
        <v>20</v>
      </c>
      <c r="U281" s="9">
        <f t="shared" si="55"/>
        <v>20</v>
      </c>
      <c r="V281" s="10">
        <v>20</v>
      </c>
      <c r="X281" s="11">
        <f t="shared" si="56"/>
        <v>2.5547286821705404</v>
      </c>
      <c r="Y281" t="s">
        <v>2102</v>
      </c>
      <c r="Z281" t="str">
        <f t="shared" si="57"/>
        <v>No</v>
      </c>
      <c r="AA281" t="str">
        <f t="shared" si="58"/>
        <v>No</v>
      </c>
      <c r="AB281" t="str">
        <f t="shared" si="59"/>
        <v>No</v>
      </c>
      <c r="AC281" s="12">
        <v>71</v>
      </c>
      <c r="AD281" s="12">
        <f t="shared" si="60"/>
        <v>71</v>
      </c>
    </row>
    <row r="282" spans="1:30" x14ac:dyDescent="0.3">
      <c r="A282" t="s">
        <v>655</v>
      </c>
      <c r="B282" t="s">
        <v>656</v>
      </c>
      <c r="C282" t="s">
        <v>2273</v>
      </c>
      <c r="D282" t="s">
        <v>2485</v>
      </c>
      <c r="E282" t="str">
        <f t="shared" si="49"/>
        <v>David Powell</v>
      </c>
      <c r="F282" t="str">
        <f t="shared" si="50"/>
        <v>David Powell</v>
      </c>
      <c r="H282" t="s">
        <v>107</v>
      </c>
      <c r="I282" t="str">
        <f t="shared" si="51"/>
        <v>Male</v>
      </c>
      <c r="J282">
        <v>42</v>
      </c>
      <c r="K282">
        <f t="shared" si="52"/>
        <v>42</v>
      </c>
      <c r="L282" t="str">
        <f t="shared" si="53"/>
        <v>Third level</v>
      </c>
      <c r="M282" t="s">
        <v>55</v>
      </c>
      <c r="N282" t="s">
        <v>56</v>
      </c>
      <c r="O282" t="s">
        <v>82</v>
      </c>
      <c r="P282">
        <v>13</v>
      </c>
      <c r="Q282">
        <f t="shared" si="54"/>
        <v>13</v>
      </c>
      <c r="R282" t="s">
        <v>131</v>
      </c>
      <c r="S282" s="8" t="s">
        <v>131</v>
      </c>
      <c r="T282" s="9">
        <v>20</v>
      </c>
      <c r="U282" s="9">
        <f t="shared" si="55"/>
        <v>20</v>
      </c>
      <c r="V282" s="10">
        <v>20</v>
      </c>
      <c r="W282">
        <v>4.7</v>
      </c>
      <c r="X282" s="11">
        <f t="shared" si="56"/>
        <v>4.7</v>
      </c>
      <c r="Y282" t="s">
        <v>2102</v>
      </c>
      <c r="Z282" t="str">
        <f t="shared" si="57"/>
        <v>No</v>
      </c>
      <c r="AA282" t="str">
        <f t="shared" si="58"/>
        <v>No</v>
      </c>
      <c r="AB282" t="str">
        <f t="shared" si="59"/>
        <v>No</v>
      </c>
      <c r="AC282" s="12">
        <v>85</v>
      </c>
      <c r="AD282" s="12">
        <f t="shared" si="60"/>
        <v>85</v>
      </c>
    </row>
    <row r="283" spans="1:30" x14ac:dyDescent="0.3">
      <c r="A283" t="s">
        <v>657</v>
      </c>
      <c r="B283" t="s">
        <v>658</v>
      </c>
      <c r="C283" t="s">
        <v>2224</v>
      </c>
      <c r="D283" t="s">
        <v>2159</v>
      </c>
      <c r="E283" t="str">
        <f t="shared" si="49"/>
        <v>Kelly Jones</v>
      </c>
      <c r="F283" t="str">
        <f t="shared" si="50"/>
        <v>Kelly Jones</v>
      </c>
      <c r="H283" t="s">
        <v>86</v>
      </c>
      <c r="I283" t="str">
        <f t="shared" si="51"/>
        <v>Female</v>
      </c>
      <c r="J283">
        <v>48</v>
      </c>
      <c r="K283">
        <f t="shared" si="52"/>
        <v>48</v>
      </c>
      <c r="L283" t="str">
        <f t="shared" si="53"/>
        <v>Third level</v>
      </c>
      <c r="M283" t="s">
        <v>103</v>
      </c>
      <c r="N283" t="s">
        <v>104</v>
      </c>
      <c r="O283" t="s">
        <v>25</v>
      </c>
      <c r="P283">
        <v>6</v>
      </c>
      <c r="Q283">
        <f t="shared" si="54"/>
        <v>6</v>
      </c>
      <c r="R283" t="s">
        <v>44</v>
      </c>
      <c r="S283" s="8" t="s">
        <v>44</v>
      </c>
      <c r="T283" s="9">
        <v>30</v>
      </c>
      <c r="U283" s="9">
        <f t="shared" si="55"/>
        <v>30</v>
      </c>
      <c r="V283" s="10">
        <v>30</v>
      </c>
      <c r="X283" s="11">
        <f t="shared" si="56"/>
        <v>2.551397515527948</v>
      </c>
      <c r="Y283" t="s">
        <v>2102</v>
      </c>
      <c r="Z283" t="str">
        <f t="shared" si="57"/>
        <v>No</v>
      </c>
      <c r="AA283" t="str">
        <f t="shared" si="58"/>
        <v>No</v>
      </c>
      <c r="AB283" t="str">
        <f t="shared" si="59"/>
        <v>No</v>
      </c>
      <c r="AC283" s="12">
        <v>96</v>
      </c>
      <c r="AD283" s="12">
        <f t="shared" si="60"/>
        <v>96</v>
      </c>
    </row>
    <row r="284" spans="1:30" x14ac:dyDescent="0.3">
      <c r="A284" t="s">
        <v>659</v>
      </c>
      <c r="B284" t="s">
        <v>660</v>
      </c>
      <c r="C284" t="s">
        <v>2486</v>
      </c>
      <c r="D284" t="s">
        <v>2166</v>
      </c>
      <c r="E284" t="str">
        <f t="shared" si="49"/>
        <v>Dr. Michael</v>
      </c>
      <c r="F284" t="str">
        <f t="shared" si="50"/>
        <v>Dr. Michael</v>
      </c>
      <c r="H284" t="s">
        <v>107</v>
      </c>
      <c r="I284" t="str">
        <f t="shared" si="51"/>
        <v>Male</v>
      </c>
      <c r="J284">
        <v>42</v>
      </c>
      <c r="K284">
        <f t="shared" si="52"/>
        <v>42</v>
      </c>
      <c r="L284" t="str">
        <f t="shared" si="53"/>
        <v>Third level</v>
      </c>
      <c r="M284" t="s">
        <v>47</v>
      </c>
      <c r="N284" t="s">
        <v>48</v>
      </c>
      <c r="O284" t="s">
        <v>33</v>
      </c>
      <c r="P284">
        <v>10</v>
      </c>
      <c r="Q284">
        <f t="shared" si="54"/>
        <v>10</v>
      </c>
      <c r="R284" t="s">
        <v>325</v>
      </c>
      <c r="S284" s="8" t="s">
        <v>2097</v>
      </c>
      <c r="T284" s="9">
        <v>20</v>
      </c>
      <c r="U284" s="9">
        <f t="shared" si="55"/>
        <v>20</v>
      </c>
      <c r="V284" s="10">
        <v>20</v>
      </c>
      <c r="W284">
        <v>2.4</v>
      </c>
      <c r="X284" s="11">
        <f t="shared" si="56"/>
        <v>2.4</v>
      </c>
      <c r="Y284" t="s">
        <v>2103</v>
      </c>
      <c r="Z284" t="str">
        <f t="shared" si="57"/>
        <v>Yes</v>
      </c>
      <c r="AA284" t="str">
        <f t="shared" si="58"/>
        <v>Yes</v>
      </c>
      <c r="AB284" t="str">
        <f t="shared" si="59"/>
        <v>Yes</v>
      </c>
      <c r="AC284" s="12">
        <v>92</v>
      </c>
      <c r="AD284" s="12">
        <f t="shared" si="60"/>
        <v>92</v>
      </c>
    </row>
    <row r="285" spans="1:30" x14ac:dyDescent="0.3">
      <c r="A285" t="s">
        <v>661</v>
      </c>
      <c r="B285" t="s">
        <v>662</v>
      </c>
      <c r="C285" t="s">
        <v>2488</v>
      </c>
      <c r="D285" t="s">
        <v>2489</v>
      </c>
      <c r="E285" t="str">
        <f t="shared" si="49"/>
        <v>Alex Novak</v>
      </c>
      <c r="F285" t="str">
        <f t="shared" si="50"/>
        <v>Alex Novak</v>
      </c>
      <c r="H285" t="s">
        <v>107</v>
      </c>
      <c r="I285" t="str">
        <f t="shared" si="51"/>
        <v>Male</v>
      </c>
      <c r="J285">
        <v>52</v>
      </c>
      <c r="K285">
        <f t="shared" si="52"/>
        <v>52</v>
      </c>
      <c r="L285" t="str">
        <f t="shared" si="53"/>
        <v>Fourth level</v>
      </c>
      <c r="M285" t="s">
        <v>122</v>
      </c>
      <c r="N285" t="s">
        <v>123</v>
      </c>
      <c r="O285" t="s">
        <v>87</v>
      </c>
      <c r="P285">
        <v>20</v>
      </c>
      <c r="Q285">
        <f t="shared" si="54"/>
        <v>20</v>
      </c>
      <c r="R285" t="s">
        <v>34</v>
      </c>
      <c r="S285" s="8" t="s">
        <v>34</v>
      </c>
      <c r="T285" s="9">
        <v>50</v>
      </c>
      <c r="U285" s="9">
        <f t="shared" si="55"/>
        <v>50</v>
      </c>
      <c r="V285" s="10">
        <v>50</v>
      </c>
      <c r="X285" s="11">
        <f t="shared" si="56"/>
        <v>2.551632970451009</v>
      </c>
      <c r="Y285" t="s">
        <v>2102</v>
      </c>
      <c r="Z285" t="str">
        <f t="shared" si="57"/>
        <v>No</v>
      </c>
      <c r="AA285" t="str">
        <f t="shared" si="58"/>
        <v>No</v>
      </c>
      <c r="AB285" t="str">
        <f t="shared" si="59"/>
        <v>No</v>
      </c>
      <c r="AC285" s="12">
        <v>79</v>
      </c>
      <c r="AD285" s="12">
        <f t="shared" si="60"/>
        <v>79</v>
      </c>
    </row>
    <row r="286" spans="1:30" x14ac:dyDescent="0.3">
      <c r="A286" t="s">
        <v>663</v>
      </c>
      <c r="B286" t="s">
        <v>664</v>
      </c>
      <c r="C286" t="s">
        <v>2490</v>
      </c>
      <c r="D286" t="s">
        <v>2491</v>
      </c>
      <c r="E286" t="str">
        <f t="shared" si="49"/>
        <v>Ann Contreras</v>
      </c>
      <c r="F286" t="str">
        <f t="shared" si="50"/>
        <v>Ann Contreras</v>
      </c>
      <c r="H286" t="s">
        <v>43</v>
      </c>
      <c r="I286" t="str">
        <f t="shared" si="51"/>
        <v>Female</v>
      </c>
      <c r="J286">
        <v>55</v>
      </c>
      <c r="K286">
        <f t="shared" si="52"/>
        <v>55</v>
      </c>
      <c r="L286" t="str">
        <f t="shared" si="53"/>
        <v>Fourth level</v>
      </c>
      <c r="M286" t="s">
        <v>95</v>
      </c>
      <c r="N286" t="s">
        <v>96</v>
      </c>
      <c r="O286" t="s">
        <v>39</v>
      </c>
      <c r="P286">
        <v>20</v>
      </c>
      <c r="Q286">
        <f t="shared" si="54"/>
        <v>20</v>
      </c>
      <c r="R286" t="s">
        <v>92</v>
      </c>
      <c r="S286" s="8" t="s">
        <v>92</v>
      </c>
      <c r="T286" s="9">
        <v>75</v>
      </c>
      <c r="U286" s="9">
        <f t="shared" si="55"/>
        <v>75</v>
      </c>
      <c r="V286" s="10">
        <v>75</v>
      </c>
      <c r="W286">
        <v>2.9</v>
      </c>
      <c r="X286" s="11">
        <f t="shared" si="56"/>
        <v>2.9</v>
      </c>
      <c r="Y286" t="s">
        <v>2102</v>
      </c>
      <c r="Z286" t="str">
        <f t="shared" si="57"/>
        <v>No</v>
      </c>
      <c r="AA286" t="str">
        <f t="shared" si="58"/>
        <v>No</v>
      </c>
      <c r="AB286" t="str">
        <f t="shared" si="59"/>
        <v>No</v>
      </c>
      <c r="AC286" s="12"/>
      <c r="AD286" s="12">
        <f t="shared" si="60"/>
        <v>79.505902192242829</v>
      </c>
    </row>
    <row r="287" spans="1:30" x14ac:dyDescent="0.3">
      <c r="A287" t="s">
        <v>665</v>
      </c>
      <c r="B287" t="s">
        <v>666</v>
      </c>
      <c r="C287" t="s">
        <v>2492</v>
      </c>
      <c r="D287" t="s">
        <v>2334</v>
      </c>
      <c r="E287" t="str">
        <f t="shared" si="49"/>
        <v>Mary Reed</v>
      </c>
      <c r="F287" t="str">
        <f t="shared" si="50"/>
        <v>Mary Reed</v>
      </c>
      <c r="H287" t="s">
        <v>86</v>
      </c>
      <c r="I287" t="str">
        <f t="shared" si="51"/>
        <v>Female</v>
      </c>
      <c r="J287">
        <v>58</v>
      </c>
      <c r="K287">
        <f t="shared" si="52"/>
        <v>58</v>
      </c>
      <c r="L287" t="str">
        <f t="shared" si="53"/>
        <v>Fourth level</v>
      </c>
      <c r="M287" t="s">
        <v>164</v>
      </c>
      <c r="N287" t="s">
        <v>165</v>
      </c>
      <c r="O287" t="s">
        <v>87</v>
      </c>
      <c r="P287">
        <v>11</v>
      </c>
      <c r="Q287">
        <f t="shared" si="54"/>
        <v>11</v>
      </c>
      <c r="R287" t="s">
        <v>34</v>
      </c>
      <c r="S287" s="8" t="s">
        <v>34</v>
      </c>
      <c r="T287" s="9">
        <v>50</v>
      </c>
      <c r="U287" s="9">
        <f t="shared" si="55"/>
        <v>50</v>
      </c>
      <c r="V287" s="10">
        <v>50</v>
      </c>
      <c r="W287">
        <v>0</v>
      </c>
      <c r="X287" s="11">
        <f t="shared" si="56"/>
        <v>0</v>
      </c>
      <c r="Y287" t="s">
        <v>2102</v>
      </c>
      <c r="Z287" t="str">
        <f t="shared" si="57"/>
        <v>No</v>
      </c>
      <c r="AA287" t="str">
        <f t="shared" si="58"/>
        <v>No</v>
      </c>
      <c r="AB287" t="str">
        <f t="shared" si="59"/>
        <v>No</v>
      </c>
      <c r="AC287" s="12"/>
      <c r="AD287" s="12">
        <f t="shared" si="60"/>
        <v>79.505902192242829</v>
      </c>
    </row>
    <row r="288" spans="1:30" x14ac:dyDescent="0.3">
      <c r="A288" t="s">
        <v>667</v>
      </c>
      <c r="B288" t="s">
        <v>668</v>
      </c>
      <c r="C288" t="s">
        <v>2493</v>
      </c>
      <c r="D288" t="s">
        <v>2494</v>
      </c>
      <c r="E288" t="str">
        <f t="shared" si="49"/>
        <v>Lauren Ross</v>
      </c>
      <c r="F288" t="str">
        <f t="shared" si="50"/>
        <v>Lauren Ross</v>
      </c>
      <c r="H288" t="s">
        <v>22</v>
      </c>
      <c r="I288" t="str">
        <f t="shared" si="51"/>
        <v>Female</v>
      </c>
      <c r="J288">
        <v>46</v>
      </c>
      <c r="K288">
        <f t="shared" si="52"/>
        <v>46</v>
      </c>
      <c r="L288" t="str">
        <f t="shared" si="53"/>
        <v>Third level</v>
      </c>
      <c r="M288" t="s">
        <v>122</v>
      </c>
      <c r="N288" t="s">
        <v>123</v>
      </c>
      <c r="O288" t="s">
        <v>124</v>
      </c>
      <c r="P288">
        <v>12</v>
      </c>
      <c r="Q288">
        <f t="shared" si="54"/>
        <v>12</v>
      </c>
      <c r="R288" t="s">
        <v>151</v>
      </c>
      <c r="S288" s="8" t="s">
        <v>151</v>
      </c>
      <c r="T288" s="9">
        <v>20</v>
      </c>
      <c r="U288" s="9">
        <f t="shared" si="55"/>
        <v>20</v>
      </c>
      <c r="V288" s="10">
        <v>20</v>
      </c>
      <c r="W288">
        <v>0</v>
      </c>
      <c r="X288" s="11">
        <f t="shared" si="56"/>
        <v>0</v>
      </c>
      <c r="Y288" t="s">
        <v>2102</v>
      </c>
      <c r="Z288" t="str">
        <f t="shared" si="57"/>
        <v>No</v>
      </c>
      <c r="AA288" t="str">
        <f t="shared" si="58"/>
        <v>No</v>
      </c>
      <c r="AB288" t="str">
        <f t="shared" si="59"/>
        <v>No</v>
      </c>
      <c r="AC288" s="12">
        <v>89</v>
      </c>
      <c r="AD288" s="12">
        <f t="shared" si="60"/>
        <v>89</v>
      </c>
    </row>
    <row r="289" spans="1:30" x14ac:dyDescent="0.3">
      <c r="A289" t="s">
        <v>669</v>
      </c>
      <c r="B289" t="s">
        <v>670</v>
      </c>
      <c r="C289" t="s">
        <v>2306</v>
      </c>
      <c r="D289" t="s">
        <v>2495</v>
      </c>
      <c r="E289" t="str">
        <f t="shared" si="49"/>
        <v>Candice Wise</v>
      </c>
      <c r="F289" t="str">
        <f t="shared" si="50"/>
        <v>Candice Wise</v>
      </c>
      <c r="H289" t="s">
        <v>22</v>
      </c>
      <c r="I289" t="str">
        <f t="shared" si="51"/>
        <v>Female</v>
      </c>
      <c r="J289">
        <v>45</v>
      </c>
      <c r="K289">
        <f t="shared" si="52"/>
        <v>45</v>
      </c>
      <c r="L289" t="str">
        <f t="shared" si="53"/>
        <v>Third level</v>
      </c>
      <c r="M289" t="s">
        <v>201</v>
      </c>
      <c r="N289" t="s">
        <v>81</v>
      </c>
      <c r="O289" t="s">
        <v>124</v>
      </c>
      <c r="P289">
        <v>1</v>
      </c>
      <c r="Q289">
        <f t="shared" si="54"/>
        <v>1</v>
      </c>
      <c r="R289" t="s">
        <v>18</v>
      </c>
      <c r="S289" s="8" t="s">
        <v>18</v>
      </c>
      <c r="T289" s="9">
        <v>100</v>
      </c>
      <c r="U289" s="9">
        <f t="shared" si="55"/>
        <v>100</v>
      </c>
      <c r="V289" s="10">
        <v>100</v>
      </c>
      <c r="W289">
        <v>1.5</v>
      </c>
      <c r="X289" s="11">
        <f t="shared" si="56"/>
        <v>1.5</v>
      </c>
      <c r="Y289" t="s">
        <v>2103</v>
      </c>
      <c r="Z289" t="str">
        <f t="shared" si="57"/>
        <v>Yes</v>
      </c>
      <c r="AA289" t="str">
        <f t="shared" si="58"/>
        <v>Yes</v>
      </c>
      <c r="AB289" t="str">
        <f t="shared" si="59"/>
        <v>Yes</v>
      </c>
      <c r="AC289" s="12">
        <v>100</v>
      </c>
      <c r="AD289" s="12">
        <f t="shared" si="60"/>
        <v>100</v>
      </c>
    </row>
    <row r="290" spans="1:30" x14ac:dyDescent="0.3">
      <c r="A290" t="s">
        <v>671</v>
      </c>
      <c r="B290" t="s">
        <v>672</v>
      </c>
      <c r="C290" t="s">
        <v>2496</v>
      </c>
      <c r="D290" t="s">
        <v>2497</v>
      </c>
      <c r="E290" t="str">
        <f t="shared" si="49"/>
        <v>Joyce Humphrey</v>
      </c>
      <c r="F290" t="str">
        <f t="shared" si="50"/>
        <v>Joyce Humphrey</v>
      </c>
      <c r="H290" t="s">
        <v>22</v>
      </c>
      <c r="I290" t="str">
        <f t="shared" si="51"/>
        <v>Female</v>
      </c>
      <c r="J290">
        <v>56</v>
      </c>
      <c r="K290">
        <f t="shared" si="52"/>
        <v>56</v>
      </c>
      <c r="L290" t="str">
        <f t="shared" si="53"/>
        <v>Fourth level</v>
      </c>
      <c r="M290" t="s">
        <v>103</v>
      </c>
      <c r="N290" t="s">
        <v>104</v>
      </c>
      <c r="O290" t="s">
        <v>124</v>
      </c>
      <c r="P290">
        <v>2</v>
      </c>
      <c r="Q290">
        <f t="shared" si="54"/>
        <v>2</v>
      </c>
      <c r="R290" t="s">
        <v>44</v>
      </c>
      <c r="S290" s="8" t="s">
        <v>44</v>
      </c>
      <c r="T290" s="9">
        <v>30</v>
      </c>
      <c r="U290" s="9">
        <f t="shared" si="55"/>
        <v>30</v>
      </c>
      <c r="V290" s="10">
        <v>30</v>
      </c>
      <c r="W290">
        <v>1.9</v>
      </c>
      <c r="X290" s="11">
        <f t="shared" si="56"/>
        <v>1.9</v>
      </c>
      <c r="Y290" t="s">
        <v>2103</v>
      </c>
      <c r="Z290" t="str">
        <f t="shared" si="57"/>
        <v>Yes</v>
      </c>
      <c r="AA290" t="str">
        <f t="shared" si="58"/>
        <v>Yes</v>
      </c>
      <c r="AB290" t="str">
        <f t="shared" si="59"/>
        <v>Yes</v>
      </c>
      <c r="AC290" s="12">
        <v>81</v>
      </c>
      <c r="AD290" s="12">
        <f t="shared" si="60"/>
        <v>81</v>
      </c>
    </row>
    <row r="291" spans="1:30" x14ac:dyDescent="0.3">
      <c r="A291" t="s">
        <v>673</v>
      </c>
      <c r="B291" t="s">
        <v>674</v>
      </c>
      <c r="C291" t="s">
        <v>2143</v>
      </c>
      <c r="D291" t="s">
        <v>2498</v>
      </c>
      <c r="E291" t="str">
        <f t="shared" si="49"/>
        <v>James Carr</v>
      </c>
      <c r="F291" t="str">
        <f t="shared" si="50"/>
        <v>James Carr</v>
      </c>
      <c r="H291" t="s">
        <v>30</v>
      </c>
      <c r="I291" t="str">
        <f t="shared" si="51"/>
        <v>Male</v>
      </c>
      <c r="J291">
        <v>44</v>
      </c>
      <c r="K291">
        <f t="shared" si="52"/>
        <v>44</v>
      </c>
      <c r="L291" t="str">
        <f t="shared" si="53"/>
        <v>Third level</v>
      </c>
      <c r="M291" t="s">
        <v>75</v>
      </c>
      <c r="N291" t="s">
        <v>24</v>
      </c>
      <c r="O291" t="s">
        <v>17</v>
      </c>
      <c r="P291">
        <v>13</v>
      </c>
      <c r="Q291">
        <f t="shared" si="54"/>
        <v>13</v>
      </c>
      <c r="R291" t="s">
        <v>18</v>
      </c>
      <c r="S291" s="8" t="s">
        <v>18</v>
      </c>
      <c r="T291" s="9">
        <v>100</v>
      </c>
      <c r="U291" s="9">
        <f t="shared" si="55"/>
        <v>100</v>
      </c>
      <c r="V291" s="10">
        <v>100</v>
      </c>
      <c r="W291">
        <v>3.1</v>
      </c>
      <c r="X291" s="11">
        <f t="shared" si="56"/>
        <v>3.1</v>
      </c>
      <c r="Y291" t="s">
        <v>2103</v>
      </c>
      <c r="Z291" t="str">
        <f t="shared" si="57"/>
        <v>Yes</v>
      </c>
      <c r="AA291" t="str">
        <f t="shared" si="58"/>
        <v>Yes</v>
      </c>
      <c r="AB291" t="str">
        <f t="shared" si="59"/>
        <v>Yes</v>
      </c>
      <c r="AC291" s="12">
        <v>95</v>
      </c>
      <c r="AD291" s="12">
        <f t="shared" si="60"/>
        <v>95</v>
      </c>
    </row>
    <row r="292" spans="1:30" x14ac:dyDescent="0.3">
      <c r="A292" t="s">
        <v>675</v>
      </c>
      <c r="B292" t="s">
        <v>676</v>
      </c>
      <c r="C292" t="s">
        <v>2380</v>
      </c>
      <c r="D292" t="s">
        <v>2499</v>
      </c>
      <c r="E292" t="str">
        <f t="shared" si="49"/>
        <v>Joseph Mendoza</v>
      </c>
      <c r="F292" t="str">
        <f t="shared" si="50"/>
        <v>Joseph Mendoza</v>
      </c>
      <c r="H292" t="s">
        <v>107</v>
      </c>
      <c r="I292" t="str">
        <f t="shared" si="51"/>
        <v>Male</v>
      </c>
      <c r="J292">
        <v>46</v>
      </c>
      <c r="K292">
        <f t="shared" si="52"/>
        <v>46</v>
      </c>
      <c r="L292" t="str">
        <f t="shared" si="53"/>
        <v>Third level</v>
      </c>
      <c r="M292" t="s">
        <v>55</v>
      </c>
      <c r="N292" t="s">
        <v>56</v>
      </c>
      <c r="O292" t="s">
        <v>82</v>
      </c>
      <c r="P292">
        <v>0</v>
      </c>
      <c r="Q292">
        <f t="shared" si="54"/>
        <v>0</v>
      </c>
      <c r="R292" t="s">
        <v>65</v>
      </c>
      <c r="S292" s="8" t="s">
        <v>65</v>
      </c>
      <c r="T292" s="9"/>
      <c r="U292" s="9">
        <f t="shared" si="55"/>
        <v>52.623839009287927</v>
      </c>
      <c r="V292" s="10">
        <v>52.623839009287927</v>
      </c>
      <c r="W292">
        <v>1.8</v>
      </c>
      <c r="X292" s="11">
        <f t="shared" si="56"/>
        <v>1.8</v>
      </c>
      <c r="Y292" t="s">
        <v>2102</v>
      </c>
      <c r="Z292" t="str">
        <f t="shared" si="57"/>
        <v>No</v>
      </c>
      <c r="AA292" t="str">
        <f t="shared" si="58"/>
        <v>No</v>
      </c>
      <c r="AB292" t="str">
        <f t="shared" si="59"/>
        <v>No</v>
      </c>
      <c r="AC292" s="12">
        <v>88</v>
      </c>
      <c r="AD292" s="12">
        <f t="shared" si="60"/>
        <v>88</v>
      </c>
    </row>
    <row r="293" spans="1:30" x14ac:dyDescent="0.3">
      <c r="A293" t="s">
        <v>677</v>
      </c>
      <c r="B293" t="s">
        <v>678</v>
      </c>
      <c r="C293" t="s">
        <v>2500</v>
      </c>
      <c r="D293" t="s">
        <v>2501</v>
      </c>
      <c r="E293" t="str">
        <f t="shared" si="49"/>
        <v>Cathy Baldwin</v>
      </c>
      <c r="F293" t="str">
        <f t="shared" si="50"/>
        <v>Cathy Baldwin</v>
      </c>
      <c r="H293" t="s">
        <v>86</v>
      </c>
      <c r="I293" t="str">
        <f t="shared" si="51"/>
        <v>Female</v>
      </c>
      <c r="J293">
        <v>27</v>
      </c>
      <c r="K293">
        <f t="shared" si="52"/>
        <v>27</v>
      </c>
      <c r="L293" t="str">
        <f t="shared" si="53"/>
        <v>First level</v>
      </c>
      <c r="M293" t="s">
        <v>95</v>
      </c>
      <c r="N293" t="s">
        <v>96</v>
      </c>
      <c r="O293" t="s">
        <v>39</v>
      </c>
      <c r="P293">
        <v>7</v>
      </c>
      <c r="Q293">
        <f t="shared" si="54"/>
        <v>7</v>
      </c>
      <c r="R293" t="s">
        <v>44</v>
      </c>
      <c r="S293" s="8" t="s">
        <v>44</v>
      </c>
      <c r="T293" s="9">
        <v>30</v>
      </c>
      <c r="U293" s="9">
        <f t="shared" si="55"/>
        <v>30</v>
      </c>
      <c r="V293" s="10">
        <v>30</v>
      </c>
      <c r="W293">
        <v>2.4</v>
      </c>
      <c r="X293" s="11">
        <f t="shared" si="56"/>
        <v>2.4</v>
      </c>
      <c r="Y293" t="s">
        <v>77</v>
      </c>
      <c r="Z293" t="str">
        <f t="shared" si="57"/>
        <v>yes</v>
      </c>
      <c r="AA293" t="str">
        <f t="shared" si="58"/>
        <v>yes</v>
      </c>
      <c r="AB293" t="str">
        <f t="shared" si="59"/>
        <v>Yes</v>
      </c>
      <c r="AC293" s="12">
        <v>66</v>
      </c>
      <c r="AD293" s="12">
        <f t="shared" si="60"/>
        <v>66</v>
      </c>
    </row>
    <row r="294" spans="1:30" x14ac:dyDescent="0.3">
      <c r="A294" t="s">
        <v>679</v>
      </c>
      <c r="B294" t="s">
        <v>680</v>
      </c>
      <c r="C294" t="s">
        <v>2215</v>
      </c>
      <c r="D294" t="s">
        <v>2502</v>
      </c>
      <c r="E294" t="str">
        <f t="shared" si="49"/>
        <v>Christine Hart</v>
      </c>
      <c r="F294" t="str">
        <f t="shared" si="50"/>
        <v>Christine Hart</v>
      </c>
      <c r="H294" t="s">
        <v>22</v>
      </c>
      <c r="I294" t="str">
        <f t="shared" si="51"/>
        <v>Female</v>
      </c>
      <c r="J294">
        <v>49</v>
      </c>
      <c r="K294">
        <f t="shared" si="52"/>
        <v>49</v>
      </c>
      <c r="L294" t="str">
        <f t="shared" si="53"/>
        <v>Third level</v>
      </c>
      <c r="M294" t="s">
        <v>103</v>
      </c>
      <c r="N294" t="s">
        <v>104</v>
      </c>
      <c r="O294" t="s">
        <v>17</v>
      </c>
      <c r="P294">
        <v>13</v>
      </c>
      <c r="Q294">
        <f t="shared" si="54"/>
        <v>13</v>
      </c>
      <c r="R294" t="s">
        <v>18</v>
      </c>
      <c r="S294" s="8" t="s">
        <v>18</v>
      </c>
      <c r="T294" s="9">
        <v>100</v>
      </c>
      <c r="U294" s="9">
        <f t="shared" si="55"/>
        <v>100</v>
      </c>
      <c r="V294" s="10">
        <v>100</v>
      </c>
      <c r="W294">
        <v>4.2</v>
      </c>
      <c r="X294" s="11">
        <f t="shared" si="56"/>
        <v>4.2</v>
      </c>
      <c r="Y294" t="s">
        <v>2103</v>
      </c>
      <c r="Z294" t="str">
        <f t="shared" si="57"/>
        <v>Yes</v>
      </c>
      <c r="AA294" t="str">
        <f t="shared" si="58"/>
        <v>Yes</v>
      </c>
      <c r="AB294" t="str">
        <f t="shared" si="59"/>
        <v>Yes</v>
      </c>
      <c r="AC294" s="12">
        <v>84</v>
      </c>
      <c r="AD294" s="12">
        <f t="shared" si="60"/>
        <v>84</v>
      </c>
    </row>
    <row r="295" spans="1:30" x14ac:dyDescent="0.3">
      <c r="A295" t="s">
        <v>681</v>
      </c>
      <c r="B295" t="s">
        <v>682</v>
      </c>
      <c r="C295" t="s">
        <v>2503</v>
      </c>
      <c r="D295" t="s">
        <v>2504</v>
      </c>
      <c r="E295" t="str">
        <f t="shared" si="49"/>
        <v>Mike Stanley</v>
      </c>
      <c r="F295" t="str">
        <f t="shared" si="50"/>
        <v>Mike Stanley</v>
      </c>
      <c r="H295" t="s">
        <v>107</v>
      </c>
      <c r="I295" t="str">
        <f t="shared" si="51"/>
        <v>Male</v>
      </c>
      <c r="J295">
        <v>53</v>
      </c>
      <c r="K295">
        <f t="shared" si="52"/>
        <v>53</v>
      </c>
      <c r="L295" t="str">
        <f t="shared" si="53"/>
        <v>Fourth level</v>
      </c>
      <c r="M295" t="s">
        <v>190</v>
      </c>
      <c r="N295" t="s">
        <v>81</v>
      </c>
      <c r="O295" t="s">
        <v>39</v>
      </c>
      <c r="P295">
        <v>21</v>
      </c>
      <c r="Q295">
        <f t="shared" si="54"/>
        <v>21</v>
      </c>
      <c r="R295" t="s">
        <v>72</v>
      </c>
      <c r="S295" s="8" t="s">
        <v>72</v>
      </c>
      <c r="T295" s="9">
        <v>50</v>
      </c>
      <c r="U295" s="9">
        <f t="shared" si="55"/>
        <v>50</v>
      </c>
      <c r="V295" s="10">
        <v>50</v>
      </c>
      <c r="W295">
        <v>1.4</v>
      </c>
      <c r="X295" s="11">
        <f t="shared" si="56"/>
        <v>1.4</v>
      </c>
      <c r="Y295" t="s">
        <v>2102</v>
      </c>
      <c r="Z295" t="str">
        <f t="shared" si="57"/>
        <v>No</v>
      </c>
      <c r="AA295" t="str">
        <f t="shared" si="58"/>
        <v>No</v>
      </c>
      <c r="AB295" t="str">
        <f t="shared" si="59"/>
        <v>No</v>
      </c>
      <c r="AC295" s="12"/>
      <c r="AD295" s="12">
        <f t="shared" si="60"/>
        <v>79.426621160409553</v>
      </c>
    </row>
    <row r="296" spans="1:30" x14ac:dyDescent="0.3">
      <c r="A296" t="s">
        <v>683</v>
      </c>
      <c r="B296" t="s">
        <v>684</v>
      </c>
      <c r="C296" t="s">
        <v>2505</v>
      </c>
      <c r="D296" t="s">
        <v>2349</v>
      </c>
      <c r="E296" t="str">
        <f t="shared" si="49"/>
        <v>Jeffrey Edwards</v>
      </c>
      <c r="F296" t="str">
        <f t="shared" si="50"/>
        <v>Jeffrey Edwards</v>
      </c>
      <c r="H296" t="s">
        <v>107</v>
      </c>
      <c r="I296" t="str">
        <f t="shared" si="51"/>
        <v>Male</v>
      </c>
      <c r="J296">
        <v>56</v>
      </c>
      <c r="K296">
        <f t="shared" si="52"/>
        <v>56</v>
      </c>
      <c r="L296" t="str">
        <f t="shared" si="53"/>
        <v>Fourth level</v>
      </c>
      <c r="M296" t="s">
        <v>23</v>
      </c>
      <c r="N296" t="s">
        <v>24</v>
      </c>
      <c r="O296" t="s">
        <v>39</v>
      </c>
      <c r="P296">
        <v>19</v>
      </c>
      <c r="Q296">
        <f t="shared" si="54"/>
        <v>19</v>
      </c>
      <c r="R296" t="s">
        <v>76</v>
      </c>
      <c r="S296" s="8" t="s">
        <v>76</v>
      </c>
      <c r="T296" s="9">
        <v>40</v>
      </c>
      <c r="U296" s="9">
        <f t="shared" si="55"/>
        <v>40</v>
      </c>
      <c r="V296" s="10">
        <v>40</v>
      </c>
      <c r="W296">
        <v>1.2</v>
      </c>
      <c r="X296" s="11">
        <f t="shared" si="56"/>
        <v>1.2</v>
      </c>
      <c r="Y296" t="s">
        <v>2103</v>
      </c>
      <c r="Z296" t="str">
        <f t="shared" si="57"/>
        <v>Yes</v>
      </c>
      <c r="AA296" t="str">
        <f t="shared" si="58"/>
        <v>Yes</v>
      </c>
      <c r="AB296" t="str">
        <f t="shared" si="59"/>
        <v>Yes</v>
      </c>
      <c r="AC296" s="12">
        <v>82</v>
      </c>
      <c r="AD296" s="12">
        <f t="shared" si="60"/>
        <v>82</v>
      </c>
    </row>
    <row r="297" spans="1:30" x14ac:dyDescent="0.3">
      <c r="A297" t="s">
        <v>685</v>
      </c>
      <c r="B297" t="s">
        <v>686</v>
      </c>
      <c r="C297" t="s">
        <v>2173</v>
      </c>
      <c r="D297" t="s">
        <v>2241</v>
      </c>
      <c r="E297" t="str">
        <f t="shared" si="49"/>
        <v>Amy Lee</v>
      </c>
      <c r="F297" t="str">
        <f t="shared" si="50"/>
        <v>Amy Lee</v>
      </c>
      <c r="H297" t="s">
        <v>22</v>
      </c>
      <c r="I297" t="str">
        <f t="shared" si="51"/>
        <v>Female</v>
      </c>
      <c r="J297">
        <v>56</v>
      </c>
      <c r="K297">
        <f t="shared" si="52"/>
        <v>56</v>
      </c>
      <c r="L297" t="str">
        <f t="shared" si="53"/>
        <v>Fourth level</v>
      </c>
      <c r="M297" t="s">
        <v>75</v>
      </c>
      <c r="N297" t="s">
        <v>24</v>
      </c>
      <c r="O297" t="s">
        <v>99</v>
      </c>
      <c r="P297">
        <v>34</v>
      </c>
      <c r="Q297">
        <f t="shared" si="54"/>
        <v>34</v>
      </c>
      <c r="R297" t="s">
        <v>65</v>
      </c>
      <c r="S297" s="8" t="s">
        <v>65</v>
      </c>
      <c r="T297" s="9"/>
      <c r="U297" s="9">
        <f t="shared" si="55"/>
        <v>52.515576323987538</v>
      </c>
      <c r="V297" s="10">
        <v>52.515576323987538</v>
      </c>
      <c r="W297">
        <v>2.1</v>
      </c>
      <c r="X297" s="11">
        <f t="shared" si="56"/>
        <v>2.1</v>
      </c>
      <c r="Y297" t="s">
        <v>77</v>
      </c>
      <c r="Z297" t="str">
        <f t="shared" si="57"/>
        <v>yes</v>
      </c>
      <c r="AA297" t="str">
        <f t="shared" si="58"/>
        <v>yes</v>
      </c>
      <c r="AB297" t="str">
        <f t="shared" si="59"/>
        <v>Yes</v>
      </c>
      <c r="AC297" s="12">
        <v>84</v>
      </c>
      <c r="AD297" s="12">
        <f t="shared" si="60"/>
        <v>84</v>
      </c>
    </row>
    <row r="298" spans="1:30" x14ac:dyDescent="0.3">
      <c r="A298" t="s">
        <v>687</v>
      </c>
      <c r="B298" t="s">
        <v>688</v>
      </c>
      <c r="C298" t="s">
        <v>2206</v>
      </c>
      <c r="D298" t="s">
        <v>2228</v>
      </c>
      <c r="E298" t="str">
        <f t="shared" si="49"/>
        <v>Mark Thompson</v>
      </c>
      <c r="F298" t="str">
        <f t="shared" si="50"/>
        <v>Mark Thompson</v>
      </c>
      <c r="H298" t="s">
        <v>69</v>
      </c>
      <c r="I298" t="str">
        <f t="shared" si="51"/>
        <v>Male</v>
      </c>
      <c r="J298">
        <v>38</v>
      </c>
      <c r="K298">
        <f t="shared" si="52"/>
        <v>38</v>
      </c>
      <c r="L298" t="str">
        <f t="shared" si="53"/>
        <v>Second level</v>
      </c>
      <c r="M298" t="s">
        <v>164</v>
      </c>
      <c r="N298" t="s">
        <v>165</v>
      </c>
      <c r="O298" t="s">
        <v>57</v>
      </c>
      <c r="P298">
        <v>3</v>
      </c>
      <c r="Q298">
        <f t="shared" si="54"/>
        <v>3</v>
      </c>
      <c r="R298" t="s">
        <v>18</v>
      </c>
      <c r="S298" s="8" t="s">
        <v>18</v>
      </c>
      <c r="T298" s="9">
        <v>100</v>
      </c>
      <c r="U298" s="9">
        <f t="shared" si="55"/>
        <v>100</v>
      </c>
      <c r="V298" s="10">
        <v>100</v>
      </c>
      <c r="W298">
        <v>1.4</v>
      </c>
      <c r="X298" s="11">
        <f t="shared" si="56"/>
        <v>1.4</v>
      </c>
      <c r="Y298" t="s">
        <v>2102</v>
      </c>
      <c r="Z298" t="str">
        <f t="shared" si="57"/>
        <v>No</v>
      </c>
      <c r="AA298" t="str">
        <f t="shared" si="58"/>
        <v>No</v>
      </c>
      <c r="AB298" t="str">
        <f t="shared" si="59"/>
        <v>No</v>
      </c>
      <c r="AC298" s="12">
        <v>73</v>
      </c>
      <c r="AD298" s="12">
        <f t="shared" si="60"/>
        <v>73</v>
      </c>
    </row>
    <row r="299" spans="1:30" x14ac:dyDescent="0.3">
      <c r="A299" t="s">
        <v>689</v>
      </c>
      <c r="B299" t="s">
        <v>690</v>
      </c>
      <c r="C299" t="s">
        <v>2488</v>
      </c>
      <c r="D299" t="s">
        <v>2220</v>
      </c>
      <c r="E299" t="str">
        <f t="shared" si="49"/>
        <v>Alex Wilson</v>
      </c>
      <c r="F299" t="str">
        <f t="shared" si="50"/>
        <v>Alex Wilson</v>
      </c>
      <c r="H299" t="s">
        <v>107</v>
      </c>
      <c r="I299" t="str">
        <f t="shared" si="51"/>
        <v>Male</v>
      </c>
      <c r="J299">
        <v>20</v>
      </c>
      <c r="K299">
        <f t="shared" si="52"/>
        <v>20</v>
      </c>
      <c r="L299" t="str">
        <f t="shared" si="53"/>
        <v>First level</v>
      </c>
      <c r="M299" t="s">
        <v>122</v>
      </c>
      <c r="N299" t="s">
        <v>123</v>
      </c>
      <c r="O299" t="s">
        <v>25</v>
      </c>
      <c r="P299">
        <v>0</v>
      </c>
      <c r="Q299">
        <f t="shared" si="54"/>
        <v>0</v>
      </c>
      <c r="R299" t="s">
        <v>44</v>
      </c>
      <c r="S299" s="8" t="s">
        <v>44</v>
      </c>
      <c r="T299" s="9">
        <v>30</v>
      </c>
      <c r="U299" s="9">
        <f t="shared" si="55"/>
        <v>30</v>
      </c>
      <c r="V299" s="10">
        <v>30</v>
      </c>
      <c r="W299">
        <v>3.8</v>
      </c>
      <c r="X299" s="11">
        <f t="shared" si="56"/>
        <v>3.8</v>
      </c>
      <c r="Y299" t="s">
        <v>65</v>
      </c>
      <c r="AA299" t="str">
        <f t="shared" si="58"/>
        <v>Unknown</v>
      </c>
      <c r="AB299" t="str">
        <f t="shared" si="59"/>
        <v>Unknown</v>
      </c>
      <c r="AC299" s="12">
        <v>93</v>
      </c>
      <c r="AD299" s="12">
        <f t="shared" si="60"/>
        <v>93</v>
      </c>
    </row>
    <row r="300" spans="1:30" x14ac:dyDescent="0.3">
      <c r="A300" t="s">
        <v>691</v>
      </c>
      <c r="B300" t="s">
        <v>692</v>
      </c>
      <c r="C300" t="s">
        <v>2476</v>
      </c>
      <c r="D300" t="s">
        <v>2506</v>
      </c>
      <c r="E300" t="str">
        <f t="shared" si="49"/>
        <v>Nancy Mendez</v>
      </c>
      <c r="F300" t="str">
        <f t="shared" si="50"/>
        <v>Nancy Mendez</v>
      </c>
      <c r="H300" t="s">
        <v>43</v>
      </c>
      <c r="I300" t="str">
        <f t="shared" si="51"/>
        <v>Female</v>
      </c>
      <c r="J300">
        <v>38</v>
      </c>
      <c r="K300">
        <f t="shared" si="52"/>
        <v>38</v>
      </c>
      <c r="L300" t="str">
        <f t="shared" si="53"/>
        <v>Second level</v>
      </c>
      <c r="M300" t="s">
        <v>138</v>
      </c>
      <c r="N300" t="s">
        <v>24</v>
      </c>
      <c r="O300" t="s">
        <v>124</v>
      </c>
      <c r="P300">
        <v>20</v>
      </c>
      <c r="Q300">
        <f t="shared" si="54"/>
        <v>20</v>
      </c>
      <c r="R300" t="s">
        <v>34</v>
      </c>
      <c r="S300" s="8" t="s">
        <v>34</v>
      </c>
      <c r="T300" s="9">
        <v>50</v>
      </c>
      <c r="U300" s="9">
        <f t="shared" si="55"/>
        <v>50</v>
      </c>
      <c r="V300" s="10">
        <v>50</v>
      </c>
      <c r="W300">
        <v>0</v>
      </c>
      <c r="X300" s="11">
        <f t="shared" si="56"/>
        <v>0</v>
      </c>
      <c r="Y300" t="s">
        <v>65</v>
      </c>
      <c r="AA300" t="str">
        <f t="shared" si="58"/>
        <v>Unknown</v>
      </c>
      <c r="AB300" t="str">
        <f t="shared" si="59"/>
        <v>Unknown</v>
      </c>
      <c r="AC300" s="12">
        <v>64</v>
      </c>
      <c r="AD300" s="12">
        <f t="shared" si="60"/>
        <v>64</v>
      </c>
    </row>
    <row r="301" spans="1:30" x14ac:dyDescent="0.3">
      <c r="A301" t="s">
        <v>693</v>
      </c>
      <c r="B301" t="s">
        <v>694</v>
      </c>
      <c r="C301" t="s">
        <v>2507</v>
      </c>
      <c r="D301" t="s">
        <v>2508</v>
      </c>
      <c r="E301" t="str">
        <f t="shared" si="49"/>
        <v>Beth Crane</v>
      </c>
      <c r="F301" t="str">
        <f t="shared" si="50"/>
        <v>Beth Crane</v>
      </c>
      <c r="H301" t="s">
        <v>86</v>
      </c>
      <c r="I301" t="str">
        <f t="shared" si="51"/>
        <v>Female</v>
      </c>
      <c r="K301">
        <f t="shared" si="52"/>
        <v>40</v>
      </c>
      <c r="L301" t="str">
        <f t="shared" si="53"/>
        <v>Second level</v>
      </c>
      <c r="M301" t="s">
        <v>47</v>
      </c>
      <c r="N301" t="s">
        <v>48</v>
      </c>
      <c r="O301" t="s">
        <v>25</v>
      </c>
      <c r="P301">
        <v>6</v>
      </c>
      <c r="Q301">
        <f t="shared" si="54"/>
        <v>6</v>
      </c>
      <c r="R301" t="s">
        <v>76</v>
      </c>
      <c r="S301" s="8" t="s">
        <v>76</v>
      </c>
      <c r="T301" s="9">
        <v>40</v>
      </c>
      <c r="U301" s="9">
        <f t="shared" si="55"/>
        <v>40</v>
      </c>
      <c r="V301" s="10">
        <v>40</v>
      </c>
      <c r="W301">
        <v>3.5</v>
      </c>
      <c r="X301" s="11">
        <f t="shared" si="56"/>
        <v>3.5</v>
      </c>
      <c r="Y301" t="s">
        <v>2102</v>
      </c>
      <c r="Z301" t="str">
        <f t="shared" si="57"/>
        <v>No</v>
      </c>
      <c r="AA301" t="str">
        <f t="shared" si="58"/>
        <v>No</v>
      </c>
      <c r="AB301" t="str">
        <f t="shared" si="59"/>
        <v>No</v>
      </c>
      <c r="AC301" s="12">
        <v>76</v>
      </c>
      <c r="AD301" s="12">
        <f t="shared" si="60"/>
        <v>76</v>
      </c>
    </row>
    <row r="302" spans="1:30" x14ac:dyDescent="0.3">
      <c r="A302" t="s">
        <v>695</v>
      </c>
      <c r="B302" t="s">
        <v>696</v>
      </c>
      <c r="C302" t="s">
        <v>2509</v>
      </c>
      <c r="D302" t="s">
        <v>2179</v>
      </c>
      <c r="E302" t="str">
        <f t="shared" si="49"/>
        <v>Miguel Rogers</v>
      </c>
      <c r="F302" t="str">
        <f t="shared" si="50"/>
        <v>Miguel Rogers</v>
      </c>
      <c r="H302" t="s">
        <v>69</v>
      </c>
      <c r="I302" t="str">
        <f t="shared" si="51"/>
        <v>Male</v>
      </c>
      <c r="J302">
        <v>46</v>
      </c>
      <c r="K302">
        <f t="shared" si="52"/>
        <v>46</v>
      </c>
      <c r="L302" t="str">
        <f t="shared" si="53"/>
        <v>Third level</v>
      </c>
      <c r="M302" t="s">
        <v>103</v>
      </c>
      <c r="N302" t="s">
        <v>104</v>
      </c>
      <c r="O302" t="s">
        <v>124</v>
      </c>
      <c r="P302">
        <v>13</v>
      </c>
      <c r="Q302">
        <f t="shared" si="54"/>
        <v>13</v>
      </c>
      <c r="R302" t="s">
        <v>240</v>
      </c>
      <c r="S302" s="8" t="s">
        <v>18</v>
      </c>
      <c r="T302" s="9">
        <v>100</v>
      </c>
      <c r="U302" s="9">
        <f t="shared" si="55"/>
        <v>100</v>
      </c>
      <c r="V302" s="10">
        <v>100</v>
      </c>
      <c r="W302">
        <v>0</v>
      </c>
      <c r="X302" s="11">
        <f t="shared" si="56"/>
        <v>0</v>
      </c>
      <c r="Y302" t="s">
        <v>2103</v>
      </c>
      <c r="Z302" t="str">
        <f t="shared" si="57"/>
        <v>Yes</v>
      </c>
      <c r="AA302" t="str">
        <f t="shared" si="58"/>
        <v>Yes</v>
      </c>
      <c r="AB302" t="str">
        <f t="shared" si="59"/>
        <v>Yes</v>
      </c>
      <c r="AC302" s="12">
        <v>97</v>
      </c>
      <c r="AD302" s="12">
        <f t="shared" si="60"/>
        <v>97</v>
      </c>
    </row>
    <row r="303" spans="1:30" x14ac:dyDescent="0.3">
      <c r="A303" t="s">
        <v>697</v>
      </c>
      <c r="B303" t="s">
        <v>698</v>
      </c>
      <c r="C303" t="s">
        <v>2231</v>
      </c>
      <c r="D303" t="s">
        <v>2510</v>
      </c>
      <c r="E303" t="str">
        <f t="shared" si="49"/>
        <v>Thomas Robles</v>
      </c>
      <c r="F303" t="str">
        <f t="shared" si="50"/>
        <v>Thomas Robles</v>
      </c>
      <c r="H303" t="s">
        <v>107</v>
      </c>
      <c r="I303" t="str">
        <f t="shared" si="51"/>
        <v>Male</v>
      </c>
      <c r="J303">
        <v>36</v>
      </c>
      <c r="K303">
        <f t="shared" si="52"/>
        <v>36</v>
      </c>
      <c r="L303" t="str">
        <f t="shared" si="53"/>
        <v>Second level</v>
      </c>
      <c r="M303" t="s">
        <v>164</v>
      </c>
      <c r="N303" t="s">
        <v>165</v>
      </c>
      <c r="O303" t="s">
        <v>57</v>
      </c>
      <c r="P303">
        <v>9</v>
      </c>
      <c r="Q303">
        <f t="shared" si="54"/>
        <v>9</v>
      </c>
      <c r="R303" t="s">
        <v>92</v>
      </c>
      <c r="S303" s="8" t="s">
        <v>92</v>
      </c>
      <c r="T303" s="9">
        <v>75</v>
      </c>
      <c r="U303" s="9">
        <f t="shared" si="55"/>
        <v>75</v>
      </c>
      <c r="V303" s="10">
        <v>75</v>
      </c>
      <c r="W303">
        <v>2.2000000000000002</v>
      </c>
      <c r="X303" s="11">
        <f t="shared" si="56"/>
        <v>2.2000000000000002</v>
      </c>
      <c r="Y303" t="s">
        <v>2102</v>
      </c>
      <c r="Z303" t="str">
        <f t="shared" si="57"/>
        <v>No</v>
      </c>
      <c r="AA303" t="str">
        <f t="shared" si="58"/>
        <v>No</v>
      </c>
      <c r="AB303" t="str">
        <f t="shared" si="59"/>
        <v>No</v>
      </c>
      <c r="AC303" s="12">
        <v>95</v>
      </c>
      <c r="AD303" s="12">
        <f t="shared" si="60"/>
        <v>95</v>
      </c>
    </row>
    <row r="304" spans="1:30" x14ac:dyDescent="0.3">
      <c r="A304" t="s">
        <v>699</v>
      </c>
      <c r="B304" t="s">
        <v>700</v>
      </c>
      <c r="C304" t="s">
        <v>2511</v>
      </c>
      <c r="D304" t="s">
        <v>2186</v>
      </c>
      <c r="E304" t="str">
        <f t="shared" si="49"/>
        <v>Joel Brown</v>
      </c>
      <c r="F304" t="str">
        <f t="shared" si="50"/>
        <v>Joel Brown</v>
      </c>
      <c r="H304" t="s">
        <v>107</v>
      </c>
      <c r="I304" t="str">
        <f t="shared" si="51"/>
        <v>Male</v>
      </c>
      <c r="J304">
        <v>33</v>
      </c>
      <c r="K304">
        <f t="shared" si="52"/>
        <v>33</v>
      </c>
      <c r="L304" t="str">
        <f t="shared" si="53"/>
        <v>Second level</v>
      </c>
      <c r="M304" t="s">
        <v>134</v>
      </c>
      <c r="N304" t="s">
        <v>135</v>
      </c>
      <c r="O304" t="s">
        <v>39</v>
      </c>
      <c r="P304">
        <v>2</v>
      </c>
      <c r="Q304">
        <f t="shared" si="54"/>
        <v>2</v>
      </c>
      <c r="R304" t="s">
        <v>92</v>
      </c>
      <c r="S304" s="8" t="s">
        <v>92</v>
      </c>
      <c r="T304" s="9">
        <v>75</v>
      </c>
      <c r="U304" s="9">
        <f t="shared" si="55"/>
        <v>75</v>
      </c>
      <c r="V304" s="10">
        <v>75</v>
      </c>
      <c r="W304">
        <v>2.5</v>
      </c>
      <c r="X304" s="11">
        <f t="shared" si="56"/>
        <v>2.5</v>
      </c>
      <c r="Y304" t="s">
        <v>2102</v>
      </c>
      <c r="Z304" t="str">
        <f t="shared" si="57"/>
        <v>No</v>
      </c>
      <c r="AA304" t="str">
        <f t="shared" si="58"/>
        <v>No</v>
      </c>
      <c r="AB304" t="str">
        <f t="shared" si="59"/>
        <v>No</v>
      </c>
      <c r="AC304" s="12">
        <v>65</v>
      </c>
      <c r="AD304" s="12">
        <f t="shared" si="60"/>
        <v>65</v>
      </c>
    </row>
    <row r="305" spans="1:30" x14ac:dyDescent="0.3">
      <c r="A305" t="s">
        <v>701</v>
      </c>
      <c r="B305" t="s">
        <v>702</v>
      </c>
      <c r="C305" t="s">
        <v>2512</v>
      </c>
      <c r="D305" t="s">
        <v>2513</v>
      </c>
      <c r="E305" t="str">
        <f t="shared" si="49"/>
        <v>Olivia Schultz</v>
      </c>
      <c r="F305" t="str">
        <f t="shared" si="50"/>
        <v>Olivia Schultz</v>
      </c>
      <c r="H305" t="s">
        <v>86</v>
      </c>
      <c r="I305" t="str">
        <f t="shared" si="51"/>
        <v>Female</v>
      </c>
      <c r="J305">
        <v>37</v>
      </c>
      <c r="K305">
        <f t="shared" si="52"/>
        <v>37</v>
      </c>
      <c r="L305" t="str">
        <f t="shared" si="53"/>
        <v>Second level</v>
      </c>
      <c r="M305" t="s">
        <v>138</v>
      </c>
      <c r="N305" t="s">
        <v>24</v>
      </c>
      <c r="O305" t="s">
        <v>33</v>
      </c>
      <c r="P305">
        <v>0</v>
      </c>
      <c r="Q305">
        <f t="shared" si="54"/>
        <v>0</v>
      </c>
      <c r="R305" t="s">
        <v>108</v>
      </c>
      <c r="S305" s="8" t="s">
        <v>2095</v>
      </c>
      <c r="T305" s="9">
        <v>50</v>
      </c>
      <c r="U305" s="9">
        <f t="shared" si="55"/>
        <v>50</v>
      </c>
      <c r="V305" s="10">
        <v>50</v>
      </c>
      <c r="W305">
        <v>4.7</v>
      </c>
      <c r="X305" s="11">
        <f t="shared" si="56"/>
        <v>4.7</v>
      </c>
      <c r="Y305" t="s">
        <v>2102</v>
      </c>
      <c r="Z305" t="str">
        <f t="shared" si="57"/>
        <v>No</v>
      </c>
      <c r="AA305" t="str">
        <f t="shared" si="58"/>
        <v>No</v>
      </c>
      <c r="AB305" t="str">
        <f t="shared" si="59"/>
        <v>No</v>
      </c>
      <c r="AC305" s="12">
        <v>77</v>
      </c>
      <c r="AD305" s="12">
        <f t="shared" si="60"/>
        <v>77</v>
      </c>
    </row>
    <row r="306" spans="1:30" x14ac:dyDescent="0.3">
      <c r="A306" t="s">
        <v>703</v>
      </c>
      <c r="B306" t="s">
        <v>704</v>
      </c>
      <c r="C306" t="s">
        <v>2313</v>
      </c>
      <c r="D306" t="s">
        <v>2514</v>
      </c>
      <c r="E306" t="str">
        <f t="shared" si="49"/>
        <v>Clayton Pena</v>
      </c>
      <c r="F306" t="str">
        <f t="shared" si="50"/>
        <v>Clayton Pena</v>
      </c>
      <c r="H306" t="s">
        <v>107</v>
      </c>
      <c r="I306" t="str">
        <f t="shared" si="51"/>
        <v>Male</v>
      </c>
      <c r="J306">
        <v>20</v>
      </c>
      <c r="K306">
        <f t="shared" si="52"/>
        <v>20</v>
      </c>
      <c r="L306" t="str">
        <f t="shared" si="53"/>
        <v>First level</v>
      </c>
      <c r="M306" t="s">
        <v>149</v>
      </c>
      <c r="N306" t="s">
        <v>150</v>
      </c>
      <c r="O306" t="s">
        <v>57</v>
      </c>
      <c r="P306">
        <v>0</v>
      </c>
      <c r="Q306">
        <f t="shared" si="54"/>
        <v>0</v>
      </c>
      <c r="R306" t="s">
        <v>151</v>
      </c>
      <c r="S306" s="8" t="s">
        <v>151</v>
      </c>
      <c r="T306" s="9">
        <v>20</v>
      </c>
      <c r="U306" s="9">
        <f t="shared" si="55"/>
        <v>20</v>
      </c>
      <c r="V306" s="10">
        <v>20</v>
      </c>
      <c r="W306">
        <v>3.9</v>
      </c>
      <c r="X306" s="11">
        <f t="shared" si="56"/>
        <v>3.9</v>
      </c>
      <c r="Y306" t="s">
        <v>2102</v>
      </c>
      <c r="Z306" t="str">
        <f t="shared" si="57"/>
        <v>No</v>
      </c>
      <c r="AA306" t="str">
        <f t="shared" si="58"/>
        <v>No</v>
      </c>
      <c r="AB306" t="str">
        <f t="shared" si="59"/>
        <v>No</v>
      </c>
      <c r="AC306" s="12"/>
      <c r="AD306" s="12">
        <f t="shared" si="60"/>
        <v>79.40625</v>
      </c>
    </row>
    <row r="307" spans="1:30" x14ac:dyDescent="0.3">
      <c r="A307" t="s">
        <v>705</v>
      </c>
      <c r="B307" t="s">
        <v>706</v>
      </c>
      <c r="C307" t="s">
        <v>2221</v>
      </c>
      <c r="D307" t="s">
        <v>2370</v>
      </c>
      <c r="E307" t="str">
        <f t="shared" si="49"/>
        <v>Ashley Salazar</v>
      </c>
      <c r="F307" t="str">
        <f t="shared" si="50"/>
        <v>Ashley Salazar</v>
      </c>
      <c r="H307" t="s">
        <v>22</v>
      </c>
      <c r="I307" t="str">
        <f t="shared" si="51"/>
        <v>Female</v>
      </c>
      <c r="J307">
        <v>48</v>
      </c>
      <c r="K307">
        <f t="shared" si="52"/>
        <v>48</v>
      </c>
      <c r="L307" t="str">
        <f t="shared" si="53"/>
        <v>Third level</v>
      </c>
      <c r="M307" t="s">
        <v>186</v>
      </c>
      <c r="N307" t="s">
        <v>187</v>
      </c>
      <c r="O307" t="s">
        <v>57</v>
      </c>
      <c r="P307">
        <v>2</v>
      </c>
      <c r="Q307">
        <f t="shared" si="54"/>
        <v>2</v>
      </c>
      <c r="R307" t="s">
        <v>92</v>
      </c>
      <c r="S307" s="8" t="s">
        <v>92</v>
      </c>
      <c r="T307" s="9">
        <v>75</v>
      </c>
      <c r="U307" s="9">
        <f t="shared" si="55"/>
        <v>75</v>
      </c>
      <c r="V307" s="10">
        <v>75</v>
      </c>
      <c r="W307">
        <v>1.6</v>
      </c>
      <c r="X307" s="11">
        <f t="shared" si="56"/>
        <v>1.6</v>
      </c>
      <c r="Y307" t="s">
        <v>2102</v>
      </c>
      <c r="Z307" t="str">
        <f t="shared" si="57"/>
        <v>No</v>
      </c>
      <c r="AA307" t="str">
        <f t="shared" si="58"/>
        <v>No</v>
      </c>
      <c r="AB307" t="str">
        <f t="shared" si="59"/>
        <v>No</v>
      </c>
      <c r="AC307" s="12">
        <v>67</v>
      </c>
      <c r="AD307" s="12">
        <f t="shared" si="60"/>
        <v>67</v>
      </c>
    </row>
    <row r="308" spans="1:30" x14ac:dyDescent="0.3">
      <c r="A308" t="s">
        <v>707</v>
      </c>
      <c r="B308" t="s">
        <v>708</v>
      </c>
      <c r="C308" t="s">
        <v>2165</v>
      </c>
      <c r="D308" t="s">
        <v>2515</v>
      </c>
      <c r="E308" t="str">
        <f t="shared" si="49"/>
        <v>Robert Lucas</v>
      </c>
      <c r="F308" t="str">
        <f t="shared" si="50"/>
        <v>Robert Lucas</v>
      </c>
      <c r="H308" t="s">
        <v>30</v>
      </c>
      <c r="I308" t="str">
        <f t="shared" si="51"/>
        <v>Male</v>
      </c>
      <c r="J308">
        <v>27</v>
      </c>
      <c r="K308">
        <f t="shared" si="52"/>
        <v>27</v>
      </c>
      <c r="L308" t="str">
        <f t="shared" si="53"/>
        <v>First level</v>
      </c>
      <c r="M308" t="s">
        <v>145</v>
      </c>
      <c r="N308" t="s">
        <v>146</v>
      </c>
      <c r="O308" t="s">
        <v>87</v>
      </c>
      <c r="P308">
        <v>2</v>
      </c>
      <c r="Q308">
        <f t="shared" si="54"/>
        <v>2</v>
      </c>
      <c r="R308" t="s">
        <v>72</v>
      </c>
      <c r="S308" s="8" t="s">
        <v>72</v>
      </c>
      <c r="T308" s="9">
        <v>50</v>
      </c>
      <c r="U308" s="9">
        <f t="shared" si="55"/>
        <v>50</v>
      </c>
      <c r="V308" s="10">
        <v>50</v>
      </c>
      <c r="X308" s="11">
        <f t="shared" si="56"/>
        <v>2.5677938808373573</v>
      </c>
      <c r="Y308" t="s">
        <v>2102</v>
      </c>
      <c r="Z308" t="str">
        <f t="shared" si="57"/>
        <v>No</v>
      </c>
      <c r="AA308" t="str">
        <f t="shared" si="58"/>
        <v>No</v>
      </c>
      <c r="AB308" t="str">
        <f t="shared" si="59"/>
        <v>No</v>
      </c>
      <c r="AC308" s="12">
        <v>84</v>
      </c>
      <c r="AD308" s="12">
        <f t="shared" si="60"/>
        <v>84</v>
      </c>
    </row>
    <row r="309" spans="1:30" x14ac:dyDescent="0.3">
      <c r="A309" t="s">
        <v>709</v>
      </c>
      <c r="B309" t="s">
        <v>710</v>
      </c>
      <c r="C309" t="s">
        <v>2273</v>
      </c>
      <c r="D309" t="s">
        <v>2291</v>
      </c>
      <c r="E309" t="str">
        <f t="shared" si="49"/>
        <v>David Cox</v>
      </c>
      <c r="F309" t="str">
        <f t="shared" si="50"/>
        <v>David Cox</v>
      </c>
      <c r="H309" t="s">
        <v>107</v>
      </c>
      <c r="I309" t="str">
        <f t="shared" si="51"/>
        <v>Male</v>
      </c>
      <c r="J309">
        <v>34</v>
      </c>
      <c r="K309">
        <f t="shared" si="52"/>
        <v>34</v>
      </c>
      <c r="L309" t="str">
        <f t="shared" si="53"/>
        <v>Second level</v>
      </c>
      <c r="M309" t="s">
        <v>122</v>
      </c>
      <c r="N309" t="s">
        <v>123</v>
      </c>
      <c r="O309" t="s">
        <v>25</v>
      </c>
      <c r="P309">
        <v>1</v>
      </c>
      <c r="Q309">
        <f t="shared" si="54"/>
        <v>1</v>
      </c>
      <c r="R309" t="s">
        <v>44</v>
      </c>
      <c r="S309" s="8" t="s">
        <v>44</v>
      </c>
      <c r="T309" s="9">
        <v>30</v>
      </c>
      <c r="U309" s="9">
        <f t="shared" si="55"/>
        <v>30</v>
      </c>
      <c r="V309" s="10">
        <v>30</v>
      </c>
      <c r="W309">
        <v>3.6</v>
      </c>
      <c r="X309" s="11">
        <f t="shared" si="56"/>
        <v>3.6</v>
      </c>
      <c r="Y309" t="s">
        <v>2103</v>
      </c>
      <c r="Z309" t="str">
        <f t="shared" si="57"/>
        <v>Yes</v>
      </c>
      <c r="AA309" t="str">
        <f t="shared" si="58"/>
        <v>Yes</v>
      </c>
      <c r="AB309" t="str">
        <f t="shared" si="59"/>
        <v>Yes</v>
      </c>
      <c r="AC309" s="12">
        <v>87</v>
      </c>
      <c r="AD309" s="12">
        <f t="shared" si="60"/>
        <v>87</v>
      </c>
    </row>
    <row r="310" spans="1:30" x14ac:dyDescent="0.3">
      <c r="A310" t="s">
        <v>711</v>
      </c>
      <c r="B310" t="s">
        <v>712</v>
      </c>
      <c r="C310" t="s">
        <v>2353</v>
      </c>
      <c r="D310" t="s">
        <v>2303</v>
      </c>
      <c r="E310" t="str">
        <f t="shared" si="49"/>
        <v>Christian Campbell</v>
      </c>
      <c r="F310" t="str">
        <f t="shared" si="50"/>
        <v>Christian Campbell</v>
      </c>
      <c r="H310" t="s">
        <v>107</v>
      </c>
      <c r="I310" t="str">
        <f t="shared" si="51"/>
        <v>Male</v>
      </c>
      <c r="J310">
        <v>55</v>
      </c>
      <c r="K310">
        <f t="shared" si="52"/>
        <v>55</v>
      </c>
      <c r="L310" t="str">
        <f t="shared" si="53"/>
        <v>Fourth level</v>
      </c>
      <c r="M310" t="s">
        <v>117</v>
      </c>
      <c r="N310" t="s">
        <v>118</v>
      </c>
      <c r="O310" t="s">
        <v>124</v>
      </c>
      <c r="P310">
        <v>14</v>
      </c>
      <c r="Q310">
        <f t="shared" si="54"/>
        <v>14</v>
      </c>
      <c r="R310" t="s">
        <v>119</v>
      </c>
      <c r="S310" s="8" t="s">
        <v>2096</v>
      </c>
      <c r="T310" s="9">
        <v>30</v>
      </c>
      <c r="U310" s="9">
        <f t="shared" si="55"/>
        <v>30</v>
      </c>
      <c r="V310" s="10">
        <v>30</v>
      </c>
      <c r="W310">
        <v>1.2</v>
      </c>
      <c r="X310" s="11">
        <f t="shared" si="56"/>
        <v>1.2</v>
      </c>
      <c r="Y310" t="s">
        <v>77</v>
      </c>
      <c r="Z310" t="str">
        <f t="shared" si="57"/>
        <v>yes</v>
      </c>
      <c r="AA310" t="str">
        <f t="shared" si="58"/>
        <v>yes</v>
      </c>
      <c r="AB310" t="str">
        <f t="shared" si="59"/>
        <v>Yes</v>
      </c>
      <c r="AC310" s="12">
        <v>91</v>
      </c>
      <c r="AD310" s="12">
        <f t="shared" si="60"/>
        <v>91</v>
      </c>
    </row>
    <row r="311" spans="1:30" x14ac:dyDescent="0.3">
      <c r="A311" t="s">
        <v>713</v>
      </c>
      <c r="B311" t="s">
        <v>714</v>
      </c>
      <c r="C311" t="s">
        <v>2516</v>
      </c>
      <c r="D311" t="s">
        <v>2192</v>
      </c>
      <c r="E311" t="str">
        <f t="shared" si="49"/>
        <v>Angela Ward</v>
      </c>
      <c r="F311" t="str">
        <f t="shared" si="50"/>
        <v>Angela Ward</v>
      </c>
      <c r="H311" t="s">
        <v>86</v>
      </c>
      <c r="I311" t="str">
        <f t="shared" si="51"/>
        <v>Female</v>
      </c>
      <c r="J311">
        <v>44</v>
      </c>
      <c r="K311">
        <f t="shared" si="52"/>
        <v>44</v>
      </c>
      <c r="L311" t="str">
        <f t="shared" si="53"/>
        <v>Third level</v>
      </c>
      <c r="M311" t="s">
        <v>164</v>
      </c>
      <c r="N311" t="s">
        <v>165</v>
      </c>
      <c r="O311" t="s">
        <v>124</v>
      </c>
      <c r="P311">
        <v>14</v>
      </c>
      <c r="Q311">
        <f t="shared" si="54"/>
        <v>14</v>
      </c>
      <c r="R311" t="s">
        <v>58</v>
      </c>
      <c r="S311" s="8" t="s">
        <v>2093</v>
      </c>
      <c r="T311" s="9">
        <v>75</v>
      </c>
      <c r="U311" s="9">
        <f t="shared" si="55"/>
        <v>75</v>
      </c>
      <c r="V311" s="10">
        <v>75</v>
      </c>
      <c r="W311">
        <v>3</v>
      </c>
      <c r="X311" s="11">
        <f t="shared" si="56"/>
        <v>3</v>
      </c>
      <c r="Y311" t="s">
        <v>2102</v>
      </c>
      <c r="Z311" t="str">
        <f t="shared" si="57"/>
        <v>No</v>
      </c>
      <c r="AA311" t="str">
        <f t="shared" si="58"/>
        <v>No</v>
      </c>
      <c r="AB311" t="str">
        <f t="shared" si="59"/>
        <v>No</v>
      </c>
      <c r="AC311" s="12">
        <v>78</v>
      </c>
      <c r="AD311" s="12">
        <f t="shared" si="60"/>
        <v>78</v>
      </c>
    </row>
    <row r="312" spans="1:30" x14ac:dyDescent="0.3">
      <c r="A312" t="s">
        <v>715</v>
      </c>
      <c r="B312" t="s">
        <v>716</v>
      </c>
      <c r="C312" t="s">
        <v>2515</v>
      </c>
      <c r="D312" t="s">
        <v>2337</v>
      </c>
      <c r="E312" t="str">
        <f t="shared" si="49"/>
        <v>Lucas Chen</v>
      </c>
      <c r="F312" t="str">
        <f t="shared" si="50"/>
        <v>Lucas Chen</v>
      </c>
      <c r="H312" t="s">
        <v>30</v>
      </c>
      <c r="I312" t="str">
        <f t="shared" si="51"/>
        <v>Male</v>
      </c>
      <c r="J312">
        <v>31</v>
      </c>
      <c r="K312">
        <f t="shared" si="52"/>
        <v>31</v>
      </c>
      <c r="L312" t="str">
        <f t="shared" si="53"/>
        <v>Second level</v>
      </c>
      <c r="M312" t="s">
        <v>47</v>
      </c>
      <c r="N312" t="s">
        <v>48</v>
      </c>
      <c r="O312" t="s">
        <v>82</v>
      </c>
      <c r="P312">
        <v>2</v>
      </c>
      <c r="Q312">
        <f t="shared" si="54"/>
        <v>2</v>
      </c>
      <c r="R312" t="s">
        <v>34</v>
      </c>
      <c r="S312" s="8" t="s">
        <v>34</v>
      </c>
      <c r="T312" s="9">
        <v>50</v>
      </c>
      <c r="U312" s="9">
        <f t="shared" si="55"/>
        <v>50</v>
      </c>
      <c r="V312" s="10">
        <v>50</v>
      </c>
      <c r="W312">
        <v>3.9</v>
      </c>
      <c r="X312" s="11">
        <f t="shared" si="56"/>
        <v>3.9</v>
      </c>
      <c r="Y312" t="s">
        <v>2102</v>
      </c>
      <c r="Z312" t="str">
        <f t="shared" si="57"/>
        <v>No</v>
      </c>
      <c r="AA312" t="str">
        <f t="shared" si="58"/>
        <v>No</v>
      </c>
      <c r="AB312" t="str">
        <f t="shared" si="59"/>
        <v>No</v>
      </c>
      <c r="AC312" s="12"/>
      <c r="AD312" s="12">
        <f t="shared" si="60"/>
        <v>79.388791593695274</v>
      </c>
    </row>
    <row r="313" spans="1:30" x14ac:dyDescent="0.3">
      <c r="A313" t="s">
        <v>717</v>
      </c>
      <c r="B313" t="s">
        <v>718</v>
      </c>
      <c r="C313" t="s">
        <v>2517</v>
      </c>
      <c r="D313" t="s">
        <v>2111</v>
      </c>
      <c r="E313" t="str">
        <f t="shared" si="49"/>
        <v>Ruben Nelson</v>
      </c>
      <c r="F313" t="str">
        <f t="shared" si="50"/>
        <v>Ruben Nelson</v>
      </c>
      <c r="H313" t="s">
        <v>107</v>
      </c>
      <c r="I313" t="str">
        <f t="shared" si="51"/>
        <v>Male</v>
      </c>
      <c r="J313">
        <v>34</v>
      </c>
      <c r="K313">
        <f t="shared" si="52"/>
        <v>34</v>
      </c>
      <c r="L313" t="str">
        <f t="shared" si="53"/>
        <v>Second level</v>
      </c>
      <c r="M313" t="s">
        <v>23</v>
      </c>
      <c r="N313" t="s">
        <v>24</v>
      </c>
      <c r="O313" t="s">
        <v>99</v>
      </c>
      <c r="P313">
        <v>1</v>
      </c>
      <c r="Q313">
        <f t="shared" si="54"/>
        <v>1</v>
      </c>
      <c r="R313" t="s">
        <v>76</v>
      </c>
      <c r="S313" s="8" t="s">
        <v>76</v>
      </c>
      <c r="T313" s="9">
        <v>40</v>
      </c>
      <c r="U313" s="9">
        <f t="shared" si="55"/>
        <v>40</v>
      </c>
      <c r="V313" s="10">
        <v>40</v>
      </c>
      <c r="W313">
        <v>1.7</v>
      </c>
      <c r="X313" s="11">
        <f t="shared" si="56"/>
        <v>1.7</v>
      </c>
      <c r="Y313" t="s">
        <v>65</v>
      </c>
      <c r="AA313" t="str">
        <f t="shared" si="58"/>
        <v>Unknown</v>
      </c>
      <c r="AB313" t="str">
        <f t="shared" si="59"/>
        <v>Unknown</v>
      </c>
      <c r="AC313" s="12">
        <v>74</v>
      </c>
      <c r="AD313" s="12">
        <f t="shared" si="60"/>
        <v>74</v>
      </c>
    </row>
    <row r="314" spans="1:30" x14ac:dyDescent="0.3">
      <c r="A314" t="s">
        <v>719</v>
      </c>
      <c r="B314" t="s">
        <v>720</v>
      </c>
      <c r="C314" t="s">
        <v>2256</v>
      </c>
      <c r="D314" t="s">
        <v>2518</v>
      </c>
      <c r="E314" t="str">
        <f t="shared" si="49"/>
        <v>Brenda Briggs</v>
      </c>
      <c r="F314" t="str">
        <f t="shared" si="50"/>
        <v>Brenda Briggs</v>
      </c>
      <c r="H314" t="s">
        <v>86</v>
      </c>
      <c r="I314" t="str">
        <f t="shared" si="51"/>
        <v>Female</v>
      </c>
      <c r="J314">
        <v>47</v>
      </c>
      <c r="K314">
        <f t="shared" si="52"/>
        <v>47</v>
      </c>
      <c r="L314" t="str">
        <f t="shared" si="53"/>
        <v>Third level</v>
      </c>
      <c r="M314" t="s">
        <v>117</v>
      </c>
      <c r="N314" t="s">
        <v>118</v>
      </c>
      <c r="O314" t="s">
        <v>99</v>
      </c>
      <c r="P314">
        <v>13</v>
      </c>
      <c r="Q314">
        <f t="shared" si="54"/>
        <v>13</v>
      </c>
      <c r="R314" t="s">
        <v>151</v>
      </c>
      <c r="S314" s="8" t="s">
        <v>151</v>
      </c>
      <c r="T314" s="9">
        <v>20</v>
      </c>
      <c r="U314" s="9">
        <f t="shared" si="55"/>
        <v>20</v>
      </c>
      <c r="V314" s="10">
        <v>20</v>
      </c>
      <c r="W314">
        <v>4.5</v>
      </c>
      <c r="X314" s="11">
        <f t="shared" si="56"/>
        <v>4.5</v>
      </c>
      <c r="Y314" t="s">
        <v>65</v>
      </c>
      <c r="AA314" t="str">
        <f t="shared" si="58"/>
        <v>Unknown</v>
      </c>
      <c r="AB314" t="str">
        <f t="shared" si="59"/>
        <v>Unknown</v>
      </c>
      <c r="AC314" s="12">
        <v>91</v>
      </c>
      <c r="AD314" s="12">
        <f t="shared" si="60"/>
        <v>91</v>
      </c>
    </row>
    <row r="315" spans="1:30" x14ac:dyDescent="0.3">
      <c r="A315" t="s">
        <v>721</v>
      </c>
      <c r="B315" t="s">
        <v>722</v>
      </c>
      <c r="C315" t="s">
        <v>2260</v>
      </c>
      <c r="D315" t="s">
        <v>2161</v>
      </c>
      <c r="E315" t="str">
        <f t="shared" si="49"/>
        <v>Ronald Smith</v>
      </c>
      <c r="F315" t="str">
        <f t="shared" si="50"/>
        <v>Ronald Smith</v>
      </c>
      <c r="H315" t="s">
        <v>107</v>
      </c>
      <c r="I315" t="str">
        <f t="shared" si="51"/>
        <v>Male</v>
      </c>
      <c r="J315">
        <v>50</v>
      </c>
      <c r="K315">
        <f t="shared" si="52"/>
        <v>50</v>
      </c>
      <c r="L315" t="str">
        <f t="shared" si="53"/>
        <v>Third level</v>
      </c>
      <c r="M315" t="s">
        <v>64</v>
      </c>
      <c r="N315" t="s">
        <v>24</v>
      </c>
      <c r="O315" t="s">
        <v>33</v>
      </c>
      <c r="P315">
        <v>23</v>
      </c>
      <c r="Q315">
        <f t="shared" si="54"/>
        <v>23</v>
      </c>
      <c r="R315" t="s">
        <v>40</v>
      </c>
      <c r="S315" s="8" t="s">
        <v>40</v>
      </c>
      <c r="T315" s="9">
        <v>40</v>
      </c>
      <c r="U315" s="9">
        <f t="shared" si="55"/>
        <v>40</v>
      </c>
      <c r="V315" s="10">
        <v>40</v>
      </c>
      <c r="W315">
        <v>3.6</v>
      </c>
      <c r="X315" s="11">
        <f t="shared" si="56"/>
        <v>3.6</v>
      </c>
      <c r="Y315" t="s">
        <v>2103</v>
      </c>
      <c r="Z315" t="str">
        <f t="shared" si="57"/>
        <v>Yes</v>
      </c>
      <c r="AA315" t="str">
        <f t="shared" si="58"/>
        <v>Yes</v>
      </c>
      <c r="AB315" t="str">
        <f t="shared" si="59"/>
        <v>Yes</v>
      </c>
      <c r="AC315" s="12">
        <v>71</v>
      </c>
      <c r="AD315" s="12">
        <f t="shared" si="60"/>
        <v>71</v>
      </c>
    </row>
    <row r="316" spans="1:30" x14ac:dyDescent="0.3">
      <c r="A316" t="s">
        <v>723</v>
      </c>
      <c r="B316" t="s">
        <v>724</v>
      </c>
      <c r="C316" t="s">
        <v>2470</v>
      </c>
      <c r="D316" t="s">
        <v>2519</v>
      </c>
      <c r="E316" t="str">
        <f t="shared" si="49"/>
        <v>Dakota Giles</v>
      </c>
      <c r="F316" t="str">
        <f t="shared" si="50"/>
        <v>Dakota Giles</v>
      </c>
      <c r="H316" t="s">
        <v>107</v>
      </c>
      <c r="I316" t="str">
        <f t="shared" si="51"/>
        <v>Male</v>
      </c>
      <c r="J316">
        <v>39</v>
      </c>
      <c r="K316">
        <f t="shared" si="52"/>
        <v>39</v>
      </c>
      <c r="L316" t="str">
        <f t="shared" si="53"/>
        <v>Second level</v>
      </c>
      <c r="M316" t="s">
        <v>31</v>
      </c>
      <c r="N316" t="s">
        <v>32</v>
      </c>
      <c r="O316" t="s">
        <v>87</v>
      </c>
      <c r="Q316">
        <f t="shared" si="54"/>
        <v>9</v>
      </c>
      <c r="R316" t="s">
        <v>58</v>
      </c>
      <c r="S316" s="8" t="s">
        <v>2093</v>
      </c>
      <c r="T316" s="9">
        <v>75</v>
      </c>
      <c r="U316" s="9">
        <f t="shared" si="55"/>
        <v>75</v>
      </c>
      <c r="V316" s="10">
        <v>75</v>
      </c>
      <c r="W316">
        <v>3.6</v>
      </c>
      <c r="X316" s="11">
        <f t="shared" si="56"/>
        <v>3.6</v>
      </c>
      <c r="Y316" t="s">
        <v>2103</v>
      </c>
      <c r="Z316" t="str">
        <f t="shared" si="57"/>
        <v>Yes</v>
      </c>
      <c r="AA316" t="str">
        <f t="shared" si="58"/>
        <v>Yes</v>
      </c>
      <c r="AB316" t="str">
        <f t="shared" si="59"/>
        <v>Yes</v>
      </c>
      <c r="AC316" s="12">
        <v>87</v>
      </c>
      <c r="AD316" s="12">
        <f t="shared" si="60"/>
        <v>87</v>
      </c>
    </row>
    <row r="317" spans="1:30" x14ac:dyDescent="0.3">
      <c r="A317" t="s">
        <v>725</v>
      </c>
      <c r="B317" t="s">
        <v>726</v>
      </c>
      <c r="C317" t="s">
        <v>2516</v>
      </c>
      <c r="D317" t="s">
        <v>2520</v>
      </c>
      <c r="E317" t="str">
        <f t="shared" si="49"/>
        <v>Angela Castillo</v>
      </c>
      <c r="F317" t="str">
        <f t="shared" si="50"/>
        <v>Angela Castillo</v>
      </c>
      <c r="H317" t="s">
        <v>22</v>
      </c>
      <c r="I317" t="str">
        <f t="shared" si="51"/>
        <v>Female</v>
      </c>
      <c r="J317">
        <v>26</v>
      </c>
      <c r="K317">
        <f t="shared" si="52"/>
        <v>26</v>
      </c>
      <c r="L317" t="str">
        <f t="shared" si="53"/>
        <v>First level</v>
      </c>
      <c r="M317" t="s">
        <v>80</v>
      </c>
      <c r="N317" t="s">
        <v>81</v>
      </c>
      <c r="O317" t="s">
        <v>17</v>
      </c>
      <c r="P317">
        <v>3</v>
      </c>
      <c r="Q317">
        <f t="shared" si="54"/>
        <v>3</v>
      </c>
      <c r="R317" t="s">
        <v>26</v>
      </c>
      <c r="S317" s="8" t="s">
        <v>18</v>
      </c>
      <c r="T317" s="9">
        <v>100</v>
      </c>
      <c r="U317" s="9">
        <f t="shared" si="55"/>
        <v>100</v>
      </c>
      <c r="V317" s="10">
        <v>100</v>
      </c>
      <c r="W317">
        <v>2.8</v>
      </c>
      <c r="X317" s="11">
        <f t="shared" si="56"/>
        <v>2.8</v>
      </c>
      <c r="Y317" t="s">
        <v>2103</v>
      </c>
      <c r="Z317" t="str">
        <f t="shared" si="57"/>
        <v>Yes</v>
      </c>
      <c r="AA317" t="str">
        <f t="shared" si="58"/>
        <v>Yes</v>
      </c>
      <c r="AB317" t="str">
        <f t="shared" si="59"/>
        <v>Yes</v>
      </c>
      <c r="AC317" s="12">
        <v>61</v>
      </c>
      <c r="AD317" s="12">
        <f t="shared" si="60"/>
        <v>61</v>
      </c>
    </row>
    <row r="318" spans="1:30" x14ac:dyDescent="0.3">
      <c r="A318" t="s">
        <v>727</v>
      </c>
      <c r="B318" t="s">
        <v>728</v>
      </c>
      <c r="C318" t="s">
        <v>2521</v>
      </c>
      <c r="D318" t="s">
        <v>2241</v>
      </c>
      <c r="E318" t="str">
        <f t="shared" si="49"/>
        <v>Allen Lee</v>
      </c>
      <c r="F318" t="str">
        <f t="shared" si="50"/>
        <v>Allen Lee</v>
      </c>
      <c r="H318" t="s">
        <v>107</v>
      </c>
      <c r="I318" t="str">
        <f t="shared" si="51"/>
        <v>Male</v>
      </c>
      <c r="K318">
        <f t="shared" si="52"/>
        <v>41</v>
      </c>
      <c r="L318" t="str">
        <f t="shared" si="53"/>
        <v>Third level</v>
      </c>
      <c r="M318" t="s">
        <v>47</v>
      </c>
      <c r="N318" t="s">
        <v>48</v>
      </c>
      <c r="O318" t="s">
        <v>99</v>
      </c>
      <c r="P318">
        <v>0</v>
      </c>
      <c r="Q318">
        <f t="shared" si="54"/>
        <v>0</v>
      </c>
      <c r="R318" t="s">
        <v>240</v>
      </c>
      <c r="S318" s="8" t="s">
        <v>18</v>
      </c>
      <c r="T318" s="9">
        <v>100</v>
      </c>
      <c r="U318" s="9">
        <f t="shared" si="55"/>
        <v>100</v>
      </c>
      <c r="V318" s="10">
        <v>100</v>
      </c>
      <c r="W318">
        <v>5</v>
      </c>
      <c r="X318" s="11">
        <f t="shared" si="56"/>
        <v>5</v>
      </c>
      <c r="Y318" t="s">
        <v>2102</v>
      </c>
      <c r="Z318" t="str">
        <f t="shared" si="57"/>
        <v>No</v>
      </c>
      <c r="AA318" t="str">
        <f t="shared" si="58"/>
        <v>No</v>
      </c>
      <c r="AB318" t="str">
        <f t="shared" si="59"/>
        <v>No</v>
      </c>
      <c r="AC318" s="12"/>
      <c r="AD318" s="12">
        <f t="shared" si="60"/>
        <v>79.411660777385165</v>
      </c>
    </row>
    <row r="319" spans="1:30" x14ac:dyDescent="0.3">
      <c r="A319" t="s">
        <v>729</v>
      </c>
      <c r="B319" t="s">
        <v>730</v>
      </c>
      <c r="C319" t="s">
        <v>2166</v>
      </c>
      <c r="D319" t="s">
        <v>2179</v>
      </c>
      <c r="E319" t="str">
        <f t="shared" si="49"/>
        <v>Michael Rogers</v>
      </c>
      <c r="F319" t="str">
        <f t="shared" si="50"/>
        <v>Michael Rogers</v>
      </c>
      <c r="H319" t="s">
        <v>30</v>
      </c>
      <c r="I319" t="str">
        <f t="shared" si="51"/>
        <v>Male</v>
      </c>
      <c r="J319">
        <v>32</v>
      </c>
      <c r="K319">
        <f t="shared" si="52"/>
        <v>32</v>
      </c>
      <c r="L319" t="str">
        <f t="shared" si="53"/>
        <v>Second level</v>
      </c>
      <c r="M319" t="s">
        <v>31</v>
      </c>
      <c r="N319" t="s">
        <v>32</v>
      </c>
      <c r="O319" t="s">
        <v>33</v>
      </c>
      <c r="P319">
        <v>0</v>
      </c>
      <c r="Q319">
        <f t="shared" si="54"/>
        <v>0</v>
      </c>
      <c r="R319" t="s">
        <v>18</v>
      </c>
      <c r="S319" s="8" t="s">
        <v>18</v>
      </c>
      <c r="T319" s="9">
        <v>100</v>
      </c>
      <c r="U319" s="9">
        <f t="shared" si="55"/>
        <v>100</v>
      </c>
      <c r="V319" s="10">
        <v>100</v>
      </c>
      <c r="W319">
        <v>1.4</v>
      </c>
      <c r="X319" s="11">
        <f t="shared" si="56"/>
        <v>1.4</v>
      </c>
      <c r="Y319" t="s">
        <v>2103</v>
      </c>
      <c r="Z319" t="str">
        <f t="shared" si="57"/>
        <v>Yes</v>
      </c>
      <c r="AA319" t="str">
        <f t="shared" si="58"/>
        <v>Yes</v>
      </c>
      <c r="AB319" t="str">
        <f t="shared" si="59"/>
        <v>Yes</v>
      </c>
      <c r="AC319" s="12">
        <v>81</v>
      </c>
      <c r="AD319" s="12">
        <f t="shared" si="60"/>
        <v>81</v>
      </c>
    </row>
    <row r="320" spans="1:30" x14ac:dyDescent="0.3">
      <c r="A320" t="s">
        <v>731</v>
      </c>
      <c r="B320" t="s">
        <v>732</v>
      </c>
      <c r="C320" t="s">
        <v>2522</v>
      </c>
      <c r="D320" t="s">
        <v>2523</v>
      </c>
      <c r="E320" t="str">
        <f t="shared" si="49"/>
        <v>Danielle Costa</v>
      </c>
      <c r="F320" t="str">
        <f t="shared" si="50"/>
        <v>Danielle Costa</v>
      </c>
      <c r="H320" t="s">
        <v>86</v>
      </c>
      <c r="I320" t="str">
        <f t="shared" si="51"/>
        <v>Female</v>
      </c>
      <c r="J320">
        <v>55</v>
      </c>
      <c r="K320">
        <f t="shared" si="52"/>
        <v>55</v>
      </c>
      <c r="L320" t="str">
        <f t="shared" si="53"/>
        <v>Fourth level</v>
      </c>
      <c r="M320" t="s">
        <v>134</v>
      </c>
      <c r="N320" t="s">
        <v>135</v>
      </c>
      <c r="O320" t="s">
        <v>57</v>
      </c>
      <c r="P320">
        <v>17</v>
      </c>
      <c r="Q320">
        <f t="shared" si="54"/>
        <v>17</v>
      </c>
      <c r="R320" t="s">
        <v>44</v>
      </c>
      <c r="S320" s="8" t="s">
        <v>44</v>
      </c>
      <c r="T320" s="9">
        <v>30</v>
      </c>
      <c r="U320" s="9">
        <f t="shared" si="55"/>
        <v>30</v>
      </c>
      <c r="V320" s="10">
        <v>30</v>
      </c>
      <c r="X320" s="11">
        <f t="shared" si="56"/>
        <v>2.5578688524590141</v>
      </c>
      <c r="Y320" t="s">
        <v>65</v>
      </c>
      <c r="AA320" t="str">
        <f t="shared" si="58"/>
        <v>Unknown</v>
      </c>
      <c r="AB320" t="str">
        <f t="shared" si="59"/>
        <v>Unknown</v>
      </c>
      <c r="AC320" s="12"/>
      <c r="AD320" s="12">
        <f t="shared" si="60"/>
        <v>79.408849557522117</v>
      </c>
    </row>
    <row r="321" spans="1:30" x14ac:dyDescent="0.3">
      <c r="A321" t="s">
        <v>733</v>
      </c>
      <c r="B321" t="s">
        <v>734</v>
      </c>
      <c r="C321" t="s">
        <v>2371</v>
      </c>
      <c r="D321" t="s">
        <v>2524</v>
      </c>
      <c r="E321" t="str">
        <f t="shared" si="49"/>
        <v>William Nunez</v>
      </c>
      <c r="F321" t="str">
        <f t="shared" si="50"/>
        <v>William Nunez</v>
      </c>
      <c r="H321" t="s">
        <v>107</v>
      </c>
      <c r="I321" t="str">
        <f t="shared" si="51"/>
        <v>Male</v>
      </c>
      <c r="J321">
        <v>32</v>
      </c>
      <c r="K321">
        <f t="shared" si="52"/>
        <v>32</v>
      </c>
      <c r="L321" t="str">
        <f t="shared" si="53"/>
        <v>Second level</v>
      </c>
      <c r="M321" t="s">
        <v>80</v>
      </c>
      <c r="N321" t="s">
        <v>81</v>
      </c>
      <c r="O321" t="s">
        <v>124</v>
      </c>
      <c r="P321">
        <v>9</v>
      </c>
      <c r="Q321">
        <f t="shared" si="54"/>
        <v>9</v>
      </c>
      <c r="R321" t="s">
        <v>61</v>
      </c>
      <c r="S321" s="8" t="s">
        <v>2094</v>
      </c>
      <c r="T321" s="9">
        <v>40</v>
      </c>
      <c r="U321" s="9">
        <f t="shared" si="55"/>
        <v>40</v>
      </c>
      <c r="V321" s="10">
        <v>40</v>
      </c>
      <c r="W321">
        <v>4.5999999999999996</v>
      </c>
      <c r="X321" s="11">
        <f t="shared" si="56"/>
        <v>4.5999999999999996</v>
      </c>
      <c r="Y321" t="s">
        <v>2103</v>
      </c>
      <c r="Z321" t="str">
        <f t="shared" si="57"/>
        <v>Yes</v>
      </c>
      <c r="AA321" t="str">
        <f t="shared" si="58"/>
        <v>Yes</v>
      </c>
      <c r="AB321" t="str">
        <f t="shared" si="59"/>
        <v>Yes</v>
      </c>
      <c r="AC321" s="12">
        <v>84</v>
      </c>
      <c r="AD321" s="12">
        <f t="shared" si="60"/>
        <v>84</v>
      </c>
    </row>
    <row r="322" spans="1:30" x14ac:dyDescent="0.3">
      <c r="A322" t="s">
        <v>735</v>
      </c>
      <c r="B322" t="s">
        <v>736</v>
      </c>
      <c r="C322" t="s">
        <v>2308</v>
      </c>
      <c r="D322" t="s">
        <v>2525</v>
      </c>
      <c r="E322" t="str">
        <f t="shared" si="49"/>
        <v>Christopher Riggs</v>
      </c>
      <c r="F322" t="str">
        <f t="shared" si="50"/>
        <v>Christopher Riggs</v>
      </c>
      <c r="H322" t="s">
        <v>107</v>
      </c>
      <c r="I322" t="str">
        <f t="shared" si="51"/>
        <v>Male</v>
      </c>
      <c r="J322">
        <v>30</v>
      </c>
      <c r="K322">
        <f t="shared" si="52"/>
        <v>30</v>
      </c>
      <c r="L322" t="str">
        <f t="shared" si="53"/>
        <v>First level</v>
      </c>
      <c r="M322" t="s">
        <v>122</v>
      </c>
      <c r="N322" t="s">
        <v>123</v>
      </c>
      <c r="O322" t="s">
        <v>17</v>
      </c>
      <c r="P322">
        <v>4</v>
      </c>
      <c r="Q322">
        <f t="shared" si="54"/>
        <v>4</v>
      </c>
      <c r="R322" t="s">
        <v>131</v>
      </c>
      <c r="S322" s="8" t="s">
        <v>131</v>
      </c>
      <c r="T322" s="9">
        <v>20</v>
      </c>
      <c r="U322" s="9">
        <f t="shared" si="55"/>
        <v>20</v>
      </c>
      <c r="V322" s="10">
        <v>20</v>
      </c>
      <c r="W322">
        <v>3.3</v>
      </c>
      <c r="X322" s="11">
        <f t="shared" si="56"/>
        <v>3.3</v>
      </c>
      <c r="Y322" t="s">
        <v>170</v>
      </c>
      <c r="Z322" t="str">
        <f t="shared" si="57"/>
        <v>no</v>
      </c>
      <c r="AA322" t="str">
        <f t="shared" si="58"/>
        <v>no</v>
      </c>
      <c r="AB322" t="str">
        <f t="shared" si="59"/>
        <v>No</v>
      </c>
      <c r="AC322" s="12"/>
      <c r="AD322" s="12">
        <f t="shared" si="60"/>
        <v>79.400709219858157</v>
      </c>
    </row>
    <row r="323" spans="1:30" x14ac:dyDescent="0.3">
      <c r="A323" t="s">
        <v>737</v>
      </c>
      <c r="B323" t="s">
        <v>738</v>
      </c>
      <c r="C323" t="s">
        <v>2526</v>
      </c>
      <c r="D323" t="s">
        <v>2119</v>
      </c>
      <c r="E323" t="str">
        <f t="shared" ref="E323:E386" si="61">CONCATENATE(C323," ",D323)</f>
        <v>Kathryn Myers</v>
      </c>
      <c r="F323" t="str">
        <f t="shared" ref="F323:F386" si="62">PROPER(E323)</f>
        <v>Kathryn Myers</v>
      </c>
      <c r="H323" t="s">
        <v>43</v>
      </c>
      <c r="I323" t="str">
        <f t="shared" ref="I323:I386" si="63">PROPER(H323)</f>
        <v>Female</v>
      </c>
      <c r="J323">
        <v>37</v>
      </c>
      <c r="K323">
        <f t="shared" ref="K323:K386" si="64">IF(ISBLANK(J323),ROUND(AVERAGEIF($I$2:$I$1001,I323,$J$2:$J$1001),0),J323)</f>
        <v>37</v>
      </c>
      <c r="L323" t="str">
        <f t="shared" ref="L323:L386" si="65">IF(AND(K323&gt;=20,K323&lt;=30),"First level",IF(AND(K323&gt;30,K323&lt;=40),"Second level",IF(AND(K323&gt;40,K323&lt;=50),"Third level",IF(H330&gt;50,"Fourth level"))))</f>
        <v>Second level</v>
      </c>
      <c r="M323" t="s">
        <v>138</v>
      </c>
      <c r="N323" t="s">
        <v>24</v>
      </c>
      <c r="O323" t="s">
        <v>87</v>
      </c>
      <c r="P323">
        <v>0</v>
      </c>
      <c r="Q323">
        <f t="shared" ref="Q323:Q386" si="66">IF(ISBLANK(P323),ROUND(AVERAGEIF($L$2:$L$1001,L323,$P$2:$P$1001),0),P323)</f>
        <v>0</v>
      </c>
      <c r="R323" t="s">
        <v>40</v>
      </c>
      <c r="S323" s="8" t="s">
        <v>40</v>
      </c>
      <c r="T323" s="9">
        <v>40</v>
      </c>
      <c r="U323" s="9">
        <f t="shared" ref="U323:U386" si="67">IF(ISBLANK(T323),AVERAGE(T322:T1322),T323)</f>
        <v>40</v>
      </c>
      <c r="V323" s="10">
        <v>40</v>
      </c>
      <c r="W323">
        <v>3.7</v>
      </c>
      <c r="X323" s="11">
        <f t="shared" ref="X323:X386" si="68">IF(ISBLANK(W323),AVERAGE(W323:W1322),W323)</f>
        <v>3.7</v>
      </c>
      <c r="Y323" t="s">
        <v>2103</v>
      </c>
      <c r="Z323" t="str">
        <f t="shared" ref="Z323:Z386" si="69">CLEAN(Y323)</f>
        <v>Yes</v>
      </c>
      <c r="AA323" t="str">
        <f t="shared" ref="AA323:AA386" si="70">IF(ISBLANK(Z323),"Unknown",Z323)</f>
        <v>Yes</v>
      </c>
      <c r="AB323" t="str">
        <f t="shared" ref="AB323:AB386" si="71">PROPER(AA323)</f>
        <v>Yes</v>
      </c>
      <c r="AC323" s="12"/>
      <c r="AD323" s="12">
        <f t="shared" ref="AD323:AD386" si="72">IF(ISBLANK(AC323),AVERAGE(AC323:AC1322),AC323)</f>
        <v>79.400709219858157</v>
      </c>
    </row>
    <row r="324" spans="1:30" x14ac:dyDescent="0.3">
      <c r="A324" t="s">
        <v>739</v>
      </c>
      <c r="B324" t="s">
        <v>740</v>
      </c>
      <c r="C324" t="s">
        <v>2165</v>
      </c>
      <c r="D324" t="s">
        <v>2527</v>
      </c>
      <c r="E324" t="str">
        <f t="shared" si="61"/>
        <v>Robert Walls</v>
      </c>
      <c r="F324" t="str">
        <f t="shared" si="62"/>
        <v>Robert Walls</v>
      </c>
      <c r="H324" t="s">
        <v>107</v>
      </c>
      <c r="I324" t="str">
        <f t="shared" si="63"/>
        <v>Male</v>
      </c>
      <c r="J324">
        <v>52</v>
      </c>
      <c r="K324">
        <f t="shared" si="64"/>
        <v>52</v>
      </c>
      <c r="L324" t="str">
        <f t="shared" si="65"/>
        <v>Fourth level</v>
      </c>
      <c r="M324" t="s">
        <v>117</v>
      </c>
      <c r="N324" t="s">
        <v>118</v>
      </c>
      <c r="O324" t="s">
        <v>33</v>
      </c>
      <c r="P324">
        <v>33</v>
      </c>
      <c r="Q324">
        <f t="shared" si="66"/>
        <v>33</v>
      </c>
      <c r="R324" t="s">
        <v>65</v>
      </c>
      <c r="S324" s="8" t="s">
        <v>65</v>
      </c>
      <c r="T324" s="9"/>
      <c r="U324" s="9">
        <f t="shared" si="67"/>
        <v>52.370129870129873</v>
      </c>
      <c r="V324" s="10">
        <v>52.370129870129873</v>
      </c>
      <c r="W324">
        <v>0</v>
      </c>
      <c r="X324" s="11">
        <f t="shared" si="68"/>
        <v>0</v>
      </c>
      <c r="Y324" t="s">
        <v>2103</v>
      </c>
      <c r="Z324" t="str">
        <f t="shared" si="69"/>
        <v>Yes</v>
      </c>
      <c r="AA324" t="str">
        <f t="shared" si="70"/>
        <v>Yes</v>
      </c>
      <c r="AB324" t="str">
        <f t="shared" si="71"/>
        <v>Yes</v>
      </c>
      <c r="AC324" s="12">
        <v>60</v>
      </c>
      <c r="AD324" s="12">
        <f t="shared" si="72"/>
        <v>60</v>
      </c>
    </row>
    <row r="325" spans="1:30" x14ac:dyDescent="0.3">
      <c r="A325" t="s">
        <v>741</v>
      </c>
      <c r="B325" t="s">
        <v>742</v>
      </c>
      <c r="C325" t="s">
        <v>2384</v>
      </c>
      <c r="D325" t="s">
        <v>2117</v>
      </c>
      <c r="E325" t="str">
        <f t="shared" si="61"/>
        <v>Justin Johnson</v>
      </c>
      <c r="F325" t="str">
        <f t="shared" si="62"/>
        <v>Justin Johnson</v>
      </c>
      <c r="H325" t="s">
        <v>107</v>
      </c>
      <c r="I325" t="str">
        <f t="shared" si="63"/>
        <v>Male</v>
      </c>
      <c r="J325">
        <v>48</v>
      </c>
      <c r="K325">
        <f t="shared" si="64"/>
        <v>48</v>
      </c>
      <c r="L325" t="str">
        <f t="shared" si="65"/>
        <v>Third level</v>
      </c>
      <c r="M325" t="s">
        <v>103</v>
      </c>
      <c r="N325" t="s">
        <v>104</v>
      </c>
      <c r="O325" t="s">
        <v>87</v>
      </c>
      <c r="P325">
        <v>18</v>
      </c>
      <c r="Q325">
        <f t="shared" si="66"/>
        <v>18</v>
      </c>
      <c r="R325" t="s">
        <v>34</v>
      </c>
      <c r="S325" s="8" t="s">
        <v>34</v>
      </c>
      <c r="T325" s="9">
        <v>50</v>
      </c>
      <c r="U325" s="9">
        <f t="shared" si="67"/>
        <v>50</v>
      </c>
      <c r="V325" s="10">
        <v>50</v>
      </c>
      <c r="W325">
        <v>0</v>
      </c>
      <c r="X325" s="11">
        <f t="shared" si="68"/>
        <v>0</v>
      </c>
      <c r="Y325" t="s">
        <v>2103</v>
      </c>
      <c r="Z325" t="str">
        <f t="shared" si="69"/>
        <v>Yes</v>
      </c>
      <c r="AA325" t="str">
        <f t="shared" si="70"/>
        <v>Yes</v>
      </c>
      <c r="AB325" t="str">
        <f t="shared" si="71"/>
        <v>Yes</v>
      </c>
      <c r="AC325" s="12">
        <v>64</v>
      </c>
      <c r="AD325" s="12">
        <f t="shared" si="72"/>
        <v>64</v>
      </c>
    </row>
    <row r="326" spans="1:30" x14ac:dyDescent="0.3">
      <c r="A326" t="s">
        <v>743</v>
      </c>
      <c r="B326" t="s">
        <v>744</v>
      </c>
      <c r="C326" t="s">
        <v>2528</v>
      </c>
      <c r="D326" t="s">
        <v>2529</v>
      </c>
      <c r="E326" t="str">
        <f t="shared" si="61"/>
        <v>Paula Stevens</v>
      </c>
      <c r="F326" t="str">
        <f t="shared" si="62"/>
        <v>Paula Stevens</v>
      </c>
      <c r="H326" t="s">
        <v>22</v>
      </c>
      <c r="I326" t="str">
        <f t="shared" si="63"/>
        <v>Female</v>
      </c>
      <c r="J326">
        <v>28</v>
      </c>
      <c r="K326">
        <f t="shared" si="64"/>
        <v>28</v>
      </c>
      <c r="L326" t="str">
        <f t="shared" si="65"/>
        <v>First level</v>
      </c>
      <c r="M326" t="s">
        <v>95</v>
      </c>
      <c r="N326" t="s">
        <v>96</v>
      </c>
      <c r="O326" t="s">
        <v>25</v>
      </c>
      <c r="P326">
        <v>9</v>
      </c>
      <c r="Q326">
        <f t="shared" si="66"/>
        <v>9</v>
      </c>
      <c r="R326" t="s">
        <v>76</v>
      </c>
      <c r="S326" s="8" t="s">
        <v>76</v>
      </c>
      <c r="T326" s="9">
        <v>40</v>
      </c>
      <c r="U326" s="9">
        <f t="shared" si="67"/>
        <v>40</v>
      </c>
      <c r="V326" s="10">
        <v>40</v>
      </c>
      <c r="X326" s="11">
        <f t="shared" si="68"/>
        <v>2.5598347107437993</v>
      </c>
      <c r="Y326" t="s">
        <v>2103</v>
      </c>
      <c r="Z326" t="str">
        <f t="shared" si="69"/>
        <v>Yes</v>
      </c>
      <c r="AA326" t="str">
        <f t="shared" si="70"/>
        <v>Yes</v>
      </c>
      <c r="AB326" t="str">
        <f t="shared" si="71"/>
        <v>Yes</v>
      </c>
      <c r="AC326" s="12">
        <v>64</v>
      </c>
      <c r="AD326" s="12">
        <f t="shared" si="72"/>
        <v>64</v>
      </c>
    </row>
    <row r="327" spans="1:30" x14ac:dyDescent="0.3">
      <c r="A327" t="s">
        <v>745</v>
      </c>
      <c r="B327" t="s">
        <v>746</v>
      </c>
      <c r="C327" t="s">
        <v>2151</v>
      </c>
      <c r="D327" t="s">
        <v>2521</v>
      </c>
      <c r="E327" t="str">
        <f t="shared" si="61"/>
        <v>Jennifer Allen</v>
      </c>
      <c r="F327" t="str">
        <f t="shared" si="62"/>
        <v>Jennifer Allen</v>
      </c>
      <c r="H327" t="s">
        <v>22</v>
      </c>
      <c r="I327" t="str">
        <f t="shared" si="63"/>
        <v>Female</v>
      </c>
      <c r="J327">
        <v>58</v>
      </c>
      <c r="K327">
        <f t="shared" si="64"/>
        <v>58</v>
      </c>
      <c r="L327" t="str">
        <f t="shared" si="65"/>
        <v>Fourth level</v>
      </c>
      <c r="M327" t="s">
        <v>201</v>
      </c>
      <c r="N327" t="s">
        <v>81</v>
      </c>
      <c r="O327" t="s">
        <v>57</v>
      </c>
      <c r="P327">
        <v>40</v>
      </c>
      <c r="Q327">
        <f t="shared" si="66"/>
        <v>40</v>
      </c>
      <c r="R327" t="s">
        <v>92</v>
      </c>
      <c r="S327" s="8" t="s">
        <v>92</v>
      </c>
      <c r="T327" s="9">
        <v>75</v>
      </c>
      <c r="U327" s="9">
        <f t="shared" si="67"/>
        <v>75</v>
      </c>
      <c r="V327" s="10">
        <v>75</v>
      </c>
      <c r="W327">
        <v>3.4</v>
      </c>
      <c r="X327" s="11">
        <f t="shared" si="68"/>
        <v>3.4</v>
      </c>
      <c r="Y327" t="s">
        <v>2103</v>
      </c>
      <c r="Z327" t="str">
        <f t="shared" si="69"/>
        <v>Yes</v>
      </c>
      <c r="AA327" t="str">
        <f t="shared" si="70"/>
        <v>Yes</v>
      </c>
      <c r="AB327" t="str">
        <f t="shared" si="71"/>
        <v>Yes</v>
      </c>
      <c r="AC327" s="12">
        <v>100</v>
      </c>
      <c r="AD327" s="12">
        <f t="shared" si="72"/>
        <v>100</v>
      </c>
    </row>
    <row r="328" spans="1:30" x14ac:dyDescent="0.3">
      <c r="A328" t="s">
        <v>747</v>
      </c>
      <c r="B328" t="s">
        <v>748</v>
      </c>
      <c r="C328" t="s">
        <v>2206</v>
      </c>
      <c r="D328" t="s">
        <v>2530</v>
      </c>
      <c r="E328" t="str">
        <f t="shared" si="61"/>
        <v>Mark Hudson</v>
      </c>
      <c r="F328" t="str">
        <f t="shared" si="62"/>
        <v>Mark Hudson</v>
      </c>
      <c r="H328" t="s">
        <v>30</v>
      </c>
      <c r="I328" t="str">
        <f t="shared" si="63"/>
        <v>Male</v>
      </c>
      <c r="J328">
        <v>30</v>
      </c>
      <c r="K328">
        <f t="shared" si="64"/>
        <v>30</v>
      </c>
      <c r="L328" t="str">
        <f t="shared" si="65"/>
        <v>First level</v>
      </c>
      <c r="M328" t="s">
        <v>80</v>
      </c>
      <c r="N328" t="s">
        <v>81</v>
      </c>
      <c r="O328" t="s">
        <v>39</v>
      </c>
      <c r="P328">
        <v>1</v>
      </c>
      <c r="Q328">
        <f t="shared" si="66"/>
        <v>1</v>
      </c>
      <c r="R328" t="s">
        <v>76</v>
      </c>
      <c r="S328" s="8" t="s">
        <v>76</v>
      </c>
      <c r="T328" s="9">
        <v>40</v>
      </c>
      <c r="U328" s="9">
        <f t="shared" si="67"/>
        <v>40</v>
      </c>
      <c r="V328" s="10">
        <v>40</v>
      </c>
      <c r="W328">
        <v>1.6</v>
      </c>
      <c r="X328" s="11">
        <f t="shared" si="68"/>
        <v>1.6</v>
      </c>
      <c r="Y328" t="s">
        <v>2103</v>
      </c>
      <c r="Z328" t="str">
        <f t="shared" si="69"/>
        <v>Yes</v>
      </c>
      <c r="AA328" t="str">
        <f t="shared" si="70"/>
        <v>Yes</v>
      </c>
      <c r="AB328" t="str">
        <f t="shared" si="71"/>
        <v>Yes</v>
      </c>
      <c r="AC328" s="12">
        <v>100</v>
      </c>
      <c r="AD328" s="12">
        <f t="shared" si="72"/>
        <v>100</v>
      </c>
    </row>
    <row r="329" spans="1:30" x14ac:dyDescent="0.3">
      <c r="A329" t="s">
        <v>749</v>
      </c>
      <c r="B329" t="s">
        <v>750</v>
      </c>
      <c r="C329" t="s">
        <v>2168</v>
      </c>
      <c r="D329" t="s">
        <v>2161</v>
      </c>
      <c r="E329" t="str">
        <f t="shared" si="61"/>
        <v>Jessica Smith</v>
      </c>
      <c r="F329" t="str">
        <f t="shared" si="62"/>
        <v>Jessica Smith</v>
      </c>
      <c r="H329" t="s">
        <v>86</v>
      </c>
      <c r="I329" t="str">
        <f t="shared" si="63"/>
        <v>Female</v>
      </c>
      <c r="J329">
        <v>47</v>
      </c>
      <c r="K329">
        <f t="shared" si="64"/>
        <v>47</v>
      </c>
      <c r="L329" t="str">
        <f t="shared" si="65"/>
        <v>Third level</v>
      </c>
      <c r="M329" t="s">
        <v>186</v>
      </c>
      <c r="N329" t="s">
        <v>187</v>
      </c>
      <c r="O329" t="s">
        <v>25</v>
      </c>
      <c r="P329">
        <v>5</v>
      </c>
      <c r="Q329">
        <f t="shared" si="66"/>
        <v>5</v>
      </c>
      <c r="R329" t="s">
        <v>151</v>
      </c>
      <c r="S329" s="8" t="s">
        <v>151</v>
      </c>
      <c r="T329" s="9">
        <v>20</v>
      </c>
      <c r="U329" s="9">
        <f t="shared" si="67"/>
        <v>20</v>
      </c>
      <c r="V329" s="10">
        <v>20</v>
      </c>
      <c r="W329">
        <v>1.9</v>
      </c>
      <c r="X329" s="11">
        <f t="shared" si="68"/>
        <v>1.9</v>
      </c>
      <c r="Y329" t="s">
        <v>2102</v>
      </c>
      <c r="Z329" t="str">
        <f t="shared" si="69"/>
        <v>No</v>
      </c>
      <c r="AA329" t="str">
        <f t="shared" si="70"/>
        <v>No</v>
      </c>
      <c r="AB329" t="str">
        <f t="shared" si="71"/>
        <v>No</v>
      </c>
      <c r="AC329" s="12"/>
      <c r="AD329" s="12">
        <f t="shared" si="72"/>
        <v>79.416815742397134</v>
      </c>
    </row>
    <row r="330" spans="1:30" x14ac:dyDescent="0.3">
      <c r="A330" t="s">
        <v>751</v>
      </c>
      <c r="B330" t="s">
        <v>752</v>
      </c>
      <c r="C330" t="s">
        <v>2503</v>
      </c>
      <c r="D330" t="s">
        <v>2531</v>
      </c>
      <c r="E330" t="str">
        <f t="shared" si="61"/>
        <v>Mike Dean</v>
      </c>
      <c r="F330" t="str">
        <f t="shared" si="62"/>
        <v>Mike Dean</v>
      </c>
      <c r="H330" t="s">
        <v>30</v>
      </c>
      <c r="I330" t="str">
        <f t="shared" si="63"/>
        <v>Male</v>
      </c>
      <c r="J330">
        <v>44</v>
      </c>
      <c r="K330">
        <f t="shared" si="64"/>
        <v>44</v>
      </c>
      <c r="L330" t="str">
        <f t="shared" si="65"/>
        <v>Third level</v>
      </c>
      <c r="M330" t="s">
        <v>80</v>
      </c>
      <c r="N330" t="s">
        <v>81</v>
      </c>
      <c r="O330" t="s">
        <v>49</v>
      </c>
      <c r="P330">
        <v>4</v>
      </c>
      <c r="Q330">
        <f t="shared" si="66"/>
        <v>4</v>
      </c>
      <c r="R330" t="s">
        <v>72</v>
      </c>
      <c r="S330" s="8" t="s">
        <v>72</v>
      </c>
      <c r="T330" s="9">
        <v>50</v>
      </c>
      <c r="U330" s="9">
        <f t="shared" si="67"/>
        <v>50</v>
      </c>
      <c r="V330" s="10">
        <v>50</v>
      </c>
      <c r="W330">
        <v>0</v>
      </c>
      <c r="X330" s="11">
        <f t="shared" si="68"/>
        <v>0</v>
      </c>
      <c r="Y330" t="s">
        <v>2103</v>
      </c>
      <c r="Z330" t="str">
        <f t="shared" si="69"/>
        <v>Yes</v>
      </c>
      <c r="AA330" t="str">
        <f t="shared" si="70"/>
        <v>Yes</v>
      </c>
      <c r="AB330" t="str">
        <f t="shared" si="71"/>
        <v>Yes</v>
      </c>
      <c r="AC330" s="12">
        <v>83</v>
      </c>
      <c r="AD330" s="12">
        <f t="shared" si="72"/>
        <v>83</v>
      </c>
    </row>
    <row r="331" spans="1:30" x14ac:dyDescent="0.3">
      <c r="A331" t="s">
        <v>753</v>
      </c>
      <c r="B331" t="s">
        <v>754</v>
      </c>
      <c r="C331" t="s">
        <v>2268</v>
      </c>
      <c r="D331" t="s">
        <v>2220</v>
      </c>
      <c r="E331" t="str">
        <f t="shared" si="61"/>
        <v>Jose Wilson</v>
      </c>
      <c r="F331" t="str">
        <f t="shared" si="62"/>
        <v>Jose Wilson</v>
      </c>
      <c r="H331" t="s">
        <v>107</v>
      </c>
      <c r="I331" t="str">
        <f t="shared" si="63"/>
        <v>Male</v>
      </c>
      <c r="J331">
        <v>56</v>
      </c>
      <c r="K331">
        <f t="shared" si="64"/>
        <v>56</v>
      </c>
      <c r="L331" t="str">
        <f t="shared" si="65"/>
        <v>Fourth level</v>
      </c>
      <c r="M331" t="s">
        <v>15</v>
      </c>
      <c r="N331" t="s">
        <v>16</v>
      </c>
      <c r="O331" t="s">
        <v>124</v>
      </c>
      <c r="P331">
        <v>13</v>
      </c>
      <c r="Q331">
        <f t="shared" si="66"/>
        <v>13</v>
      </c>
      <c r="R331" t="s">
        <v>61</v>
      </c>
      <c r="S331" s="8" t="s">
        <v>2094</v>
      </c>
      <c r="T331" s="9">
        <v>40</v>
      </c>
      <c r="U331" s="9">
        <f t="shared" si="67"/>
        <v>40</v>
      </c>
      <c r="V331" s="10">
        <v>40</v>
      </c>
      <c r="X331" s="11">
        <f t="shared" si="68"/>
        <v>2.565391014975039</v>
      </c>
      <c r="Y331" t="s">
        <v>2103</v>
      </c>
      <c r="Z331" t="str">
        <f t="shared" si="69"/>
        <v>Yes</v>
      </c>
      <c r="AA331" t="str">
        <f t="shared" si="70"/>
        <v>Yes</v>
      </c>
      <c r="AB331" t="str">
        <f t="shared" si="71"/>
        <v>Yes</v>
      </c>
      <c r="AC331" s="12">
        <v>87</v>
      </c>
      <c r="AD331" s="12">
        <f t="shared" si="72"/>
        <v>87</v>
      </c>
    </row>
    <row r="332" spans="1:30" x14ac:dyDescent="0.3">
      <c r="A332" t="s">
        <v>755</v>
      </c>
      <c r="B332" t="s">
        <v>756</v>
      </c>
      <c r="C332" t="s">
        <v>2532</v>
      </c>
      <c r="D332" t="s">
        <v>2432</v>
      </c>
      <c r="E332" t="str">
        <f t="shared" si="61"/>
        <v>Tammy Hill</v>
      </c>
      <c r="F332" t="str">
        <f t="shared" si="62"/>
        <v>Tammy Hill</v>
      </c>
      <c r="H332" t="s">
        <v>86</v>
      </c>
      <c r="I332" t="str">
        <f t="shared" si="63"/>
        <v>Female</v>
      </c>
      <c r="J332">
        <v>53</v>
      </c>
      <c r="K332">
        <f t="shared" si="64"/>
        <v>53</v>
      </c>
      <c r="L332" t="str">
        <f t="shared" si="65"/>
        <v>Fourth level</v>
      </c>
      <c r="M332" t="s">
        <v>64</v>
      </c>
      <c r="N332" t="s">
        <v>24</v>
      </c>
      <c r="O332" t="s">
        <v>25</v>
      </c>
      <c r="P332">
        <v>33</v>
      </c>
      <c r="Q332">
        <f t="shared" si="66"/>
        <v>33</v>
      </c>
      <c r="R332" t="s">
        <v>240</v>
      </c>
      <c r="S332" s="8" t="s">
        <v>18</v>
      </c>
      <c r="T332" s="9">
        <v>100</v>
      </c>
      <c r="U332" s="9">
        <f t="shared" si="67"/>
        <v>100</v>
      </c>
      <c r="V332" s="10">
        <v>100</v>
      </c>
      <c r="X332" s="11">
        <f t="shared" si="68"/>
        <v>2.565391014975039</v>
      </c>
      <c r="Y332" t="s">
        <v>170</v>
      </c>
      <c r="Z332" t="str">
        <f t="shared" si="69"/>
        <v>no</v>
      </c>
      <c r="AA332" t="str">
        <f t="shared" si="70"/>
        <v>no</v>
      </c>
      <c r="AB332" t="str">
        <f t="shared" si="71"/>
        <v>No</v>
      </c>
      <c r="AC332" s="12">
        <v>75</v>
      </c>
      <c r="AD332" s="12">
        <f t="shared" si="72"/>
        <v>75</v>
      </c>
    </row>
    <row r="333" spans="1:30" x14ac:dyDescent="0.3">
      <c r="A333" t="s">
        <v>757</v>
      </c>
      <c r="B333" t="s">
        <v>758</v>
      </c>
      <c r="C333" t="s">
        <v>2533</v>
      </c>
      <c r="D333" t="s">
        <v>2534</v>
      </c>
      <c r="E333" t="str">
        <f t="shared" si="61"/>
        <v>Nathaniel Flores</v>
      </c>
      <c r="F333" t="str">
        <f t="shared" si="62"/>
        <v>Nathaniel Flores</v>
      </c>
      <c r="H333" t="s">
        <v>69</v>
      </c>
      <c r="I333" t="str">
        <f t="shared" si="63"/>
        <v>Male</v>
      </c>
      <c r="J333">
        <v>59</v>
      </c>
      <c r="K333">
        <f t="shared" si="64"/>
        <v>59</v>
      </c>
      <c r="L333" t="str">
        <f t="shared" si="65"/>
        <v>Fourth level</v>
      </c>
      <c r="M333" t="s">
        <v>75</v>
      </c>
      <c r="N333" t="s">
        <v>24</v>
      </c>
      <c r="O333" t="s">
        <v>25</v>
      </c>
      <c r="P333">
        <v>22</v>
      </c>
      <c r="Q333">
        <f t="shared" si="66"/>
        <v>22</v>
      </c>
      <c r="R333" t="s">
        <v>76</v>
      </c>
      <c r="S333" s="8" t="s">
        <v>76</v>
      </c>
      <c r="T333" s="9">
        <v>40</v>
      </c>
      <c r="U333" s="9">
        <f t="shared" si="67"/>
        <v>40</v>
      </c>
      <c r="V333" s="10">
        <v>40</v>
      </c>
      <c r="W333">
        <v>1.1000000000000001</v>
      </c>
      <c r="X333" s="11">
        <f t="shared" si="68"/>
        <v>1.1000000000000001</v>
      </c>
      <c r="Y333" t="s">
        <v>77</v>
      </c>
      <c r="Z333" t="str">
        <f t="shared" si="69"/>
        <v>yes</v>
      </c>
      <c r="AA333" t="str">
        <f t="shared" si="70"/>
        <v>yes</v>
      </c>
      <c r="AB333" t="str">
        <f t="shared" si="71"/>
        <v>Yes</v>
      </c>
      <c r="AC333" s="12">
        <v>61</v>
      </c>
      <c r="AD333" s="12">
        <f t="shared" si="72"/>
        <v>61</v>
      </c>
    </row>
    <row r="334" spans="1:30" x14ac:dyDescent="0.3">
      <c r="A334" t="s">
        <v>759</v>
      </c>
      <c r="B334" t="s">
        <v>760</v>
      </c>
      <c r="C334" t="s">
        <v>2535</v>
      </c>
      <c r="D334" t="s">
        <v>2150</v>
      </c>
      <c r="E334" t="str">
        <f t="shared" si="61"/>
        <v>Edwin Carter</v>
      </c>
      <c r="F334" t="str">
        <f t="shared" si="62"/>
        <v>Edwin Carter</v>
      </c>
      <c r="H334" t="s">
        <v>107</v>
      </c>
      <c r="I334" t="str">
        <f t="shared" si="63"/>
        <v>Male</v>
      </c>
      <c r="J334">
        <v>60</v>
      </c>
      <c r="K334">
        <f t="shared" si="64"/>
        <v>60</v>
      </c>
      <c r="L334" t="str">
        <f t="shared" si="65"/>
        <v>Fourth level</v>
      </c>
      <c r="M334" t="s">
        <v>64</v>
      </c>
      <c r="N334" t="s">
        <v>24</v>
      </c>
      <c r="O334" t="s">
        <v>99</v>
      </c>
      <c r="P334">
        <v>34</v>
      </c>
      <c r="Q334">
        <f t="shared" si="66"/>
        <v>34</v>
      </c>
      <c r="R334" t="s">
        <v>65</v>
      </c>
      <c r="S334" s="8" t="s">
        <v>65</v>
      </c>
      <c r="T334" s="9"/>
      <c r="U334" s="9">
        <f t="shared" si="67"/>
        <v>52.397034596375619</v>
      </c>
      <c r="V334" s="10">
        <v>52.397034596375619</v>
      </c>
      <c r="W334">
        <v>2.5</v>
      </c>
      <c r="X334" s="11">
        <f t="shared" si="68"/>
        <v>2.5</v>
      </c>
      <c r="Y334" t="s">
        <v>2102</v>
      </c>
      <c r="Z334" t="str">
        <f t="shared" si="69"/>
        <v>No</v>
      </c>
      <c r="AA334" t="str">
        <f t="shared" si="70"/>
        <v>No</v>
      </c>
      <c r="AB334" t="str">
        <f t="shared" si="71"/>
        <v>No</v>
      </c>
      <c r="AC334" s="12">
        <v>93</v>
      </c>
      <c r="AD334" s="12">
        <f t="shared" si="72"/>
        <v>93</v>
      </c>
    </row>
    <row r="335" spans="1:30" x14ac:dyDescent="0.3">
      <c r="A335" t="s">
        <v>761</v>
      </c>
      <c r="B335" t="s">
        <v>762</v>
      </c>
      <c r="C335" t="s">
        <v>2357</v>
      </c>
      <c r="D335" t="s">
        <v>2232</v>
      </c>
      <c r="E335" t="str">
        <f t="shared" si="61"/>
        <v>Patricia Miller</v>
      </c>
      <c r="F335" t="str">
        <f t="shared" si="62"/>
        <v>Patricia Miller</v>
      </c>
      <c r="H335" t="s">
        <v>22</v>
      </c>
      <c r="I335" t="str">
        <f t="shared" si="63"/>
        <v>Female</v>
      </c>
      <c r="J335">
        <v>33</v>
      </c>
      <c r="K335">
        <f t="shared" si="64"/>
        <v>33</v>
      </c>
      <c r="L335" t="str">
        <f t="shared" si="65"/>
        <v>Second level</v>
      </c>
      <c r="M335" t="s">
        <v>31</v>
      </c>
      <c r="N335" t="s">
        <v>32</v>
      </c>
      <c r="O335" t="s">
        <v>25</v>
      </c>
      <c r="P335">
        <v>8</v>
      </c>
      <c r="Q335">
        <f t="shared" si="66"/>
        <v>8</v>
      </c>
      <c r="R335" t="s">
        <v>119</v>
      </c>
      <c r="S335" s="8" t="s">
        <v>2096</v>
      </c>
      <c r="T335" s="9">
        <v>30</v>
      </c>
      <c r="U335" s="9">
        <f t="shared" si="67"/>
        <v>30</v>
      </c>
      <c r="V335" s="10">
        <v>30</v>
      </c>
      <c r="W335">
        <v>3.6</v>
      </c>
      <c r="X335" s="11">
        <f t="shared" si="68"/>
        <v>3.6</v>
      </c>
      <c r="Y335" t="s">
        <v>2103</v>
      </c>
      <c r="Z335" t="str">
        <f t="shared" si="69"/>
        <v>Yes</v>
      </c>
      <c r="AA335" t="str">
        <f t="shared" si="70"/>
        <v>Yes</v>
      </c>
      <c r="AB335" t="str">
        <f t="shared" si="71"/>
        <v>Yes</v>
      </c>
      <c r="AC335" s="12"/>
      <c r="AD335" s="12">
        <f t="shared" si="72"/>
        <v>79.41335740072202</v>
      </c>
    </row>
    <row r="336" spans="1:30" x14ac:dyDescent="0.3">
      <c r="A336" t="s">
        <v>763</v>
      </c>
      <c r="B336" t="s">
        <v>764</v>
      </c>
      <c r="C336" t="s">
        <v>2351</v>
      </c>
      <c r="D336" t="s">
        <v>2130</v>
      </c>
      <c r="E336" t="str">
        <f t="shared" si="61"/>
        <v>Rebecca Schneider</v>
      </c>
      <c r="F336" t="str">
        <f t="shared" si="62"/>
        <v>Rebecca Schneider</v>
      </c>
      <c r="H336" t="s">
        <v>86</v>
      </c>
      <c r="I336" t="str">
        <f t="shared" si="63"/>
        <v>Female</v>
      </c>
      <c r="J336">
        <v>21</v>
      </c>
      <c r="K336">
        <f t="shared" si="64"/>
        <v>21</v>
      </c>
      <c r="L336" t="str">
        <f t="shared" si="65"/>
        <v>First level</v>
      </c>
      <c r="M336" t="s">
        <v>80</v>
      </c>
      <c r="N336" t="s">
        <v>81</v>
      </c>
      <c r="O336" t="s">
        <v>39</v>
      </c>
      <c r="P336">
        <v>1</v>
      </c>
      <c r="Q336">
        <f t="shared" si="66"/>
        <v>1</v>
      </c>
      <c r="R336" t="s">
        <v>325</v>
      </c>
      <c r="S336" s="8" t="s">
        <v>2097</v>
      </c>
      <c r="T336" s="9">
        <v>20</v>
      </c>
      <c r="U336" s="9">
        <f t="shared" si="67"/>
        <v>20</v>
      </c>
      <c r="V336" s="10">
        <v>20</v>
      </c>
      <c r="X336" s="11">
        <f t="shared" si="68"/>
        <v>2.5662207357859508</v>
      </c>
      <c r="Y336" t="s">
        <v>2102</v>
      </c>
      <c r="Z336" t="str">
        <f t="shared" si="69"/>
        <v>No</v>
      </c>
      <c r="AA336" t="str">
        <f t="shared" si="70"/>
        <v>No</v>
      </c>
      <c r="AB336" t="str">
        <f t="shared" si="71"/>
        <v>No</v>
      </c>
      <c r="AC336" s="12">
        <v>99</v>
      </c>
      <c r="AD336" s="12">
        <f t="shared" si="72"/>
        <v>99</v>
      </c>
    </row>
    <row r="337" spans="1:30" x14ac:dyDescent="0.3">
      <c r="A337" t="s">
        <v>765</v>
      </c>
      <c r="B337" t="s">
        <v>766</v>
      </c>
      <c r="C337" t="s">
        <v>2366</v>
      </c>
      <c r="D337" t="s">
        <v>2148</v>
      </c>
      <c r="E337" t="str">
        <f t="shared" si="61"/>
        <v>John Greene</v>
      </c>
      <c r="F337" t="str">
        <f t="shared" si="62"/>
        <v>John Greene</v>
      </c>
      <c r="H337" t="s">
        <v>30</v>
      </c>
      <c r="I337" t="str">
        <f t="shared" si="63"/>
        <v>Male</v>
      </c>
      <c r="J337">
        <v>54</v>
      </c>
      <c r="K337">
        <f t="shared" si="64"/>
        <v>54</v>
      </c>
      <c r="L337" t="str">
        <f t="shared" si="65"/>
        <v>Fourth level</v>
      </c>
      <c r="M337" t="s">
        <v>75</v>
      </c>
      <c r="N337" t="s">
        <v>24</v>
      </c>
      <c r="O337" t="s">
        <v>82</v>
      </c>
      <c r="P337">
        <v>20</v>
      </c>
      <c r="Q337">
        <f t="shared" si="66"/>
        <v>20</v>
      </c>
      <c r="R337" t="s">
        <v>34</v>
      </c>
      <c r="S337" s="8" t="s">
        <v>34</v>
      </c>
      <c r="T337" s="9">
        <v>50</v>
      </c>
      <c r="U337" s="9">
        <f t="shared" si="67"/>
        <v>50</v>
      </c>
      <c r="V337" s="10">
        <v>50</v>
      </c>
      <c r="W337">
        <v>4.4000000000000004</v>
      </c>
      <c r="X337" s="11">
        <f t="shared" si="68"/>
        <v>4.4000000000000004</v>
      </c>
      <c r="Y337" t="s">
        <v>2102</v>
      </c>
      <c r="Z337" t="str">
        <f t="shared" si="69"/>
        <v>No</v>
      </c>
      <c r="AA337" t="str">
        <f t="shared" si="70"/>
        <v>No</v>
      </c>
      <c r="AB337" t="str">
        <f t="shared" si="71"/>
        <v>No</v>
      </c>
      <c r="AC337" s="12">
        <v>73</v>
      </c>
      <c r="AD337" s="12">
        <f t="shared" si="72"/>
        <v>73</v>
      </c>
    </row>
    <row r="338" spans="1:30" x14ac:dyDescent="0.3">
      <c r="A338" t="s">
        <v>767</v>
      </c>
      <c r="B338" t="s">
        <v>768</v>
      </c>
      <c r="C338" t="s">
        <v>2536</v>
      </c>
      <c r="D338" t="s">
        <v>2537</v>
      </c>
      <c r="E338" t="str">
        <f t="shared" si="61"/>
        <v>Brittany Mcdowell</v>
      </c>
      <c r="F338" t="str">
        <f t="shared" si="62"/>
        <v>Brittany Mcdowell</v>
      </c>
      <c r="H338" t="s">
        <v>86</v>
      </c>
      <c r="I338" t="str">
        <f t="shared" si="63"/>
        <v>Female</v>
      </c>
      <c r="J338">
        <v>33</v>
      </c>
      <c r="K338">
        <f t="shared" si="64"/>
        <v>33</v>
      </c>
      <c r="L338" t="str">
        <f t="shared" si="65"/>
        <v>Second level</v>
      </c>
      <c r="M338" t="s">
        <v>64</v>
      </c>
      <c r="N338" t="s">
        <v>24</v>
      </c>
      <c r="O338" t="s">
        <v>33</v>
      </c>
      <c r="P338">
        <v>11</v>
      </c>
      <c r="Q338">
        <f t="shared" si="66"/>
        <v>11</v>
      </c>
      <c r="R338" t="s">
        <v>92</v>
      </c>
      <c r="S338" s="8" t="s">
        <v>92</v>
      </c>
      <c r="T338" s="9">
        <v>75</v>
      </c>
      <c r="U338" s="9">
        <f t="shared" si="67"/>
        <v>75</v>
      </c>
      <c r="V338" s="10">
        <v>75</v>
      </c>
      <c r="W338">
        <v>2.1</v>
      </c>
      <c r="X338" s="11">
        <f t="shared" si="68"/>
        <v>2.1</v>
      </c>
      <c r="Y338" t="s">
        <v>2102</v>
      </c>
      <c r="Z338" t="str">
        <f t="shared" si="69"/>
        <v>No</v>
      </c>
      <c r="AA338" t="str">
        <f t="shared" si="70"/>
        <v>No</v>
      </c>
      <c r="AB338" t="str">
        <f t="shared" si="71"/>
        <v>No</v>
      </c>
      <c r="AC338" s="12">
        <v>96</v>
      </c>
      <c r="AD338" s="12">
        <f t="shared" si="72"/>
        <v>96</v>
      </c>
    </row>
    <row r="339" spans="1:30" x14ac:dyDescent="0.3">
      <c r="A339" t="s">
        <v>769</v>
      </c>
      <c r="B339" t="s">
        <v>770</v>
      </c>
      <c r="C339" t="s">
        <v>2160</v>
      </c>
      <c r="D339" t="s">
        <v>2232</v>
      </c>
      <c r="E339" t="str">
        <f t="shared" si="61"/>
        <v>Lori Miller</v>
      </c>
      <c r="F339" t="str">
        <f t="shared" si="62"/>
        <v>Lori Miller</v>
      </c>
      <c r="H339" t="s">
        <v>86</v>
      </c>
      <c r="I339" t="str">
        <f t="shared" si="63"/>
        <v>Female</v>
      </c>
      <c r="J339">
        <v>57</v>
      </c>
      <c r="K339">
        <f t="shared" si="64"/>
        <v>57</v>
      </c>
      <c r="L339" t="str">
        <f t="shared" si="65"/>
        <v>Fourth level</v>
      </c>
      <c r="M339" t="s">
        <v>70</v>
      </c>
      <c r="N339" t="s">
        <v>71</v>
      </c>
      <c r="O339" t="s">
        <v>57</v>
      </c>
      <c r="P339">
        <v>2</v>
      </c>
      <c r="Q339">
        <f t="shared" si="66"/>
        <v>2</v>
      </c>
      <c r="R339" t="s">
        <v>76</v>
      </c>
      <c r="S339" s="8" t="s">
        <v>76</v>
      </c>
      <c r="T339" s="9">
        <v>40</v>
      </c>
      <c r="U339" s="9">
        <f t="shared" si="67"/>
        <v>40</v>
      </c>
      <c r="V339" s="10">
        <v>40</v>
      </c>
      <c r="W339">
        <v>0</v>
      </c>
      <c r="X339" s="11">
        <f t="shared" si="68"/>
        <v>0</v>
      </c>
      <c r="Y339" t="s">
        <v>2102</v>
      </c>
      <c r="Z339" t="str">
        <f t="shared" si="69"/>
        <v>No</v>
      </c>
      <c r="AA339" t="str">
        <f t="shared" si="70"/>
        <v>No</v>
      </c>
      <c r="AB339" t="str">
        <f t="shared" si="71"/>
        <v>No</v>
      </c>
      <c r="AC339" s="12">
        <v>60</v>
      </c>
      <c r="AD339" s="12">
        <f t="shared" si="72"/>
        <v>60</v>
      </c>
    </row>
    <row r="340" spans="1:30" x14ac:dyDescent="0.3">
      <c r="A340" t="s">
        <v>771</v>
      </c>
      <c r="B340" t="s">
        <v>772</v>
      </c>
      <c r="C340" t="s">
        <v>2380</v>
      </c>
      <c r="D340" t="s">
        <v>2538</v>
      </c>
      <c r="E340" t="str">
        <f t="shared" si="61"/>
        <v>Joseph Robinson</v>
      </c>
      <c r="F340" t="str">
        <f t="shared" si="62"/>
        <v>Joseph Robinson</v>
      </c>
      <c r="H340" t="s">
        <v>107</v>
      </c>
      <c r="I340" t="str">
        <f t="shared" si="63"/>
        <v>Male</v>
      </c>
      <c r="J340">
        <v>36</v>
      </c>
      <c r="K340">
        <f t="shared" si="64"/>
        <v>36</v>
      </c>
      <c r="L340" t="str">
        <f t="shared" si="65"/>
        <v>Second level</v>
      </c>
      <c r="M340" t="s">
        <v>122</v>
      </c>
      <c r="N340" t="s">
        <v>123</v>
      </c>
      <c r="O340" t="s">
        <v>33</v>
      </c>
      <c r="P340">
        <v>6</v>
      </c>
      <c r="Q340">
        <f t="shared" si="66"/>
        <v>6</v>
      </c>
      <c r="R340" t="s">
        <v>151</v>
      </c>
      <c r="S340" s="8" t="s">
        <v>151</v>
      </c>
      <c r="T340" s="9">
        <v>20</v>
      </c>
      <c r="U340" s="9">
        <f t="shared" si="67"/>
        <v>20</v>
      </c>
      <c r="V340" s="10">
        <v>20</v>
      </c>
      <c r="W340">
        <v>1</v>
      </c>
      <c r="X340" s="11">
        <f t="shared" si="68"/>
        <v>1</v>
      </c>
      <c r="Y340" t="s">
        <v>2103</v>
      </c>
      <c r="Z340" t="str">
        <f t="shared" si="69"/>
        <v>Yes</v>
      </c>
      <c r="AA340" t="str">
        <f t="shared" si="70"/>
        <v>Yes</v>
      </c>
      <c r="AB340" t="str">
        <f t="shared" si="71"/>
        <v>Yes</v>
      </c>
      <c r="AC340" s="12">
        <v>64</v>
      </c>
      <c r="AD340" s="12">
        <f t="shared" si="72"/>
        <v>64</v>
      </c>
    </row>
    <row r="341" spans="1:30" x14ac:dyDescent="0.3">
      <c r="A341" t="s">
        <v>773</v>
      </c>
      <c r="B341" t="s">
        <v>774</v>
      </c>
      <c r="C341" t="s">
        <v>2539</v>
      </c>
      <c r="D341" t="s">
        <v>2540</v>
      </c>
      <c r="E341" t="str">
        <f t="shared" si="61"/>
        <v>Aaron Pruitt</v>
      </c>
      <c r="F341" t="str">
        <f t="shared" si="62"/>
        <v>Aaron Pruitt</v>
      </c>
      <c r="H341" t="s">
        <v>107</v>
      </c>
      <c r="I341" t="str">
        <f t="shared" si="63"/>
        <v>Male</v>
      </c>
      <c r="J341">
        <v>50</v>
      </c>
      <c r="K341">
        <f t="shared" si="64"/>
        <v>50</v>
      </c>
      <c r="L341" t="str">
        <f t="shared" si="65"/>
        <v>Third level</v>
      </c>
      <c r="M341" t="s">
        <v>31</v>
      </c>
      <c r="N341" t="s">
        <v>32</v>
      </c>
      <c r="O341" t="s">
        <v>17</v>
      </c>
      <c r="P341">
        <v>20</v>
      </c>
      <c r="Q341">
        <f t="shared" si="66"/>
        <v>20</v>
      </c>
      <c r="R341" t="s">
        <v>119</v>
      </c>
      <c r="S341" s="8" t="s">
        <v>2096</v>
      </c>
      <c r="T341" s="9">
        <v>30</v>
      </c>
      <c r="U341" s="9">
        <f t="shared" si="67"/>
        <v>30</v>
      </c>
      <c r="V341" s="10">
        <v>30</v>
      </c>
      <c r="W341">
        <v>0</v>
      </c>
      <c r="X341" s="11">
        <f t="shared" si="68"/>
        <v>0</v>
      </c>
      <c r="Y341" t="s">
        <v>2102</v>
      </c>
      <c r="Z341" t="str">
        <f t="shared" si="69"/>
        <v>No</v>
      </c>
      <c r="AA341" t="str">
        <f t="shared" si="70"/>
        <v>No</v>
      </c>
      <c r="AB341" t="str">
        <f t="shared" si="71"/>
        <v>No</v>
      </c>
      <c r="AC341" s="12"/>
      <c r="AD341" s="12">
        <f t="shared" si="72"/>
        <v>79.422586520947178</v>
      </c>
    </row>
    <row r="342" spans="1:30" x14ac:dyDescent="0.3">
      <c r="A342" t="s">
        <v>775</v>
      </c>
      <c r="B342" t="s">
        <v>776</v>
      </c>
      <c r="C342" t="s">
        <v>2541</v>
      </c>
      <c r="D342" t="s">
        <v>2232</v>
      </c>
      <c r="E342" t="str">
        <f t="shared" si="61"/>
        <v>Victoria Miller</v>
      </c>
      <c r="F342" t="str">
        <f t="shared" si="62"/>
        <v>Victoria Miller</v>
      </c>
      <c r="H342" t="s">
        <v>86</v>
      </c>
      <c r="I342" t="str">
        <f t="shared" si="63"/>
        <v>Female</v>
      </c>
      <c r="J342">
        <v>37</v>
      </c>
      <c r="K342">
        <f t="shared" si="64"/>
        <v>37</v>
      </c>
      <c r="L342" t="str">
        <f t="shared" si="65"/>
        <v>Second level</v>
      </c>
      <c r="M342" t="s">
        <v>138</v>
      </c>
      <c r="N342" t="s">
        <v>24</v>
      </c>
      <c r="O342" t="s">
        <v>99</v>
      </c>
      <c r="Q342">
        <f t="shared" si="66"/>
        <v>9</v>
      </c>
      <c r="R342" t="s">
        <v>325</v>
      </c>
      <c r="S342" s="8" t="s">
        <v>2097</v>
      </c>
      <c r="T342" s="9">
        <v>20</v>
      </c>
      <c r="U342" s="9">
        <f t="shared" si="67"/>
        <v>20</v>
      </c>
      <c r="V342" s="10">
        <v>20</v>
      </c>
      <c r="W342">
        <v>4.9000000000000004</v>
      </c>
      <c r="X342" s="11">
        <f t="shared" si="68"/>
        <v>4.9000000000000004</v>
      </c>
      <c r="Y342" t="s">
        <v>2102</v>
      </c>
      <c r="Z342" t="str">
        <f t="shared" si="69"/>
        <v>No</v>
      </c>
      <c r="AA342" t="str">
        <f t="shared" si="70"/>
        <v>No</v>
      </c>
      <c r="AB342" t="str">
        <f t="shared" si="71"/>
        <v>No</v>
      </c>
      <c r="AC342" s="12"/>
      <c r="AD342" s="12">
        <f t="shared" si="72"/>
        <v>79.422586520947178</v>
      </c>
    </row>
    <row r="343" spans="1:30" x14ac:dyDescent="0.3">
      <c r="A343" t="s">
        <v>777</v>
      </c>
      <c r="B343" t="s">
        <v>778</v>
      </c>
      <c r="C343" t="s">
        <v>2542</v>
      </c>
      <c r="D343" t="s">
        <v>2543</v>
      </c>
      <c r="E343" t="str">
        <f t="shared" si="61"/>
        <v>Clarence Vega</v>
      </c>
      <c r="F343" t="str">
        <f t="shared" si="62"/>
        <v>Clarence Vega</v>
      </c>
      <c r="H343" t="s">
        <v>107</v>
      </c>
      <c r="I343" t="str">
        <f t="shared" si="63"/>
        <v>Male</v>
      </c>
      <c r="J343">
        <v>53</v>
      </c>
      <c r="K343">
        <f t="shared" si="64"/>
        <v>53</v>
      </c>
      <c r="L343" t="str">
        <f t="shared" si="65"/>
        <v>Fourth level</v>
      </c>
      <c r="M343" t="s">
        <v>15</v>
      </c>
      <c r="N343" t="s">
        <v>16</v>
      </c>
      <c r="O343" t="s">
        <v>49</v>
      </c>
      <c r="P343">
        <v>4</v>
      </c>
      <c r="Q343">
        <f t="shared" si="66"/>
        <v>4</v>
      </c>
      <c r="R343" t="s">
        <v>44</v>
      </c>
      <c r="S343" s="8" t="s">
        <v>44</v>
      </c>
      <c r="T343" s="9">
        <v>30</v>
      </c>
      <c r="U343" s="9">
        <f t="shared" si="67"/>
        <v>30</v>
      </c>
      <c r="V343" s="10">
        <v>30</v>
      </c>
      <c r="W343">
        <v>4.7</v>
      </c>
      <c r="X343" s="11">
        <f t="shared" si="68"/>
        <v>4.7</v>
      </c>
      <c r="Y343" t="s">
        <v>170</v>
      </c>
      <c r="Z343" t="str">
        <f t="shared" si="69"/>
        <v>no</v>
      </c>
      <c r="AA343" t="str">
        <f t="shared" si="70"/>
        <v>no</v>
      </c>
      <c r="AB343" t="str">
        <f t="shared" si="71"/>
        <v>No</v>
      </c>
      <c r="AC343" s="12">
        <v>99</v>
      </c>
      <c r="AD343" s="12">
        <f t="shared" si="72"/>
        <v>99</v>
      </c>
    </row>
    <row r="344" spans="1:30" x14ac:dyDescent="0.3">
      <c r="A344" t="s">
        <v>779</v>
      </c>
      <c r="B344" t="s">
        <v>780</v>
      </c>
      <c r="C344" t="s">
        <v>2544</v>
      </c>
      <c r="D344" t="s">
        <v>2157</v>
      </c>
      <c r="E344" t="str">
        <f t="shared" si="61"/>
        <v>Deborah Day</v>
      </c>
      <c r="F344" t="str">
        <f t="shared" si="62"/>
        <v>Deborah Day</v>
      </c>
      <c r="H344" t="s">
        <v>86</v>
      </c>
      <c r="I344" t="str">
        <f t="shared" si="63"/>
        <v>Female</v>
      </c>
      <c r="J344">
        <v>22</v>
      </c>
      <c r="K344">
        <f t="shared" si="64"/>
        <v>22</v>
      </c>
      <c r="L344" t="str">
        <f t="shared" si="65"/>
        <v>First level</v>
      </c>
      <c r="M344" t="s">
        <v>15</v>
      </c>
      <c r="N344" t="s">
        <v>16</v>
      </c>
      <c r="O344" t="s">
        <v>17</v>
      </c>
      <c r="P344">
        <v>3</v>
      </c>
      <c r="Q344">
        <f t="shared" si="66"/>
        <v>3</v>
      </c>
      <c r="R344" t="s">
        <v>61</v>
      </c>
      <c r="S344" s="8" t="s">
        <v>2094</v>
      </c>
      <c r="T344" s="9">
        <v>40</v>
      </c>
      <c r="U344" s="9">
        <f t="shared" si="67"/>
        <v>40</v>
      </c>
      <c r="V344" s="10">
        <v>40</v>
      </c>
      <c r="W344">
        <v>2.1</v>
      </c>
      <c r="X344" s="11">
        <f t="shared" si="68"/>
        <v>2.1</v>
      </c>
      <c r="Y344" t="s">
        <v>2102</v>
      </c>
      <c r="Z344" t="str">
        <f t="shared" si="69"/>
        <v>No</v>
      </c>
      <c r="AA344" t="str">
        <f t="shared" si="70"/>
        <v>No</v>
      </c>
      <c r="AB344" t="str">
        <f t="shared" si="71"/>
        <v>No</v>
      </c>
      <c r="AC344" s="12"/>
      <c r="AD344" s="12">
        <f t="shared" si="72"/>
        <v>79.386861313868607</v>
      </c>
    </row>
    <row r="345" spans="1:30" x14ac:dyDescent="0.3">
      <c r="A345" t="s">
        <v>781</v>
      </c>
      <c r="B345" t="s">
        <v>782</v>
      </c>
      <c r="C345" t="s">
        <v>2106</v>
      </c>
      <c r="D345" t="s">
        <v>2545</v>
      </c>
      <c r="E345" t="str">
        <f t="shared" si="61"/>
        <v>Nicole Rocha</v>
      </c>
      <c r="F345" t="str">
        <f t="shared" si="62"/>
        <v>Nicole Rocha</v>
      </c>
      <c r="H345" t="s">
        <v>86</v>
      </c>
      <c r="I345" t="str">
        <f t="shared" si="63"/>
        <v>Female</v>
      </c>
      <c r="J345">
        <v>55</v>
      </c>
      <c r="K345">
        <f t="shared" si="64"/>
        <v>55</v>
      </c>
      <c r="L345" t="str">
        <f t="shared" si="65"/>
        <v>Fourth level</v>
      </c>
      <c r="M345" t="s">
        <v>47</v>
      </c>
      <c r="N345" t="s">
        <v>48</v>
      </c>
      <c r="O345" t="s">
        <v>25</v>
      </c>
      <c r="P345">
        <v>33</v>
      </c>
      <c r="Q345">
        <f t="shared" si="66"/>
        <v>33</v>
      </c>
      <c r="R345" t="s">
        <v>76</v>
      </c>
      <c r="S345" s="8" t="s">
        <v>76</v>
      </c>
      <c r="T345" s="9">
        <v>40</v>
      </c>
      <c r="U345" s="9">
        <f t="shared" si="67"/>
        <v>40</v>
      </c>
      <c r="V345" s="10">
        <v>40</v>
      </c>
      <c r="W345">
        <v>1.5</v>
      </c>
      <c r="X345" s="11">
        <f t="shared" si="68"/>
        <v>1.5</v>
      </c>
      <c r="Y345" t="s">
        <v>2103</v>
      </c>
      <c r="Z345" t="str">
        <f t="shared" si="69"/>
        <v>Yes</v>
      </c>
      <c r="AA345" t="str">
        <f t="shared" si="70"/>
        <v>Yes</v>
      </c>
      <c r="AB345" t="str">
        <f t="shared" si="71"/>
        <v>Yes</v>
      </c>
      <c r="AC345" s="12">
        <v>71</v>
      </c>
      <c r="AD345" s="12">
        <f t="shared" si="72"/>
        <v>71</v>
      </c>
    </row>
    <row r="346" spans="1:30" x14ac:dyDescent="0.3">
      <c r="A346" t="s">
        <v>783</v>
      </c>
      <c r="B346" t="s">
        <v>784</v>
      </c>
      <c r="C346" t="s">
        <v>2546</v>
      </c>
      <c r="D346" t="s">
        <v>2257</v>
      </c>
      <c r="E346" t="str">
        <f t="shared" si="61"/>
        <v>Elijah Green</v>
      </c>
      <c r="F346" t="str">
        <f t="shared" si="62"/>
        <v>Elijah Green</v>
      </c>
      <c r="H346" t="s">
        <v>69</v>
      </c>
      <c r="I346" t="str">
        <f t="shared" si="63"/>
        <v>Male</v>
      </c>
      <c r="J346">
        <v>22</v>
      </c>
      <c r="K346">
        <f t="shared" si="64"/>
        <v>22</v>
      </c>
      <c r="L346" t="str">
        <f t="shared" si="65"/>
        <v>First level</v>
      </c>
      <c r="M346" t="s">
        <v>23</v>
      </c>
      <c r="N346" t="s">
        <v>24</v>
      </c>
      <c r="O346" t="s">
        <v>87</v>
      </c>
      <c r="P346">
        <v>1</v>
      </c>
      <c r="Q346">
        <f t="shared" si="66"/>
        <v>1</v>
      </c>
      <c r="R346" t="s">
        <v>65</v>
      </c>
      <c r="S346" s="8" t="s">
        <v>65</v>
      </c>
      <c r="T346" s="9"/>
      <c r="U346" s="9">
        <f t="shared" si="67"/>
        <v>52.701342281879192</v>
      </c>
      <c r="V346" s="10">
        <v>52.701342281879192</v>
      </c>
      <c r="W346">
        <v>2.6</v>
      </c>
      <c r="X346" s="11">
        <f t="shared" si="68"/>
        <v>2.6</v>
      </c>
      <c r="Y346" t="s">
        <v>2102</v>
      </c>
      <c r="Z346" t="str">
        <f t="shared" si="69"/>
        <v>No</v>
      </c>
      <c r="AA346" t="str">
        <f t="shared" si="70"/>
        <v>No</v>
      </c>
      <c r="AB346" t="str">
        <f t="shared" si="71"/>
        <v>No</v>
      </c>
      <c r="AC346" s="12">
        <v>72</v>
      </c>
      <c r="AD346" s="12">
        <f t="shared" si="72"/>
        <v>72</v>
      </c>
    </row>
    <row r="347" spans="1:30" x14ac:dyDescent="0.3">
      <c r="A347" t="s">
        <v>785</v>
      </c>
      <c r="B347" t="s">
        <v>786</v>
      </c>
      <c r="C347" t="s">
        <v>2170</v>
      </c>
      <c r="D347" t="s">
        <v>2117</v>
      </c>
      <c r="E347" t="str">
        <f t="shared" si="61"/>
        <v>Emily Johnson</v>
      </c>
      <c r="F347" t="str">
        <f t="shared" si="62"/>
        <v>Emily Johnson</v>
      </c>
      <c r="H347" t="s">
        <v>86</v>
      </c>
      <c r="I347" t="str">
        <f t="shared" si="63"/>
        <v>Female</v>
      </c>
      <c r="J347">
        <v>45</v>
      </c>
      <c r="K347">
        <f t="shared" si="64"/>
        <v>45</v>
      </c>
      <c r="L347" t="str">
        <f t="shared" si="65"/>
        <v>Third level</v>
      </c>
      <c r="M347" t="s">
        <v>70</v>
      </c>
      <c r="N347" t="s">
        <v>71</v>
      </c>
      <c r="O347" t="s">
        <v>39</v>
      </c>
      <c r="P347">
        <v>23</v>
      </c>
      <c r="Q347">
        <f t="shared" si="66"/>
        <v>23</v>
      </c>
      <c r="R347" t="s">
        <v>108</v>
      </c>
      <c r="S347" s="8" t="s">
        <v>2095</v>
      </c>
      <c r="T347" s="9">
        <v>50</v>
      </c>
      <c r="U347" s="9">
        <f t="shared" si="67"/>
        <v>50</v>
      </c>
      <c r="V347" s="10">
        <v>50</v>
      </c>
      <c r="W347">
        <v>0</v>
      </c>
      <c r="X347" s="11">
        <f t="shared" si="68"/>
        <v>0</v>
      </c>
      <c r="Y347" t="s">
        <v>2102</v>
      </c>
      <c r="Z347" t="str">
        <f t="shared" si="69"/>
        <v>No</v>
      </c>
      <c r="AA347" t="str">
        <f t="shared" si="70"/>
        <v>No</v>
      </c>
      <c r="AB347" t="str">
        <f t="shared" si="71"/>
        <v>No</v>
      </c>
      <c r="AC347" s="12">
        <v>66</v>
      </c>
      <c r="AD347" s="12">
        <f t="shared" si="72"/>
        <v>66</v>
      </c>
    </row>
    <row r="348" spans="1:30" x14ac:dyDescent="0.3">
      <c r="A348" t="s">
        <v>787</v>
      </c>
      <c r="B348" t="s">
        <v>788</v>
      </c>
      <c r="C348" t="s">
        <v>2428</v>
      </c>
      <c r="D348" t="s">
        <v>2547</v>
      </c>
      <c r="E348" t="str">
        <f t="shared" si="61"/>
        <v>Richard Velasquez</v>
      </c>
      <c r="F348" t="str">
        <f t="shared" si="62"/>
        <v>Richard Velasquez</v>
      </c>
      <c r="H348" t="s">
        <v>107</v>
      </c>
      <c r="I348" t="str">
        <f t="shared" si="63"/>
        <v>Male</v>
      </c>
      <c r="J348">
        <v>36</v>
      </c>
      <c r="K348">
        <f t="shared" si="64"/>
        <v>36</v>
      </c>
      <c r="L348" t="str">
        <f t="shared" si="65"/>
        <v>Second level</v>
      </c>
      <c r="M348" t="s">
        <v>145</v>
      </c>
      <c r="N348" t="s">
        <v>146</v>
      </c>
      <c r="O348" t="s">
        <v>57</v>
      </c>
      <c r="P348">
        <v>13</v>
      </c>
      <c r="Q348">
        <f t="shared" si="66"/>
        <v>13</v>
      </c>
      <c r="R348" t="s">
        <v>76</v>
      </c>
      <c r="S348" s="8" t="s">
        <v>76</v>
      </c>
      <c r="T348" s="9">
        <v>40</v>
      </c>
      <c r="U348" s="9">
        <f t="shared" si="67"/>
        <v>40</v>
      </c>
      <c r="V348" s="10">
        <v>40</v>
      </c>
      <c r="X348" s="11">
        <f t="shared" si="68"/>
        <v>2.574616695059623</v>
      </c>
      <c r="Y348" t="s">
        <v>2102</v>
      </c>
      <c r="Z348" t="str">
        <f t="shared" si="69"/>
        <v>No</v>
      </c>
      <c r="AA348" t="str">
        <f t="shared" si="70"/>
        <v>No</v>
      </c>
      <c r="AB348" t="str">
        <f t="shared" si="71"/>
        <v>No</v>
      </c>
      <c r="AC348" s="12">
        <v>78</v>
      </c>
      <c r="AD348" s="12">
        <f t="shared" si="72"/>
        <v>78</v>
      </c>
    </row>
    <row r="349" spans="1:30" x14ac:dyDescent="0.3">
      <c r="A349" t="s">
        <v>789</v>
      </c>
      <c r="B349" t="s">
        <v>790</v>
      </c>
      <c r="C349" t="s">
        <v>2548</v>
      </c>
      <c r="D349" t="s">
        <v>2220</v>
      </c>
      <c r="E349" t="str">
        <f t="shared" si="61"/>
        <v>Kurt Wilson</v>
      </c>
      <c r="F349" t="str">
        <f t="shared" si="62"/>
        <v>Kurt Wilson</v>
      </c>
      <c r="H349" t="s">
        <v>107</v>
      </c>
      <c r="I349" t="str">
        <f t="shared" si="63"/>
        <v>Male</v>
      </c>
      <c r="J349">
        <v>23</v>
      </c>
      <c r="K349">
        <f t="shared" si="64"/>
        <v>23</v>
      </c>
      <c r="L349" t="str">
        <f t="shared" si="65"/>
        <v>First level</v>
      </c>
      <c r="M349" t="s">
        <v>23</v>
      </c>
      <c r="N349" t="s">
        <v>24</v>
      </c>
      <c r="O349" t="s">
        <v>99</v>
      </c>
      <c r="P349">
        <v>1</v>
      </c>
      <c r="Q349">
        <f t="shared" si="66"/>
        <v>1</v>
      </c>
      <c r="R349" t="s">
        <v>325</v>
      </c>
      <c r="S349" s="8" t="s">
        <v>2097</v>
      </c>
      <c r="T349" s="9">
        <v>20</v>
      </c>
      <c r="U349" s="9">
        <f t="shared" si="67"/>
        <v>20</v>
      </c>
      <c r="V349" s="10">
        <v>20</v>
      </c>
      <c r="W349">
        <v>4</v>
      </c>
      <c r="X349" s="11">
        <f t="shared" si="68"/>
        <v>4</v>
      </c>
      <c r="Y349" t="s">
        <v>2103</v>
      </c>
      <c r="Z349" t="str">
        <f t="shared" si="69"/>
        <v>Yes</v>
      </c>
      <c r="AA349" t="str">
        <f t="shared" si="70"/>
        <v>Yes</v>
      </c>
      <c r="AB349" t="str">
        <f t="shared" si="71"/>
        <v>Yes</v>
      </c>
      <c r="AC349" s="12">
        <v>100</v>
      </c>
      <c r="AD349" s="12">
        <f t="shared" si="72"/>
        <v>100</v>
      </c>
    </row>
    <row r="350" spans="1:30" x14ac:dyDescent="0.3">
      <c r="A350" t="s">
        <v>791</v>
      </c>
      <c r="B350" t="s">
        <v>792</v>
      </c>
      <c r="C350" t="s">
        <v>2549</v>
      </c>
      <c r="D350" t="s">
        <v>2245</v>
      </c>
      <c r="E350" t="str">
        <f t="shared" si="61"/>
        <v>Jeremiah Rodriguez</v>
      </c>
      <c r="F350" t="str">
        <f t="shared" si="62"/>
        <v>Jeremiah Rodriguez</v>
      </c>
      <c r="H350" t="s">
        <v>107</v>
      </c>
      <c r="I350" t="str">
        <f t="shared" si="63"/>
        <v>Male</v>
      </c>
      <c r="J350">
        <v>55</v>
      </c>
      <c r="K350">
        <f t="shared" si="64"/>
        <v>55</v>
      </c>
      <c r="L350" t="str">
        <f t="shared" si="65"/>
        <v>Fourth level</v>
      </c>
      <c r="M350" t="s">
        <v>15</v>
      </c>
      <c r="N350" t="s">
        <v>16</v>
      </c>
      <c r="O350" t="s">
        <v>99</v>
      </c>
      <c r="P350">
        <v>15</v>
      </c>
      <c r="Q350">
        <f t="shared" si="66"/>
        <v>15</v>
      </c>
      <c r="R350" t="s">
        <v>76</v>
      </c>
      <c r="S350" s="8" t="s">
        <v>76</v>
      </c>
      <c r="T350" s="9">
        <v>40</v>
      </c>
      <c r="U350" s="9">
        <f t="shared" si="67"/>
        <v>40</v>
      </c>
      <c r="V350" s="10">
        <v>40</v>
      </c>
      <c r="W350">
        <v>4.5</v>
      </c>
      <c r="X350" s="11">
        <f t="shared" si="68"/>
        <v>4.5</v>
      </c>
      <c r="Y350" t="s">
        <v>65</v>
      </c>
      <c r="AA350" t="str">
        <f t="shared" si="70"/>
        <v>Unknown</v>
      </c>
      <c r="AB350" t="str">
        <f t="shared" si="71"/>
        <v>Unknown</v>
      </c>
      <c r="AC350" s="12"/>
      <c r="AD350" s="12">
        <f t="shared" si="72"/>
        <v>79.405156537753228</v>
      </c>
    </row>
    <row r="351" spans="1:30" x14ac:dyDescent="0.3">
      <c r="A351" t="s">
        <v>793</v>
      </c>
      <c r="B351" t="s">
        <v>794</v>
      </c>
      <c r="C351" t="s">
        <v>2493</v>
      </c>
      <c r="D351" t="s">
        <v>2550</v>
      </c>
      <c r="E351" t="str">
        <f t="shared" si="61"/>
        <v>Lauren Lang</v>
      </c>
      <c r="F351" t="str">
        <f t="shared" si="62"/>
        <v>Lauren Lang</v>
      </c>
      <c r="H351" t="s">
        <v>86</v>
      </c>
      <c r="I351" t="str">
        <f t="shared" si="63"/>
        <v>Female</v>
      </c>
      <c r="J351">
        <v>50</v>
      </c>
      <c r="K351">
        <f t="shared" si="64"/>
        <v>50</v>
      </c>
      <c r="L351" t="str">
        <f t="shared" si="65"/>
        <v>Third level</v>
      </c>
      <c r="M351" t="s">
        <v>117</v>
      </c>
      <c r="N351" t="s">
        <v>118</v>
      </c>
      <c r="O351" t="s">
        <v>25</v>
      </c>
      <c r="P351">
        <v>18</v>
      </c>
      <c r="Q351">
        <f t="shared" si="66"/>
        <v>18</v>
      </c>
      <c r="R351" t="s">
        <v>92</v>
      </c>
      <c r="S351" s="8" t="s">
        <v>92</v>
      </c>
      <c r="T351" s="9">
        <v>75</v>
      </c>
      <c r="U351" s="9">
        <f t="shared" si="67"/>
        <v>75</v>
      </c>
      <c r="V351" s="10">
        <v>75</v>
      </c>
      <c r="W351">
        <v>3.8</v>
      </c>
      <c r="X351" s="11">
        <f t="shared" si="68"/>
        <v>3.8</v>
      </c>
      <c r="Y351" t="s">
        <v>2102</v>
      </c>
      <c r="Z351" t="str">
        <f t="shared" si="69"/>
        <v>No</v>
      </c>
      <c r="AA351" t="str">
        <f t="shared" si="70"/>
        <v>No</v>
      </c>
      <c r="AB351" t="str">
        <f t="shared" si="71"/>
        <v>No</v>
      </c>
      <c r="AC351" s="12">
        <v>67</v>
      </c>
      <c r="AD351" s="12">
        <f t="shared" si="72"/>
        <v>67</v>
      </c>
    </row>
    <row r="352" spans="1:30" x14ac:dyDescent="0.3">
      <c r="A352" t="s">
        <v>795</v>
      </c>
      <c r="B352" t="s">
        <v>796</v>
      </c>
      <c r="C352" t="s">
        <v>2124</v>
      </c>
      <c r="D352" t="s">
        <v>2551</v>
      </c>
      <c r="E352" t="str">
        <f t="shared" si="61"/>
        <v>Matthew Phillips</v>
      </c>
      <c r="F352" t="str">
        <f t="shared" si="62"/>
        <v>Matthew Phillips</v>
      </c>
      <c r="H352" t="s">
        <v>30</v>
      </c>
      <c r="I352" t="str">
        <f t="shared" si="63"/>
        <v>Male</v>
      </c>
      <c r="J352">
        <v>48</v>
      </c>
      <c r="K352">
        <f t="shared" si="64"/>
        <v>48</v>
      </c>
      <c r="L352" t="str">
        <f t="shared" si="65"/>
        <v>Third level</v>
      </c>
      <c r="M352" t="s">
        <v>64</v>
      </c>
      <c r="N352" t="s">
        <v>24</v>
      </c>
      <c r="O352" t="s">
        <v>124</v>
      </c>
      <c r="P352">
        <v>21</v>
      </c>
      <c r="Q352">
        <f t="shared" si="66"/>
        <v>21</v>
      </c>
      <c r="R352" t="s">
        <v>34</v>
      </c>
      <c r="S352" s="8" t="s">
        <v>34</v>
      </c>
      <c r="T352" s="9">
        <v>50</v>
      </c>
      <c r="U352" s="9">
        <f t="shared" si="67"/>
        <v>50</v>
      </c>
      <c r="V352" s="10">
        <v>50</v>
      </c>
      <c r="W352">
        <v>4</v>
      </c>
      <c r="X352" s="11">
        <f t="shared" si="68"/>
        <v>4</v>
      </c>
      <c r="Y352" t="s">
        <v>2102</v>
      </c>
      <c r="Z352" t="str">
        <f t="shared" si="69"/>
        <v>No</v>
      </c>
      <c r="AA352" t="str">
        <f t="shared" si="70"/>
        <v>No</v>
      </c>
      <c r="AB352" t="str">
        <f t="shared" si="71"/>
        <v>No</v>
      </c>
      <c r="AC352" s="12">
        <v>78</v>
      </c>
      <c r="AD352" s="12">
        <f t="shared" si="72"/>
        <v>78</v>
      </c>
    </row>
    <row r="353" spans="1:30" x14ac:dyDescent="0.3">
      <c r="A353" t="s">
        <v>797</v>
      </c>
      <c r="B353" t="s">
        <v>798</v>
      </c>
      <c r="C353" t="s">
        <v>2166</v>
      </c>
      <c r="D353" t="s">
        <v>2552</v>
      </c>
      <c r="E353" t="str">
        <f t="shared" si="61"/>
        <v>Michael Andersen</v>
      </c>
      <c r="F353" t="str">
        <f t="shared" si="62"/>
        <v>Michael Andersen</v>
      </c>
      <c r="H353" t="s">
        <v>69</v>
      </c>
      <c r="I353" t="str">
        <f t="shared" si="63"/>
        <v>Male</v>
      </c>
      <c r="J353">
        <v>23</v>
      </c>
      <c r="K353">
        <f t="shared" si="64"/>
        <v>23</v>
      </c>
      <c r="L353" t="str">
        <f t="shared" si="65"/>
        <v>First level</v>
      </c>
      <c r="M353" t="s">
        <v>47</v>
      </c>
      <c r="N353" t="s">
        <v>48</v>
      </c>
      <c r="O353" t="s">
        <v>99</v>
      </c>
      <c r="P353">
        <v>1</v>
      </c>
      <c r="Q353">
        <f t="shared" si="66"/>
        <v>1</v>
      </c>
      <c r="R353" t="s">
        <v>40</v>
      </c>
      <c r="S353" s="8" t="s">
        <v>40</v>
      </c>
      <c r="T353" s="9">
        <v>40</v>
      </c>
      <c r="U353" s="9">
        <f t="shared" si="67"/>
        <v>40</v>
      </c>
      <c r="V353" s="10">
        <v>40</v>
      </c>
      <c r="W353">
        <v>4.9000000000000004</v>
      </c>
      <c r="X353" s="11">
        <f t="shared" si="68"/>
        <v>4.9000000000000004</v>
      </c>
      <c r="Y353" t="s">
        <v>77</v>
      </c>
      <c r="Z353" t="str">
        <f t="shared" si="69"/>
        <v>yes</v>
      </c>
      <c r="AA353" t="str">
        <f t="shared" si="70"/>
        <v>yes</v>
      </c>
      <c r="AB353" t="str">
        <f t="shared" si="71"/>
        <v>Yes</v>
      </c>
      <c r="AC353" s="12">
        <v>78</v>
      </c>
      <c r="AD353" s="12">
        <f t="shared" si="72"/>
        <v>78</v>
      </c>
    </row>
    <row r="354" spans="1:30" x14ac:dyDescent="0.3">
      <c r="A354" t="s">
        <v>799</v>
      </c>
      <c r="B354" t="s">
        <v>800</v>
      </c>
      <c r="C354" t="s">
        <v>2112</v>
      </c>
      <c r="D354" t="s">
        <v>2553</v>
      </c>
      <c r="E354" t="str">
        <f t="shared" si="61"/>
        <v>Amanda Mayo</v>
      </c>
      <c r="F354" t="str">
        <f t="shared" si="62"/>
        <v>Amanda Mayo</v>
      </c>
      <c r="H354" t="s">
        <v>86</v>
      </c>
      <c r="I354" t="str">
        <f t="shared" si="63"/>
        <v>Female</v>
      </c>
      <c r="J354">
        <v>49</v>
      </c>
      <c r="K354">
        <f t="shared" si="64"/>
        <v>49</v>
      </c>
      <c r="L354" t="str">
        <f t="shared" si="65"/>
        <v>Third level</v>
      </c>
      <c r="M354" t="s">
        <v>138</v>
      </c>
      <c r="N354" t="s">
        <v>24</v>
      </c>
      <c r="O354" t="s">
        <v>39</v>
      </c>
      <c r="P354">
        <v>25</v>
      </c>
      <c r="Q354">
        <f t="shared" si="66"/>
        <v>25</v>
      </c>
      <c r="R354" t="s">
        <v>50</v>
      </c>
      <c r="S354" s="8" t="s">
        <v>50</v>
      </c>
      <c r="T354" s="9">
        <v>30</v>
      </c>
      <c r="U354" s="9">
        <f t="shared" si="67"/>
        <v>30</v>
      </c>
      <c r="V354" s="10">
        <v>30</v>
      </c>
      <c r="W354">
        <v>3.4</v>
      </c>
      <c r="X354" s="11">
        <f t="shared" si="68"/>
        <v>3.4</v>
      </c>
      <c r="Y354" t="s">
        <v>2102</v>
      </c>
      <c r="Z354" t="str">
        <f t="shared" si="69"/>
        <v>No</v>
      </c>
      <c r="AA354" t="str">
        <f t="shared" si="70"/>
        <v>No</v>
      </c>
      <c r="AB354" t="str">
        <f t="shared" si="71"/>
        <v>No</v>
      </c>
      <c r="AC354" s="12">
        <v>75</v>
      </c>
      <c r="AD354" s="12">
        <f t="shared" si="72"/>
        <v>75</v>
      </c>
    </row>
    <row r="355" spans="1:30" x14ac:dyDescent="0.3">
      <c r="A355" t="s">
        <v>801</v>
      </c>
      <c r="B355" t="s">
        <v>802</v>
      </c>
      <c r="C355" t="s">
        <v>2168</v>
      </c>
      <c r="D355" t="s">
        <v>2554</v>
      </c>
      <c r="E355" t="str">
        <f t="shared" si="61"/>
        <v>Jessica Vance</v>
      </c>
      <c r="F355" t="str">
        <f t="shared" si="62"/>
        <v>Jessica Vance</v>
      </c>
      <c r="H355" t="s">
        <v>86</v>
      </c>
      <c r="I355" t="str">
        <f t="shared" si="63"/>
        <v>Female</v>
      </c>
      <c r="J355">
        <v>47</v>
      </c>
      <c r="K355">
        <f t="shared" si="64"/>
        <v>47</v>
      </c>
      <c r="L355" t="str">
        <f t="shared" si="65"/>
        <v>Third level</v>
      </c>
      <c r="M355" t="s">
        <v>15</v>
      </c>
      <c r="N355" t="s">
        <v>16</v>
      </c>
      <c r="O355" t="s">
        <v>87</v>
      </c>
      <c r="P355">
        <v>12</v>
      </c>
      <c r="Q355">
        <f t="shared" si="66"/>
        <v>12</v>
      </c>
      <c r="R355" t="s">
        <v>34</v>
      </c>
      <c r="S355" s="8" t="s">
        <v>34</v>
      </c>
      <c r="T355" s="9">
        <v>50</v>
      </c>
      <c r="U355" s="9">
        <f t="shared" si="67"/>
        <v>50</v>
      </c>
      <c r="V355" s="10">
        <v>50</v>
      </c>
      <c r="W355">
        <v>2.1</v>
      </c>
      <c r="X355" s="11">
        <f t="shared" si="68"/>
        <v>2.1</v>
      </c>
      <c r="Y355" t="s">
        <v>2103</v>
      </c>
      <c r="Z355" t="str">
        <f t="shared" si="69"/>
        <v>Yes</v>
      </c>
      <c r="AA355" t="str">
        <f t="shared" si="70"/>
        <v>Yes</v>
      </c>
      <c r="AB355" t="str">
        <f t="shared" si="71"/>
        <v>Yes</v>
      </c>
      <c r="AC355" s="12">
        <v>67</v>
      </c>
      <c r="AD355" s="12">
        <f t="shared" si="72"/>
        <v>67</v>
      </c>
    </row>
    <row r="356" spans="1:30" x14ac:dyDescent="0.3">
      <c r="A356" t="s">
        <v>803</v>
      </c>
      <c r="B356" t="s">
        <v>804</v>
      </c>
      <c r="C356" t="s">
        <v>2555</v>
      </c>
      <c r="D356" t="s">
        <v>2556</v>
      </c>
      <c r="E356" t="str">
        <f t="shared" si="61"/>
        <v>Alexa Gallegos</v>
      </c>
      <c r="F356" t="str">
        <f t="shared" si="62"/>
        <v>Alexa Gallegos</v>
      </c>
      <c r="H356" t="s">
        <v>86</v>
      </c>
      <c r="I356" t="str">
        <f t="shared" si="63"/>
        <v>Female</v>
      </c>
      <c r="J356">
        <v>56</v>
      </c>
      <c r="K356">
        <f t="shared" si="64"/>
        <v>56</v>
      </c>
      <c r="L356" t="str">
        <f t="shared" si="65"/>
        <v>Fourth level</v>
      </c>
      <c r="M356" t="s">
        <v>95</v>
      </c>
      <c r="N356" t="s">
        <v>96</v>
      </c>
      <c r="O356" t="s">
        <v>33</v>
      </c>
      <c r="P356">
        <v>32</v>
      </c>
      <c r="Q356">
        <f t="shared" si="66"/>
        <v>32</v>
      </c>
      <c r="R356" t="s">
        <v>61</v>
      </c>
      <c r="S356" s="8" t="s">
        <v>2094</v>
      </c>
      <c r="T356" s="9">
        <v>40</v>
      </c>
      <c r="U356" s="9">
        <f t="shared" si="67"/>
        <v>40</v>
      </c>
      <c r="V356" s="10">
        <v>40</v>
      </c>
      <c r="W356">
        <v>0</v>
      </c>
      <c r="X356" s="11">
        <f t="shared" si="68"/>
        <v>0</v>
      </c>
      <c r="Y356" t="s">
        <v>2103</v>
      </c>
      <c r="Z356" t="str">
        <f t="shared" si="69"/>
        <v>Yes</v>
      </c>
      <c r="AA356" t="str">
        <f t="shared" si="70"/>
        <v>Yes</v>
      </c>
      <c r="AB356" t="str">
        <f t="shared" si="71"/>
        <v>Yes</v>
      </c>
      <c r="AC356" s="12">
        <v>86</v>
      </c>
      <c r="AD356" s="12">
        <f t="shared" si="72"/>
        <v>86</v>
      </c>
    </row>
    <row r="357" spans="1:30" x14ac:dyDescent="0.3">
      <c r="A357" t="s">
        <v>805</v>
      </c>
      <c r="B357" t="s">
        <v>806</v>
      </c>
      <c r="C357" t="s">
        <v>2330</v>
      </c>
      <c r="D357" t="s">
        <v>2557</v>
      </c>
      <c r="E357" t="str">
        <f t="shared" si="61"/>
        <v>Charles Pratt</v>
      </c>
      <c r="F357" t="str">
        <f t="shared" si="62"/>
        <v>Charles Pratt</v>
      </c>
      <c r="H357" t="s">
        <v>69</v>
      </c>
      <c r="I357" t="str">
        <f t="shared" si="63"/>
        <v>Male</v>
      </c>
      <c r="J357">
        <v>58</v>
      </c>
      <c r="K357">
        <f t="shared" si="64"/>
        <v>58</v>
      </c>
      <c r="L357" t="str">
        <f t="shared" si="65"/>
        <v>Fourth level</v>
      </c>
      <c r="M357" t="s">
        <v>80</v>
      </c>
      <c r="N357" t="s">
        <v>81</v>
      </c>
      <c r="O357" t="s">
        <v>82</v>
      </c>
      <c r="Q357">
        <f t="shared" si="66"/>
        <v>19</v>
      </c>
      <c r="R357" t="s">
        <v>18</v>
      </c>
      <c r="S357" s="8" t="s">
        <v>18</v>
      </c>
      <c r="T357" s="9">
        <v>100</v>
      </c>
      <c r="U357" s="9">
        <f t="shared" si="67"/>
        <v>100</v>
      </c>
      <c r="V357" s="10">
        <v>100</v>
      </c>
      <c r="W357">
        <v>4.5</v>
      </c>
      <c r="X357" s="11">
        <f t="shared" si="68"/>
        <v>4.5</v>
      </c>
      <c r="Y357" t="s">
        <v>170</v>
      </c>
      <c r="Z357" t="str">
        <f t="shared" si="69"/>
        <v>no</v>
      </c>
      <c r="AA357" t="str">
        <f t="shared" si="70"/>
        <v>no</v>
      </c>
      <c r="AB357" t="str">
        <f t="shared" si="71"/>
        <v>No</v>
      </c>
      <c r="AC357" s="12">
        <v>77</v>
      </c>
      <c r="AD357" s="12">
        <f t="shared" si="72"/>
        <v>77</v>
      </c>
    </row>
    <row r="358" spans="1:30" x14ac:dyDescent="0.3">
      <c r="A358" t="s">
        <v>807</v>
      </c>
      <c r="B358" t="s">
        <v>808</v>
      </c>
      <c r="C358" t="s">
        <v>2397</v>
      </c>
      <c r="D358" t="s">
        <v>2250</v>
      </c>
      <c r="E358" t="str">
        <f t="shared" si="61"/>
        <v>Brian Baker</v>
      </c>
      <c r="F358" t="str">
        <f t="shared" si="62"/>
        <v>Brian Baker</v>
      </c>
      <c r="H358" t="s">
        <v>107</v>
      </c>
      <c r="I358" t="str">
        <f t="shared" si="63"/>
        <v>Male</v>
      </c>
      <c r="J358">
        <v>32</v>
      </c>
      <c r="K358">
        <f t="shared" si="64"/>
        <v>32</v>
      </c>
      <c r="L358" t="str">
        <f t="shared" si="65"/>
        <v>Second level</v>
      </c>
      <c r="M358" t="s">
        <v>122</v>
      </c>
      <c r="N358" t="s">
        <v>123</v>
      </c>
      <c r="O358" t="s">
        <v>82</v>
      </c>
      <c r="P358">
        <v>10</v>
      </c>
      <c r="Q358">
        <f t="shared" si="66"/>
        <v>10</v>
      </c>
      <c r="R358" t="s">
        <v>50</v>
      </c>
      <c r="S358" s="8" t="s">
        <v>50</v>
      </c>
      <c r="T358" s="9">
        <v>30</v>
      </c>
      <c r="U358" s="9">
        <f t="shared" si="67"/>
        <v>30</v>
      </c>
      <c r="V358" s="10">
        <v>30</v>
      </c>
      <c r="W358">
        <v>3.8</v>
      </c>
      <c r="X358" s="11">
        <f t="shared" si="68"/>
        <v>3.8</v>
      </c>
      <c r="Y358" t="s">
        <v>2102</v>
      </c>
      <c r="Z358" t="str">
        <f t="shared" si="69"/>
        <v>No</v>
      </c>
      <c r="AA358" t="str">
        <f t="shared" si="70"/>
        <v>No</v>
      </c>
      <c r="AB358" t="str">
        <f t="shared" si="71"/>
        <v>No</v>
      </c>
      <c r="AC358" s="12">
        <v>61</v>
      </c>
      <c r="AD358" s="12">
        <f t="shared" si="72"/>
        <v>61</v>
      </c>
    </row>
    <row r="359" spans="1:30" x14ac:dyDescent="0.3">
      <c r="A359" t="s">
        <v>809</v>
      </c>
      <c r="B359" t="s">
        <v>810</v>
      </c>
      <c r="C359" t="s">
        <v>2558</v>
      </c>
      <c r="D359" t="s">
        <v>2559</v>
      </c>
      <c r="E359" t="str">
        <f t="shared" si="61"/>
        <v>Christina Norman</v>
      </c>
      <c r="F359" t="str">
        <f t="shared" si="62"/>
        <v>Christina Norman</v>
      </c>
      <c r="H359" t="s">
        <v>86</v>
      </c>
      <c r="I359" t="str">
        <f t="shared" si="63"/>
        <v>Female</v>
      </c>
      <c r="J359">
        <v>52</v>
      </c>
      <c r="K359">
        <f t="shared" si="64"/>
        <v>52</v>
      </c>
      <c r="L359" t="str">
        <f t="shared" si="65"/>
        <v>Fourth level</v>
      </c>
      <c r="M359" t="s">
        <v>103</v>
      </c>
      <c r="N359" t="s">
        <v>104</v>
      </c>
      <c r="O359" t="s">
        <v>82</v>
      </c>
      <c r="P359">
        <v>0</v>
      </c>
      <c r="Q359">
        <f t="shared" si="66"/>
        <v>0</v>
      </c>
      <c r="R359" t="s">
        <v>65</v>
      </c>
      <c r="S359" s="8" t="s">
        <v>65</v>
      </c>
      <c r="T359" s="9"/>
      <c r="U359" s="9">
        <f t="shared" si="67"/>
        <v>52.799657534246577</v>
      </c>
      <c r="V359" s="10">
        <v>52.799657534246577</v>
      </c>
      <c r="W359">
        <v>4.3</v>
      </c>
      <c r="X359" s="11">
        <f t="shared" si="68"/>
        <v>4.3</v>
      </c>
      <c r="Y359" t="s">
        <v>2102</v>
      </c>
      <c r="Z359" t="str">
        <f t="shared" si="69"/>
        <v>No</v>
      </c>
      <c r="AA359" t="str">
        <f t="shared" si="70"/>
        <v>No</v>
      </c>
      <c r="AB359" t="str">
        <f t="shared" si="71"/>
        <v>No</v>
      </c>
      <c r="AC359" s="12">
        <v>90</v>
      </c>
      <c r="AD359" s="12">
        <f t="shared" si="72"/>
        <v>90</v>
      </c>
    </row>
    <row r="360" spans="1:30" x14ac:dyDescent="0.3">
      <c r="A360" t="s">
        <v>811</v>
      </c>
      <c r="B360" t="s">
        <v>812</v>
      </c>
      <c r="C360" t="s">
        <v>2137</v>
      </c>
      <c r="D360" t="s">
        <v>2224</v>
      </c>
      <c r="E360" t="str">
        <f t="shared" si="61"/>
        <v>Laura Kelly</v>
      </c>
      <c r="F360" t="str">
        <f t="shared" si="62"/>
        <v>Laura Kelly</v>
      </c>
      <c r="H360" t="s">
        <v>22</v>
      </c>
      <c r="I360" t="str">
        <f t="shared" si="63"/>
        <v>Female</v>
      </c>
      <c r="J360">
        <v>22</v>
      </c>
      <c r="K360">
        <f t="shared" si="64"/>
        <v>22</v>
      </c>
      <c r="L360" t="str">
        <f t="shared" si="65"/>
        <v>First level</v>
      </c>
      <c r="M360" t="s">
        <v>186</v>
      </c>
      <c r="N360" t="s">
        <v>187</v>
      </c>
      <c r="O360" t="s">
        <v>57</v>
      </c>
      <c r="P360">
        <v>1</v>
      </c>
      <c r="Q360">
        <f t="shared" si="66"/>
        <v>1</v>
      </c>
      <c r="R360" t="s">
        <v>34</v>
      </c>
      <c r="S360" s="8" t="s">
        <v>34</v>
      </c>
      <c r="T360" s="9">
        <v>50</v>
      </c>
      <c r="U360" s="9">
        <f t="shared" si="67"/>
        <v>50</v>
      </c>
      <c r="V360" s="10">
        <v>50</v>
      </c>
      <c r="W360">
        <v>0</v>
      </c>
      <c r="X360" s="11">
        <f t="shared" si="68"/>
        <v>0</v>
      </c>
      <c r="Y360" t="s">
        <v>65</v>
      </c>
      <c r="AA360" t="str">
        <f t="shared" si="70"/>
        <v>Unknown</v>
      </c>
      <c r="AB360" t="str">
        <f t="shared" si="71"/>
        <v>Unknown</v>
      </c>
      <c r="AC360" s="12">
        <v>98</v>
      </c>
      <c r="AD360" s="12">
        <f t="shared" si="72"/>
        <v>98</v>
      </c>
    </row>
    <row r="361" spans="1:30" x14ac:dyDescent="0.3">
      <c r="A361" t="s">
        <v>813</v>
      </c>
      <c r="B361" t="s">
        <v>814</v>
      </c>
      <c r="C361" t="s">
        <v>2366</v>
      </c>
      <c r="D361" t="s">
        <v>2560</v>
      </c>
      <c r="E361" t="str">
        <f t="shared" si="61"/>
        <v>John Webb</v>
      </c>
      <c r="F361" t="str">
        <f t="shared" si="62"/>
        <v>John Webb</v>
      </c>
      <c r="H361" t="s">
        <v>107</v>
      </c>
      <c r="I361" t="str">
        <f t="shared" si="63"/>
        <v>Male</v>
      </c>
      <c r="J361">
        <v>20</v>
      </c>
      <c r="K361">
        <f t="shared" si="64"/>
        <v>20</v>
      </c>
      <c r="L361" t="str">
        <f t="shared" si="65"/>
        <v>First level</v>
      </c>
      <c r="M361" t="s">
        <v>103</v>
      </c>
      <c r="N361" t="s">
        <v>104</v>
      </c>
      <c r="O361" t="s">
        <v>87</v>
      </c>
      <c r="P361">
        <v>2</v>
      </c>
      <c r="Q361">
        <f t="shared" si="66"/>
        <v>2</v>
      </c>
      <c r="R361" t="s">
        <v>44</v>
      </c>
      <c r="S361" s="8" t="s">
        <v>44</v>
      </c>
      <c r="T361" s="9">
        <v>30</v>
      </c>
      <c r="U361" s="9">
        <f t="shared" si="67"/>
        <v>30</v>
      </c>
      <c r="V361" s="10">
        <v>30</v>
      </c>
      <c r="X361" s="11">
        <f t="shared" si="68"/>
        <v>2.5599999999999978</v>
      </c>
      <c r="Y361" t="s">
        <v>2103</v>
      </c>
      <c r="Z361" t="str">
        <f t="shared" si="69"/>
        <v>Yes</v>
      </c>
      <c r="AA361" t="str">
        <f t="shared" si="70"/>
        <v>Yes</v>
      </c>
      <c r="AB361" t="str">
        <f t="shared" si="71"/>
        <v>Yes</v>
      </c>
      <c r="AC361" s="12">
        <v>99</v>
      </c>
      <c r="AD361" s="12">
        <f t="shared" si="72"/>
        <v>99</v>
      </c>
    </row>
    <row r="362" spans="1:30" x14ac:dyDescent="0.3">
      <c r="A362" t="s">
        <v>815</v>
      </c>
      <c r="B362" t="s">
        <v>816</v>
      </c>
      <c r="C362" t="s">
        <v>2308</v>
      </c>
      <c r="D362" t="s">
        <v>2234</v>
      </c>
      <c r="E362" t="str">
        <f t="shared" si="61"/>
        <v>Christopher Burton</v>
      </c>
      <c r="F362" t="str">
        <f t="shared" si="62"/>
        <v>Christopher Burton</v>
      </c>
      <c r="H362" t="s">
        <v>107</v>
      </c>
      <c r="I362" t="str">
        <f t="shared" si="63"/>
        <v>Male</v>
      </c>
      <c r="J362">
        <v>56</v>
      </c>
      <c r="K362">
        <f t="shared" si="64"/>
        <v>56</v>
      </c>
      <c r="L362" t="str">
        <f t="shared" si="65"/>
        <v>Fourth level</v>
      </c>
      <c r="M362" t="s">
        <v>47</v>
      </c>
      <c r="N362" t="s">
        <v>48</v>
      </c>
      <c r="O362" t="s">
        <v>57</v>
      </c>
      <c r="P362">
        <v>9</v>
      </c>
      <c r="Q362">
        <f t="shared" si="66"/>
        <v>9</v>
      </c>
      <c r="R362" t="s">
        <v>61</v>
      </c>
      <c r="S362" s="8" t="s">
        <v>2094</v>
      </c>
      <c r="T362" s="9">
        <v>40</v>
      </c>
      <c r="U362" s="9">
        <f t="shared" si="67"/>
        <v>40</v>
      </c>
      <c r="V362" s="10">
        <v>40</v>
      </c>
      <c r="W362">
        <v>2.6</v>
      </c>
      <c r="X362" s="11">
        <f t="shared" si="68"/>
        <v>2.6</v>
      </c>
      <c r="Y362" t="s">
        <v>2102</v>
      </c>
      <c r="Z362" t="str">
        <f t="shared" si="69"/>
        <v>No</v>
      </c>
      <c r="AA362" t="str">
        <f t="shared" si="70"/>
        <v>No</v>
      </c>
      <c r="AB362" t="str">
        <f t="shared" si="71"/>
        <v>No</v>
      </c>
      <c r="AC362" s="12">
        <v>61</v>
      </c>
      <c r="AD362" s="12">
        <f t="shared" si="72"/>
        <v>61</v>
      </c>
    </row>
    <row r="363" spans="1:30" x14ac:dyDescent="0.3">
      <c r="A363" t="s">
        <v>817</v>
      </c>
      <c r="B363" t="s">
        <v>818</v>
      </c>
      <c r="C363" t="s">
        <v>2561</v>
      </c>
      <c r="D363" t="s">
        <v>2487</v>
      </c>
      <c r="E363" t="str">
        <f t="shared" si="61"/>
        <v>Bradley Aguilar</v>
      </c>
      <c r="F363" t="str">
        <f t="shared" si="62"/>
        <v>Bradley Aguilar</v>
      </c>
      <c r="H363" t="s">
        <v>107</v>
      </c>
      <c r="I363" t="str">
        <f t="shared" si="63"/>
        <v>Male</v>
      </c>
      <c r="J363">
        <v>41</v>
      </c>
      <c r="K363">
        <f t="shared" si="64"/>
        <v>41</v>
      </c>
      <c r="L363" t="str">
        <f t="shared" si="65"/>
        <v>Third level</v>
      </c>
      <c r="M363" t="s">
        <v>95</v>
      </c>
      <c r="N363" t="s">
        <v>96</v>
      </c>
      <c r="O363" t="s">
        <v>57</v>
      </c>
      <c r="P363">
        <v>22</v>
      </c>
      <c r="Q363">
        <f t="shared" si="66"/>
        <v>22</v>
      </c>
      <c r="R363" t="s">
        <v>108</v>
      </c>
      <c r="S363" s="8" t="s">
        <v>2095</v>
      </c>
      <c r="T363" s="9">
        <v>50</v>
      </c>
      <c r="U363" s="9">
        <f t="shared" si="67"/>
        <v>50</v>
      </c>
      <c r="V363" s="10">
        <v>50</v>
      </c>
      <c r="W363">
        <v>1.6</v>
      </c>
      <c r="X363" s="11">
        <f t="shared" si="68"/>
        <v>1.6</v>
      </c>
      <c r="Y363" t="s">
        <v>2103</v>
      </c>
      <c r="Z363" t="str">
        <f t="shared" si="69"/>
        <v>Yes</v>
      </c>
      <c r="AA363" t="str">
        <f t="shared" si="70"/>
        <v>Yes</v>
      </c>
      <c r="AB363" t="str">
        <f t="shared" si="71"/>
        <v>Yes</v>
      </c>
      <c r="AC363" s="12">
        <v>61</v>
      </c>
      <c r="AD363" s="12">
        <f t="shared" si="72"/>
        <v>61</v>
      </c>
    </row>
    <row r="364" spans="1:30" x14ac:dyDescent="0.3">
      <c r="A364" t="s">
        <v>819</v>
      </c>
      <c r="B364" t="s">
        <v>820</v>
      </c>
      <c r="C364" t="s">
        <v>2562</v>
      </c>
      <c r="D364" t="s">
        <v>2563</v>
      </c>
      <c r="E364" t="str">
        <f t="shared" si="61"/>
        <v>Arthur Vasquez</v>
      </c>
      <c r="F364" t="str">
        <f t="shared" si="62"/>
        <v>Arthur Vasquez</v>
      </c>
      <c r="H364" t="s">
        <v>107</v>
      </c>
      <c r="I364" t="str">
        <f t="shared" si="63"/>
        <v>Male</v>
      </c>
      <c r="J364">
        <v>25</v>
      </c>
      <c r="K364">
        <f t="shared" si="64"/>
        <v>25</v>
      </c>
      <c r="L364" t="str">
        <f t="shared" si="65"/>
        <v>First level</v>
      </c>
      <c r="M364" t="s">
        <v>80</v>
      </c>
      <c r="N364" t="s">
        <v>81</v>
      </c>
      <c r="O364" t="s">
        <v>17</v>
      </c>
      <c r="P364">
        <v>5</v>
      </c>
      <c r="Q364">
        <f t="shared" si="66"/>
        <v>5</v>
      </c>
      <c r="R364" t="s">
        <v>50</v>
      </c>
      <c r="S364" s="8" t="s">
        <v>50</v>
      </c>
      <c r="T364" s="9">
        <v>30</v>
      </c>
      <c r="U364" s="9">
        <f t="shared" si="67"/>
        <v>30</v>
      </c>
      <c r="V364" s="10">
        <v>30</v>
      </c>
      <c r="W364">
        <v>2.2999999999999998</v>
      </c>
      <c r="X364" s="11">
        <f t="shared" si="68"/>
        <v>2.2999999999999998</v>
      </c>
      <c r="Y364" t="s">
        <v>2102</v>
      </c>
      <c r="Z364" t="str">
        <f t="shared" si="69"/>
        <v>No</v>
      </c>
      <c r="AA364" t="str">
        <f t="shared" si="70"/>
        <v>No</v>
      </c>
      <c r="AB364" t="str">
        <f t="shared" si="71"/>
        <v>No</v>
      </c>
      <c r="AC364" s="12">
        <v>91</v>
      </c>
      <c r="AD364" s="12">
        <f t="shared" si="72"/>
        <v>91</v>
      </c>
    </row>
    <row r="365" spans="1:30" x14ac:dyDescent="0.3">
      <c r="A365" t="s">
        <v>821</v>
      </c>
      <c r="B365" t="s">
        <v>822</v>
      </c>
      <c r="C365" t="s">
        <v>2516</v>
      </c>
      <c r="D365" t="s">
        <v>2564</v>
      </c>
      <c r="E365" t="str">
        <f t="shared" si="61"/>
        <v>Angela Castro</v>
      </c>
      <c r="F365" t="str">
        <f t="shared" si="62"/>
        <v>Angela Castro</v>
      </c>
      <c r="H365" t="s">
        <v>22</v>
      </c>
      <c r="I365" t="str">
        <f t="shared" si="63"/>
        <v>Female</v>
      </c>
      <c r="J365">
        <v>44</v>
      </c>
      <c r="K365">
        <f t="shared" si="64"/>
        <v>44</v>
      </c>
      <c r="L365" t="str">
        <f t="shared" si="65"/>
        <v>Third level</v>
      </c>
      <c r="M365" t="s">
        <v>138</v>
      </c>
      <c r="N365" t="s">
        <v>24</v>
      </c>
      <c r="O365" t="s">
        <v>87</v>
      </c>
      <c r="P365">
        <v>6</v>
      </c>
      <c r="Q365">
        <f t="shared" si="66"/>
        <v>6</v>
      </c>
      <c r="R365" t="s">
        <v>92</v>
      </c>
      <c r="S365" s="8" t="s">
        <v>92</v>
      </c>
      <c r="T365" s="9">
        <v>75</v>
      </c>
      <c r="U365" s="9">
        <f t="shared" si="67"/>
        <v>75</v>
      </c>
      <c r="V365" s="10">
        <v>75</v>
      </c>
      <c r="W365">
        <v>4.5999999999999996</v>
      </c>
      <c r="X365" s="11">
        <f t="shared" si="68"/>
        <v>4.5999999999999996</v>
      </c>
      <c r="Y365" t="s">
        <v>2103</v>
      </c>
      <c r="Z365" t="str">
        <f t="shared" si="69"/>
        <v>Yes</v>
      </c>
      <c r="AA365" t="str">
        <f t="shared" si="70"/>
        <v>Yes</v>
      </c>
      <c r="AB365" t="str">
        <f t="shared" si="71"/>
        <v>Yes</v>
      </c>
      <c r="AC365" s="12">
        <v>72</v>
      </c>
      <c r="AD365" s="12">
        <f t="shared" si="72"/>
        <v>72</v>
      </c>
    </row>
    <row r="366" spans="1:30" x14ac:dyDescent="0.3">
      <c r="A366" t="s">
        <v>823</v>
      </c>
      <c r="B366" t="s">
        <v>824</v>
      </c>
      <c r="C366" t="s">
        <v>2565</v>
      </c>
      <c r="D366" t="s">
        <v>2566</v>
      </c>
      <c r="E366" t="str">
        <f t="shared" si="61"/>
        <v>Summer Yoder</v>
      </c>
      <c r="F366" t="str">
        <f t="shared" si="62"/>
        <v>Summer Yoder</v>
      </c>
      <c r="H366" t="s">
        <v>43</v>
      </c>
      <c r="I366" t="str">
        <f t="shared" si="63"/>
        <v>Female</v>
      </c>
      <c r="J366">
        <v>46</v>
      </c>
      <c r="K366">
        <f t="shared" si="64"/>
        <v>46</v>
      </c>
      <c r="L366" t="str">
        <f t="shared" si="65"/>
        <v>Third level</v>
      </c>
      <c r="M366" t="s">
        <v>23</v>
      </c>
      <c r="N366" t="s">
        <v>24</v>
      </c>
      <c r="O366" t="s">
        <v>39</v>
      </c>
      <c r="P366">
        <v>26</v>
      </c>
      <c r="Q366">
        <f t="shared" si="66"/>
        <v>26</v>
      </c>
      <c r="R366" t="s">
        <v>240</v>
      </c>
      <c r="S366" s="8" t="s">
        <v>18</v>
      </c>
      <c r="T366" s="9">
        <v>100</v>
      </c>
      <c r="U366" s="9">
        <f t="shared" si="67"/>
        <v>100</v>
      </c>
      <c r="V366" s="10">
        <v>100</v>
      </c>
      <c r="W366">
        <v>2.1</v>
      </c>
      <c r="X366" s="11">
        <f t="shared" si="68"/>
        <v>2.1</v>
      </c>
      <c r="Y366" t="s">
        <v>65</v>
      </c>
      <c r="AA366" t="str">
        <f t="shared" si="70"/>
        <v>Unknown</v>
      </c>
      <c r="AB366" t="str">
        <f t="shared" si="71"/>
        <v>Unknown</v>
      </c>
      <c r="AC366" s="12"/>
      <c r="AD366" s="12">
        <f t="shared" si="72"/>
        <v>79.462121212121218</v>
      </c>
    </row>
    <row r="367" spans="1:30" x14ac:dyDescent="0.3">
      <c r="A367" t="s">
        <v>825</v>
      </c>
      <c r="B367" t="s">
        <v>826</v>
      </c>
      <c r="C367" t="s">
        <v>2567</v>
      </c>
      <c r="D367" t="s">
        <v>2521</v>
      </c>
      <c r="E367" t="str">
        <f t="shared" si="61"/>
        <v>Jackie Allen</v>
      </c>
      <c r="F367" t="str">
        <f t="shared" si="62"/>
        <v>Jackie Allen</v>
      </c>
      <c r="H367" t="s">
        <v>43</v>
      </c>
      <c r="I367" t="str">
        <f t="shared" si="63"/>
        <v>Female</v>
      </c>
      <c r="J367">
        <v>40</v>
      </c>
      <c r="K367">
        <f t="shared" si="64"/>
        <v>40</v>
      </c>
      <c r="L367" t="str">
        <f t="shared" si="65"/>
        <v>Second level</v>
      </c>
      <c r="M367" t="s">
        <v>122</v>
      </c>
      <c r="N367" t="s">
        <v>123</v>
      </c>
      <c r="O367" t="s">
        <v>17</v>
      </c>
      <c r="Q367">
        <f t="shared" si="66"/>
        <v>9</v>
      </c>
      <c r="R367" t="s">
        <v>76</v>
      </c>
      <c r="S367" s="8" t="s">
        <v>76</v>
      </c>
      <c r="T367" s="9">
        <v>40</v>
      </c>
      <c r="U367" s="9">
        <f t="shared" si="67"/>
        <v>40</v>
      </c>
      <c r="V367" s="10">
        <v>40</v>
      </c>
      <c r="W367">
        <v>1.5</v>
      </c>
      <c r="X367" s="11">
        <f t="shared" si="68"/>
        <v>1.5</v>
      </c>
      <c r="Y367" t="s">
        <v>2102</v>
      </c>
      <c r="Z367" t="str">
        <f t="shared" si="69"/>
        <v>No</v>
      </c>
      <c r="AA367" t="str">
        <f t="shared" si="70"/>
        <v>No</v>
      </c>
      <c r="AB367" t="str">
        <f t="shared" si="71"/>
        <v>No</v>
      </c>
      <c r="AC367" s="12">
        <v>96</v>
      </c>
      <c r="AD367" s="12">
        <f t="shared" si="72"/>
        <v>96</v>
      </c>
    </row>
    <row r="368" spans="1:30" x14ac:dyDescent="0.3">
      <c r="A368" t="s">
        <v>827</v>
      </c>
      <c r="B368" t="s">
        <v>828</v>
      </c>
      <c r="C368" t="s">
        <v>2382</v>
      </c>
      <c r="D368" t="s">
        <v>2181</v>
      </c>
      <c r="E368" t="str">
        <f t="shared" si="61"/>
        <v>Brandon Williams</v>
      </c>
      <c r="F368" t="str">
        <f t="shared" si="62"/>
        <v>Brandon Williams</v>
      </c>
      <c r="H368" t="s">
        <v>30</v>
      </c>
      <c r="I368" t="str">
        <f t="shared" si="63"/>
        <v>Male</v>
      </c>
      <c r="K368">
        <f t="shared" si="64"/>
        <v>41</v>
      </c>
      <c r="L368" t="str">
        <f t="shared" si="65"/>
        <v>Third level</v>
      </c>
      <c r="M368" t="s">
        <v>186</v>
      </c>
      <c r="N368" t="s">
        <v>187</v>
      </c>
      <c r="O368" t="s">
        <v>49</v>
      </c>
      <c r="P368">
        <v>9</v>
      </c>
      <c r="Q368">
        <f t="shared" si="66"/>
        <v>9</v>
      </c>
      <c r="R368" t="s">
        <v>61</v>
      </c>
      <c r="S368" s="8" t="s">
        <v>2094</v>
      </c>
      <c r="T368" s="9">
        <v>40</v>
      </c>
      <c r="U368" s="9">
        <f t="shared" si="67"/>
        <v>40</v>
      </c>
      <c r="V368" s="10">
        <v>40</v>
      </c>
      <c r="W368">
        <v>1.7</v>
      </c>
      <c r="X368" s="11">
        <f t="shared" si="68"/>
        <v>1.7</v>
      </c>
      <c r="Y368" t="s">
        <v>2103</v>
      </c>
      <c r="Z368" t="str">
        <f t="shared" si="69"/>
        <v>Yes</v>
      </c>
      <c r="AA368" t="str">
        <f t="shared" si="70"/>
        <v>Yes</v>
      </c>
      <c r="AB368" t="str">
        <f t="shared" si="71"/>
        <v>Yes</v>
      </c>
      <c r="AC368" s="12">
        <v>72</v>
      </c>
      <c r="AD368" s="12">
        <f t="shared" si="72"/>
        <v>72</v>
      </c>
    </row>
    <row r="369" spans="1:30" x14ac:dyDescent="0.3">
      <c r="A369" t="s">
        <v>829</v>
      </c>
      <c r="B369" t="s">
        <v>830</v>
      </c>
      <c r="C369" t="s">
        <v>2568</v>
      </c>
      <c r="D369" t="s">
        <v>2295</v>
      </c>
      <c r="E369" t="str">
        <f t="shared" si="61"/>
        <v>Manuel Torres</v>
      </c>
      <c r="F369" t="str">
        <f t="shared" si="62"/>
        <v>Manuel Torres</v>
      </c>
      <c r="H369" t="s">
        <v>107</v>
      </c>
      <c r="I369" t="str">
        <f t="shared" si="63"/>
        <v>Male</v>
      </c>
      <c r="J369">
        <v>31</v>
      </c>
      <c r="K369">
        <f t="shared" si="64"/>
        <v>31</v>
      </c>
      <c r="L369" t="str">
        <f t="shared" si="65"/>
        <v>Second level</v>
      </c>
      <c r="M369" t="s">
        <v>95</v>
      </c>
      <c r="N369" t="s">
        <v>96</v>
      </c>
      <c r="O369" t="s">
        <v>57</v>
      </c>
      <c r="P369">
        <v>11</v>
      </c>
      <c r="Q369">
        <f t="shared" si="66"/>
        <v>11</v>
      </c>
      <c r="R369" t="s">
        <v>65</v>
      </c>
      <c r="S369" s="8" t="s">
        <v>65</v>
      </c>
      <c r="T369" s="9"/>
      <c r="U369" s="9">
        <f t="shared" si="67"/>
        <v>52.85217391304348</v>
      </c>
      <c r="V369" s="10">
        <v>52.85217391304348</v>
      </c>
      <c r="W369">
        <v>3.3</v>
      </c>
      <c r="X369" s="11">
        <f t="shared" si="68"/>
        <v>3.3</v>
      </c>
      <c r="Y369" t="s">
        <v>2102</v>
      </c>
      <c r="Z369" t="str">
        <f t="shared" si="69"/>
        <v>No</v>
      </c>
      <c r="AA369" t="str">
        <f t="shared" si="70"/>
        <v>No</v>
      </c>
      <c r="AB369" t="str">
        <f t="shared" si="71"/>
        <v>No</v>
      </c>
      <c r="AC369" s="12"/>
      <c r="AD369" s="12">
        <f t="shared" si="72"/>
        <v>79.444866920152094</v>
      </c>
    </row>
    <row r="370" spans="1:30" x14ac:dyDescent="0.3">
      <c r="A370" t="s">
        <v>831</v>
      </c>
      <c r="B370" t="s">
        <v>832</v>
      </c>
      <c r="C370" t="s">
        <v>2138</v>
      </c>
      <c r="D370" t="s">
        <v>2569</v>
      </c>
      <c r="E370" t="str">
        <f t="shared" si="61"/>
        <v>Scott Keller</v>
      </c>
      <c r="F370" t="str">
        <f t="shared" si="62"/>
        <v>Scott Keller</v>
      </c>
      <c r="H370" t="s">
        <v>107</v>
      </c>
      <c r="I370" t="str">
        <f t="shared" si="63"/>
        <v>Male</v>
      </c>
      <c r="J370">
        <v>33</v>
      </c>
      <c r="K370">
        <f t="shared" si="64"/>
        <v>33</v>
      </c>
      <c r="L370" t="str">
        <f t="shared" si="65"/>
        <v>Second level</v>
      </c>
      <c r="M370" t="s">
        <v>122</v>
      </c>
      <c r="N370" t="s">
        <v>123</v>
      </c>
      <c r="O370" t="s">
        <v>124</v>
      </c>
      <c r="Q370">
        <f t="shared" si="66"/>
        <v>9</v>
      </c>
      <c r="R370" t="s">
        <v>40</v>
      </c>
      <c r="S370" s="8" t="s">
        <v>40</v>
      </c>
      <c r="T370" s="9">
        <v>40</v>
      </c>
      <c r="U370" s="9">
        <f t="shared" si="67"/>
        <v>40</v>
      </c>
      <c r="V370" s="10">
        <v>40</v>
      </c>
      <c r="W370">
        <v>4.3</v>
      </c>
      <c r="X370" s="11">
        <f t="shared" si="68"/>
        <v>4.3</v>
      </c>
      <c r="Y370" t="s">
        <v>2103</v>
      </c>
      <c r="Z370" t="str">
        <f t="shared" si="69"/>
        <v>Yes</v>
      </c>
      <c r="AA370" t="str">
        <f t="shared" si="70"/>
        <v>Yes</v>
      </c>
      <c r="AB370" t="str">
        <f t="shared" si="71"/>
        <v>Yes</v>
      </c>
      <c r="AC370" s="12">
        <v>63</v>
      </c>
      <c r="AD370" s="12">
        <f t="shared" si="72"/>
        <v>63</v>
      </c>
    </row>
    <row r="371" spans="1:30" x14ac:dyDescent="0.3">
      <c r="A371" t="s">
        <v>833</v>
      </c>
      <c r="B371" t="s">
        <v>834</v>
      </c>
      <c r="C371" t="s">
        <v>2544</v>
      </c>
      <c r="D371" t="s">
        <v>2186</v>
      </c>
      <c r="E371" t="str">
        <f t="shared" si="61"/>
        <v>Deborah Brown</v>
      </c>
      <c r="F371" t="str">
        <f t="shared" si="62"/>
        <v>Deborah Brown</v>
      </c>
      <c r="H371" t="s">
        <v>22</v>
      </c>
      <c r="I371" t="str">
        <f t="shared" si="63"/>
        <v>Female</v>
      </c>
      <c r="J371">
        <v>31</v>
      </c>
      <c r="K371">
        <f t="shared" si="64"/>
        <v>31</v>
      </c>
      <c r="L371" t="str">
        <f t="shared" si="65"/>
        <v>Second level</v>
      </c>
      <c r="M371" t="s">
        <v>117</v>
      </c>
      <c r="N371" t="s">
        <v>118</v>
      </c>
      <c r="O371" t="s">
        <v>124</v>
      </c>
      <c r="P371">
        <v>3</v>
      </c>
      <c r="Q371">
        <f t="shared" si="66"/>
        <v>3</v>
      </c>
      <c r="R371" t="s">
        <v>131</v>
      </c>
      <c r="S371" s="8" t="s">
        <v>131</v>
      </c>
      <c r="T371" s="9">
        <v>20</v>
      </c>
      <c r="U371" s="9">
        <f t="shared" si="67"/>
        <v>20</v>
      </c>
      <c r="V371" s="10">
        <v>20</v>
      </c>
      <c r="X371" s="11">
        <f t="shared" si="68"/>
        <v>2.5583038869257932</v>
      </c>
      <c r="Y371" t="s">
        <v>2102</v>
      </c>
      <c r="Z371" t="str">
        <f t="shared" si="69"/>
        <v>No</v>
      </c>
      <c r="AA371" t="str">
        <f t="shared" si="70"/>
        <v>No</v>
      </c>
      <c r="AB371" t="str">
        <f t="shared" si="71"/>
        <v>No</v>
      </c>
      <c r="AC371" s="12"/>
      <c r="AD371" s="12">
        <f t="shared" si="72"/>
        <v>79.476190476190482</v>
      </c>
    </row>
    <row r="372" spans="1:30" x14ac:dyDescent="0.3">
      <c r="A372" t="s">
        <v>835</v>
      </c>
      <c r="B372" t="s">
        <v>836</v>
      </c>
      <c r="C372" t="s">
        <v>2151</v>
      </c>
      <c r="D372" t="s">
        <v>2570</v>
      </c>
      <c r="E372" t="str">
        <f t="shared" si="61"/>
        <v>Jennifer Lara</v>
      </c>
      <c r="F372" t="str">
        <f t="shared" si="62"/>
        <v>Jennifer Lara</v>
      </c>
      <c r="H372" t="s">
        <v>86</v>
      </c>
      <c r="I372" t="str">
        <f t="shared" si="63"/>
        <v>Female</v>
      </c>
      <c r="J372">
        <v>49</v>
      </c>
      <c r="K372">
        <f t="shared" si="64"/>
        <v>49</v>
      </c>
      <c r="L372" t="str">
        <f t="shared" si="65"/>
        <v>Third level</v>
      </c>
      <c r="M372" t="s">
        <v>15</v>
      </c>
      <c r="N372" t="s">
        <v>16</v>
      </c>
      <c r="O372" t="s">
        <v>57</v>
      </c>
      <c r="P372">
        <v>15</v>
      </c>
      <c r="Q372">
        <f t="shared" si="66"/>
        <v>15</v>
      </c>
      <c r="R372" t="s">
        <v>58</v>
      </c>
      <c r="S372" s="8" t="s">
        <v>2093</v>
      </c>
      <c r="T372" s="9">
        <v>75</v>
      </c>
      <c r="U372" s="9">
        <f t="shared" si="67"/>
        <v>75</v>
      </c>
      <c r="V372" s="10">
        <v>75</v>
      </c>
      <c r="W372">
        <v>2.6</v>
      </c>
      <c r="X372" s="11">
        <f t="shared" si="68"/>
        <v>2.6</v>
      </c>
      <c r="Y372" t="s">
        <v>2102</v>
      </c>
      <c r="Z372" t="str">
        <f t="shared" si="69"/>
        <v>No</v>
      </c>
      <c r="AA372" t="str">
        <f t="shared" si="70"/>
        <v>No</v>
      </c>
      <c r="AB372" t="str">
        <f t="shared" si="71"/>
        <v>No</v>
      </c>
      <c r="AC372" s="12">
        <v>83</v>
      </c>
      <c r="AD372" s="12">
        <f t="shared" si="72"/>
        <v>83</v>
      </c>
    </row>
    <row r="373" spans="1:30" x14ac:dyDescent="0.3">
      <c r="A373" t="s">
        <v>837</v>
      </c>
      <c r="B373" t="s">
        <v>838</v>
      </c>
      <c r="C373" t="s">
        <v>2184</v>
      </c>
      <c r="D373" t="s">
        <v>2138</v>
      </c>
      <c r="E373" t="str">
        <f t="shared" si="61"/>
        <v>Jason Scott</v>
      </c>
      <c r="F373" t="str">
        <f t="shared" si="62"/>
        <v>Jason Scott</v>
      </c>
      <c r="H373" t="s">
        <v>30</v>
      </c>
      <c r="I373" t="str">
        <f t="shared" si="63"/>
        <v>Male</v>
      </c>
      <c r="J373">
        <v>35</v>
      </c>
      <c r="K373">
        <f t="shared" si="64"/>
        <v>35</v>
      </c>
      <c r="L373" t="str">
        <f t="shared" si="65"/>
        <v>Second level</v>
      </c>
      <c r="M373" t="s">
        <v>190</v>
      </c>
      <c r="N373" t="s">
        <v>81</v>
      </c>
      <c r="O373" t="s">
        <v>33</v>
      </c>
      <c r="P373">
        <v>12</v>
      </c>
      <c r="Q373">
        <f t="shared" si="66"/>
        <v>12</v>
      </c>
      <c r="R373" t="s">
        <v>325</v>
      </c>
      <c r="S373" s="8" t="s">
        <v>2097</v>
      </c>
      <c r="T373" s="9">
        <v>20</v>
      </c>
      <c r="U373" s="9">
        <f t="shared" si="67"/>
        <v>20</v>
      </c>
      <c r="V373" s="10">
        <v>20</v>
      </c>
      <c r="W373">
        <v>4.0999999999999996</v>
      </c>
      <c r="X373" s="11">
        <f t="shared" si="68"/>
        <v>4.0999999999999996</v>
      </c>
      <c r="Y373" t="s">
        <v>65</v>
      </c>
      <c r="AA373" t="str">
        <f t="shared" si="70"/>
        <v>Unknown</v>
      </c>
      <c r="AB373" t="str">
        <f t="shared" si="71"/>
        <v>Unknown</v>
      </c>
      <c r="AC373" s="12">
        <v>94</v>
      </c>
      <c r="AD373" s="12">
        <f t="shared" si="72"/>
        <v>94</v>
      </c>
    </row>
    <row r="374" spans="1:30" x14ac:dyDescent="0.3">
      <c r="A374" t="s">
        <v>839</v>
      </c>
      <c r="B374" t="s">
        <v>840</v>
      </c>
      <c r="C374" t="s">
        <v>2361</v>
      </c>
      <c r="D374" t="s">
        <v>2571</v>
      </c>
      <c r="E374" t="str">
        <f t="shared" si="61"/>
        <v>Gregory Garrison</v>
      </c>
      <c r="F374" t="str">
        <f t="shared" si="62"/>
        <v>Gregory Garrison</v>
      </c>
      <c r="H374" t="s">
        <v>107</v>
      </c>
      <c r="I374" t="str">
        <f t="shared" si="63"/>
        <v>Male</v>
      </c>
      <c r="J374">
        <v>45</v>
      </c>
      <c r="K374">
        <f t="shared" si="64"/>
        <v>45</v>
      </c>
      <c r="L374" t="str">
        <f t="shared" si="65"/>
        <v>Third level</v>
      </c>
      <c r="M374" t="s">
        <v>103</v>
      </c>
      <c r="N374" t="s">
        <v>104</v>
      </c>
      <c r="O374" t="s">
        <v>57</v>
      </c>
      <c r="P374">
        <v>19</v>
      </c>
      <c r="Q374">
        <f t="shared" si="66"/>
        <v>19</v>
      </c>
      <c r="R374" t="s">
        <v>40</v>
      </c>
      <c r="S374" s="8" t="s">
        <v>40</v>
      </c>
      <c r="T374" s="9">
        <v>40</v>
      </c>
      <c r="U374" s="9">
        <f t="shared" si="67"/>
        <v>40</v>
      </c>
      <c r="V374" s="10">
        <v>40</v>
      </c>
      <c r="W374">
        <v>2.2000000000000002</v>
      </c>
      <c r="X374" s="11">
        <f t="shared" si="68"/>
        <v>2.2000000000000002</v>
      </c>
      <c r="Y374" t="s">
        <v>2103</v>
      </c>
      <c r="Z374" t="str">
        <f t="shared" si="69"/>
        <v>Yes</v>
      </c>
      <c r="AA374" t="str">
        <f t="shared" si="70"/>
        <v>Yes</v>
      </c>
      <c r="AB374" t="str">
        <f t="shared" si="71"/>
        <v>Yes</v>
      </c>
      <c r="AC374" s="12">
        <v>78</v>
      </c>
      <c r="AD374" s="12">
        <f t="shared" si="72"/>
        <v>78</v>
      </c>
    </row>
    <row r="375" spans="1:30" x14ac:dyDescent="0.3">
      <c r="A375" t="s">
        <v>841</v>
      </c>
      <c r="B375" t="s">
        <v>842</v>
      </c>
      <c r="C375" t="s">
        <v>2436</v>
      </c>
      <c r="D375" t="s">
        <v>2167</v>
      </c>
      <c r="E375" t="str">
        <f t="shared" si="61"/>
        <v>Chelsea Anderson</v>
      </c>
      <c r="F375" t="str">
        <f t="shared" si="62"/>
        <v>Chelsea Anderson</v>
      </c>
      <c r="H375" t="s">
        <v>43</v>
      </c>
      <c r="I375" t="str">
        <f t="shared" si="63"/>
        <v>Female</v>
      </c>
      <c r="J375">
        <v>39</v>
      </c>
      <c r="K375">
        <f t="shared" si="64"/>
        <v>39</v>
      </c>
      <c r="L375" t="str">
        <f t="shared" si="65"/>
        <v>Second level</v>
      </c>
      <c r="M375" t="s">
        <v>47</v>
      </c>
      <c r="N375" t="s">
        <v>48</v>
      </c>
      <c r="O375" t="s">
        <v>57</v>
      </c>
      <c r="P375">
        <v>13</v>
      </c>
      <c r="Q375">
        <f t="shared" si="66"/>
        <v>13</v>
      </c>
      <c r="R375" t="s">
        <v>44</v>
      </c>
      <c r="S375" s="8" t="s">
        <v>44</v>
      </c>
      <c r="T375" s="9">
        <v>30</v>
      </c>
      <c r="U375" s="9">
        <f t="shared" si="67"/>
        <v>30</v>
      </c>
      <c r="V375" s="10">
        <v>30</v>
      </c>
      <c r="W375">
        <v>1.1000000000000001</v>
      </c>
      <c r="X375" s="11">
        <f t="shared" si="68"/>
        <v>1.1000000000000001</v>
      </c>
      <c r="Y375" t="s">
        <v>2103</v>
      </c>
      <c r="Z375" t="str">
        <f t="shared" si="69"/>
        <v>Yes</v>
      </c>
      <c r="AA375" t="str">
        <f t="shared" si="70"/>
        <v>Yes</v>
      </c>
      <c r="AB375" t="str">
        <f t="shared" si="71"/>
        <v>Yes</v>
      </c>
      <c r="AC375" s="12"/>
      <c r="AD375" s="12">
        <f t="shared" si="72"/>
        <v>79.444444444444443</v>
      </c>
    </row>
    <row r="376" spans="1:30" x14ac:dyDescent="0.3">
      <c r="A376" t="s">
        <v>843</v>
      </c>
      <c r="B376" t="s">
        <v>844</v>
      </c>
      <c r="C376" t="s">
        <v>2572</v>
      </c>
      <c r="D376" t="s">
        <v>2117</v>
      </c>
      <c r="E376" t="str">
        <f t="shared" si="61"/>
        <v>Gerald Johnson</v>
      </c>
      <c r="F376" t="str">
        <f t="shared" si="62"/>
        <v>Gerald Johnson</v>
      </c>
      <c r="H376" t="s">
        <v>69</v>
      </c>
      <c r="I376" t="str">
        <f t="shared" si="63"/>
        <v>Male</v>
      </c>
      <c r="K376">
        <f t="shared" si="64"/>
        <v>41</v>
      </c>
      <c r="L376" t="str">
        <f t="shared" si="65"/>
        <v>Third level</v>
      </c>
      <c r="M376" t="s">
        <v>80</v>
      </c>
      <c r="N376" t="s">
        <v>81</v>
      </c>
      <c r="O376" t="s">
        <v>17</v>
      </c>
      <c r="Q376">
        <f t="shared" si="66"/>
        <v>13</v>
      </c>
      <c r="R376" t="s">
        <v>72</v>
      </c>
      <c r="S376" s="8" t="s">
        <v>72</v>
      </c>
      <c r="T376" s="9">
        <v>50</v>
      </c>
      <c r="U376" s="9">
        <f t="shared" si="67"/>
        <v>50</v>
      </c>
      <c r="V376" s="10">
        <v>50</v>
      </c>
      <c r="W376">
        <v>2.1</v>
      </c>
      <c r="X376" s="11">
        <f t="shared" si="68"/>
        <v>2.1</v>
      </c>
      <c r="Y376" t="s">
        <v>2103</v>
      </c>
      <c r="Z376" t="str">
        <f t="shared" si="69"/>
        <v>Yes</v>
      </c>
      <c r="AA376" t="str">
        <f t="shared" si="70"/>
        <v>Yes</v>
      </c>
      <c r="AB376" t="str">
        <f t="shared" si="71"/>
        <v>Yes</v>
      </c>
      <c r="AC376" s="12">
        <v>82</v>
      </c>
      <c r="AD376" s="12">
        <f t="shared" si="72"/>
        <v>82</v>
      </c>
    </row>
    <row r="377" spans="1:30" x14ac:dyDescent="0.3">
      <c r="A377" t="s">
        <v>845</v>
      </c>
      <c r="B377" t="s">
        <v>846</v>
      </c>
      <c r="C377" t="s">
        <v>2292</v>
      </c>
      <c r="D377" t="s">
        <v>2573</v>
      </c>
      <c r="E377" t="str">
        <f t="shared" si="61"/>
        <v>Kevin Ellis</v>
      </c>
      <c r="F377" t="str">
        <f t="shared" si="62"/>
        <v>Kevin Ellis</v>
      </c>
      <c r="H377" t="s">
        <v>30</v>
      </c>
      <c r="I377" t="str">
        <f t="shared" si="63"/>
        <v>Male</v>
      </c>
      <c r="J377">
        <v>24</v>
      </c>
      <c r="K377">
        <f t="shared" si="64"/>
        <v>24</v>
      </c>
      <c r="L377" t="str">
        <f t="shared" si="65"/>
        <v>First level</v>
      </c>
      <c r="M377" t="s">
        <v>31</v>
      </c>
      <c r="N377" t="s">
        <v>32</v>
      </c>
      <c r="O377" t="s">
        <v>87</v>
      </c>
      <c r="P377">
        <v>3</v>
      </c>
      <c r="Q377">
        <f t="shared" si="66"/>
        <v>3</v>
      </c>
      <c r="R377" t="s">
        <v>50</v>
      </c>
      <c r="S377" s="8" t="s">
        <v>50</v>
      </c>
      <c r="T377" s="9">
        <v>30</v>
      </c>
      <c r="U377" s="9">
        <f t="shared" si="67"/>
        <v>30</v>
      </c>
      <c r="V377" s="10">
        <v>30</v>
      </c>
      <c r="W377">
        <v>2.2999999999999998</v>
      </c>
      <c r="X377" s="11">
        <f t="shared" si="68"/>
        <v>2.2999999999999998</v>
      </c>
      <c r="Y377" t="s">
        <v>2102</v>
      </c>
      <c r="Z377" t="str">
        <f t="shared" si="69"/>
        <v>No</v>
      </c>
      <c r="AA377" t="str">
        <f t="shared" si="70"/>
        <v>No</v>
      </c>
      <c r="AB377" t="str">
        <f t="shared" si="71"/>
        <v>No</v>
      </c>
      <c r="AC377" s="12">
        <v>66</v>
      </c>
      <c r="AD377" s="12">
        <f t="shared" si="72"/>
        <v>66</v>
      </c>
    </row>
    <row r="378" spans="1:30" x14ac:dyDescent="0.3">
      <c r="A378" t="s">
        <v>847</v>
      </c>
      <c r="B378" t="s">
        <v>848</v>
      </c>
      <c r="C378" t="s">
        <v>2350</v>
      </c>
      <c r="D378" t="s">
        <v>2569</v>
      </c>
      <c r="E378" t="str">
        <f t="shared" si="61"/>
        <v>Mitchell Keller</v>
      </c>
      <c r="F378" t="str">
        <f t="shared" si="62"/>
        <v>Mitchell Keller</v>
      </c>
      <c r="H378" t="s">
        <v>107</v>
      </c>
      <c r="I378" t="str">
        <f t="shared" si="63"/>
        <v>Male</v>
      </c>
      <c r="J378">
        <v>50</v>
      </c>
      <c r="K378">
        <f t="shared" si="64"/>
        <v>50</v>
      </c>
      <c r="L378" t="str">
        <f t="shared" si="65"/>
        <v>Third level</v>
      </c>
      <c r="M378" t="s">
        <v>23</v>
      </c>
      <c r="N378" t="s">
        <v>24</v>
      </c>
      <c r="O378" t="s">
        <v>33</v>
      </c>
      <c r="P378">
        <v>26</v>
      </c>
      <c r="Q378">
        <f t="shared" si="66"/>
        <v>26</v>
      </c>
      <c r="R378" t="s">
        <v>65</v>
      </c>
      <c r="S378" s="8" t="s">
        <v>65</v>
      </c>
      <c r="T378" s="9"/>
      <c r="U378" s="9">
        <f t="shared" si="67"/>
        <v>53.042328042328045</v>
      </c>
      <c r="V378" s="10">
        <v>53.042328042328045</v>
      </c>
      <c r="W378">
        <v>3.6</v>
      </c>
      <c r="X378" s="11">
        <f t="shared" si="68"/>
        <v>3.6</v>
      </c>
      <c r="Y378" t="s">
        <v>2103</v>
      </c>
      <c r="Z378" t="str">
        <f t="shared" si="69"/>
        <v>Yes</v>
      </c>
      <c r="AA378" t="str">
        <f t="shared" si="70"/>
        <v>Yes</v>
      </c>
      <c r="AB378" t="str">
        <f t="shared" si="71"/>
        <v>Yes</v>
      </c>
      <c r="AC378" s="12">
        <v>82</v>
      </c>
      <c r="AD378" s="12">
        <f t="shared" si="72"/>
        <v>82</v>
      </c>
    </row>
    <row r="379" spans="1:30" x14ac:dyDescent="0.3">
      <c r="A379" t="s">
        <v>849</v>
      </c>
      <c r="B379" t="s">
        <v>850</v>
      </c>
      <c r="C379" t="s">
        <v>2492</v>
      </c>
      <c r="D379" t="s">
        <v>2186</v>
      </c>
      <c r="E379" t="str">
        <f t="shared" si="61"/>
        <v>Mary Brown</v>
      </c>
      <c r="F379" t="str">
        <f t="shared" si="62"/>
        <v>Mary Brown</v>
      </c>
      <c r="H379" t="s">
        <v>43</v>
      </c>
      <c r="I379" t="str">
        <f t="shared" si="63"/>
        <v>Female</v>
      </c>
      <c r="J379">
        <v>23</v>
      </c>
      <c r="K379">
        <f t="shared" si="64"/>
        <v>23</v>
      </c>
      <c r="L379" t="str">
        <f t="shared" si="65"/>
        <v>First level</v>
      </c>
      <c r="M379" t="s">
        <v>31</v>
      </c>
      <c r="N379" t="s">
        <v>32</v>
      </c>
      <c r="O379" t="s">
        <v>124</v>
      </c>
      <c r="P379">
        <v>4</v>
      </c>
      <c r="Q379">
        <f t="shared" si="66"/>
        <v>4</v>
      </c>
      <c r="R379" t="s">
        <v>325</v>
      </c>
      <c r="S379" s="8" t="s">
        <v>2097</v>
      </c>
      <c r="T379" s="9">
        <v>20</v>
      </c>
      <c r="U379" s="9">
        <f t="shared" si="67"/>
        <v>20</v>
      </c>
      <c r="V379" s="10">
        <v>20</v>
      </c>
      <c r="W379">
        <v>4.7</v>
      </c>
      <c r="X379" s="11">
        <f t="shared" si="68"/>
        <v>4.7</v>
      </c>
      <c r="Y379" t="s">
        <v>2103</v>
      </c>
      <c r="Z379" t="str">
        <f t="shared" si="69"/>
        <v>Yes</v>
      </c>
      <c r="AA379" t="str">
        <f t="shared" si="70"/>
        <v>Yes</v>
      </c>
      <c r="AB379" t="str">
        <f t="shared" si="71"/>
        <v>Yes</v>
      </c>
      <c r="AC379" s="12">
        <v>84</v>
      </c>
      <c r="AD379" s="12">
        <f t="shared" si="72"/>
        <v>84</v>
      </c>
    </row>
    <row r="380" spans="1:30" x14ac:dyDescent="0.3">
      <c r="A380" t="s">
        <v>851</v>
      </c>
      <c r="B380" t="s">
        <v>852</v>
      </c>
      <c r="C380" t="s">
        <v>2260</v>
      </c>
      <c r="D380" t="s">
        <v>2527</v>
      </c>
      <c r="E380" t="str">
        <f t="shared" si="61"/>
        <v>Ronald Walls</v>
      </c>
      <c r="F380" t="str">
        <f t="shared" si="62"/>
        <v>Ronald Walls</v>
      </c>
      <c r="H380" t="s">
        <v>69</v>
      </c>
      <c r="I380" t="str">
        <f t="shared" si="63"/>
        <v>Male</v>
      </c>
      <c r="J380">
        <v>27</v>
      </c>
      <c r="K380">
        <f t="shared" si="64"/>
        <v>27</v>
      </c>
      <c r="L380" t="str">
        <f t="shared" si="65"/>
        <v>First level</v>
      </c>
      <c r="M380" t="s">
        <v>138</v>
      </c>
      <c r="N380" t="s">
        <v>24</v>
      </c>
      <c r="O380" t="s">
        <v>87</v>
      </c>
      <c r="P380">
        <v>8</v>
      </c>
      <c r="Q380">
        <f t="shared" si="66"/>
        <v>8</v>
      </c>
      <c r="R380" t="s">
        <v>151</v>
      </c>
      <c r="S380" s="8" t="s">
        <v>151</v>
      </c>
      <c r="T380" s="9">
        <v>20</v>
      </c>
      <c r="U380" s="9">
        <f t="shared" si="67"/>
        <v>20</v>
      </c>
      <c r="V380" s="10">
        <v>20</v>
      </c>
      <c r="W380">
        <v>4.8</v>
      </c>
      <c r="X380" s="11">
        <f t="shared" si="68"/>
        <v>4.8</v>
      </c>
      <c r="Y380" t="s">
        <v>2102</v>
      </c>
      <c r="Z380" t="str">
        <f t="shared" si="69"/>
        <v>No</v>
      </c>
      <c r="AA380" t="str">
        <f t="shared" si="70"/>
        <v>No</v>
      </c>
      <c r="AB380" t="str">
        <f t="shared" si="71"/>
        <v>No</v>
      </c>
      <c r="AC380" s="12">
        <v>81</v>
      </c>
      <c r="AD380" s="12">
        <f t="shared" si="72"/>
        <v>81</v>
      </c>
    </row>
    <row r="381" spans="1:30" x14ac:dyDescent="0.3">
      <c r="A381" t="s">
        <v>853</v>
      </c>
      <c r="B381" t="s">
        <v>854</v>
      </c>
      <c r="C381" t="s">
        <v>2368</v>
      </c>
      <c r="D381" t="s">
        <v>2252</v>
      </c>
      <c r="E381" t="str">
        <f t="shared" si="61"/>
        <v>Anthony Avila</v>
      </c>
      <c r="F381" t="str">
        <f t="shared" si="62"/>
        <v>Anthony Avila</v>
      </c>
      <c r="H381" t="s">
        <v>107</v>
      </c>
      <c r="I381" t="str">
        <f t="shared" si="63"/>
        <v>Male</v>
      </c>
      <c r="J381">
        <v>58</v>
      </c>
      <c r="K381">
        <f t="shared" si="64"/>
        <v>58</v>
      </c>
      <c r="L381" t="str">
        <f t="shared" si="65"/>
        <v>Fourth level</v>
      </c>
      <c r="M381" t="s">
        <v>164</v>
      </c>
      <c r="N381" t="s">
        <v>165</v>
      </c>
      <c r="O381" t="s">
        <v>49</v>
      </c>
      <c r="P381">
        <v>10</v>
      </c>
      <c r="Q381">
        <f t="shared" si="66"/>
        <v>10</v>
      </c>
      <c r="R381" t="s">
        <v>92</v>
      </c>
      <c r="S381" s="8" t="s">
        <v>92</v>
      </c>
      <c r="T381" s="9">
        <v>75</v>
      </c>
      <c r="U381" s="9">
        <f t="shared" si="67"/>
        <v>75</v>
      </c>
      <c r="V381" s="10">
        <v>75</v>
      </c>
      <c r="W381">
        <v>4.2</v>
      </c>
      <c r="X381" s="11">
        <f t="shared" si="68"/>
        <v>4.2</v>
      </c>
      <c r="Y381" t="s">
        <v>2102</v>
      </c>
      <c r="Z381" t="str">
        <f t="shared" si="69"/>
        <v>No</v>
      </c>
      <c r="AA381" t="str">
        <f t="shared" si="70"/>
        <v>No</v>
      </c>
      <c r="AB381" t="str">
        <f t="shared" si="71"/>
        <v>No</v>
      </c>
      <c r="AC381" s="12">
        <v>71</v>
      </c>
      <c r="AD381" s="12">
        <f t="shared" si="72"/>
        <v>71</v>
      </c>
    </row>
    <row r="382" spans="1:30" x14ac:dyDescent="0.3">
      <c r="A382" t="s">
        <v>855</v>
      </c>
      <c r="B382" t="s">
        <v>856</v>
      </c>
      <c r="C382" t="s">
        <v>2574</v>
      </c>
      <c r="D382" t="s">
        <v>2482</v>
      </c>
      <c r="E382" t="str">
        <f t="shared" si="61"/>
        <v>Douglas Goodwin</v>
      </c>
      <c r="F382" t="str">
        <f t="shared" si="62"/>
        <v>Douglas Goodwin</v>
      </c>
      <c r="H382" t="s">
        <v>107</v>
      </c>
      <c r="I382" t="str">
        <f t="shared" si="63"/>
        <v>Male</v>
      </c>
      <c r="J382">
        <v>37</v>
      </c>
      <c r="K382">
        <f t="shared" si="64"/>
        <v>37</v>
      </c>
      <c r="L382" t="str">
        <f t="shared" si="65"/>
        <v>Second level</v>
      </c>
      <c r="M382" t="s">
        <v>15</v>
      </c>
      <c r="N382" t="s">
        <v>16</v>
      </c>
      <c r="O382" t="s">
        <v>124</v>
      </c>
      <c r="P382">
        <v>5</v>
      </c>
      <c r="Q382">
        <f t="shared" si="66"/>
        <v>5</v>
      </c>
      <c r="R382" t="s">
        <v>65</v>
      </c>
      <c r="S382" s="8" t="s">
        <v>65</v>
      </c>
      <c r="T382" s="9"/>
      <c r="U382" s="9">
        <f t="shared" si="67"/>
        <v>53.200354609929079</v>
      </c>
      <c r="V382" s="10">
        <v>53.200354609929079</v>
      </c>
      <c r="W382">
        <v>4.8</v>
      </c>
      <c r="X382" s="11">
        <f t="shared" si="68"/>
        <v>4.8</v>
      </c>
      <c r="Y382" t="s">
        <v>2103</v>
      </c>
      <c r="Z382" t="str">
        <f t="shared" si="69"/>
        <v>Yes</v>
      </c>
      <c r="AA382" t="str">
        <f t="shared" si="70"/>
        <v>Yes</v>
      </c>
      <c r="AB382" t="str">
        <f t="shared" si="71"/>
        <v>Yes</v>
      </c>
      <c r="AC382" s="12">
        <v>61</v>
      </c>
      <c r="AD382" s="12">
        <f t="shared" si="72"/>
        <v>61</v>
      </c>
    </row>
    <row r="383" spans="1:30" x14ac:dyDescent="0.3">
      <c r="A383" t="s">
        <v>857</v>
      </c>
      <c r="B383" t="s">
        <v>858</v>
      </c>
      <c r="C383" t="s">
        <v>2143</v>
      </c>
      <c r="D383" t="s">
        <v>2575</v>
      </c>
      <c r="E383" t="str">
        <f t="shared" si="61"/>
        <v>James Mills</v>
      </c>
      <c r="F383" t="str">
        <f t="shared" si="62"/>
        <v>James Mills</v>
      </c>
      <c r="H383" t="s">
        <v>69</v>
      </c>
      <c r="I383" t="str">
        <f t="shared" si="63"/>
        <v>Male</v>
      </c>
      <c r="J383">
        <v>39</v>
      </c>
      <c r="K383">
        <f t="shared" si="64"/>
        <v>39</v>
      </c>
      <c r="L383" t="str">
        <f t="shared" si="65"/>
        <v>Second level</v>
      </c>
      <c r="M383" t="s">
        <v>201</v>
      </c>
      <c r="N383" t="s">
        <v>81</v>
      </c>
      <c r="O383" t="s">
        <v>17</v>
      </c>
      <c r="P383">
        <v>18</v>
      </c>
      <c r="Q383">
        <f t="shared" si="66"/>
        <v>18</v>
      </c>
      <c r="R383" t="s">
        <v>92</v>
      </c>
      <c r="S383" s="8" t="s">
        <v>92</v>
      </c>
      <c r="T383" s="9">
        <v>75</v>
      </c>
      <c r="U383" s="9">
        <f t="shared" si="67"/>
        <v>75</v>
      </c>
      <c r="V383" s="10">
        <v>75</v>
      </c>
      <c r="W383">
        <v>4</v>
      </c>
      <c r="X383" s="11">
        <f t="shared" si="68"/>
        <v>4</v>
      </c>
      <c r="Y383" t="s">
        <v>2103</v>
      </c>
      <c r="Z383" t="str">
        <f t="shared" si="69"/>
        <v>Yes</v>
      </c>
      <c r="AA383" t="str">
        <f t="shared" si="70"/>
        <v>Yes</v>
      </c>
      <c r="AB383" t="str">
        <f t="shared" si="71"/>
        <v>Yes</v>
      </c>
      <c r="AC383" s="12">
        <v>66</v>
      </c>
      <c r="AD383" s="12">
        <f t="shared" si="72"/>
        <v>66</v>
      </c>
    </row>
    <row r="384" spans="1:30" x14ac:dyDescent="0.3">
      <c r="A384" t="s">
        <v>859</v>
      </c>
      <c r="B384" t="s">
        <v>860</v>
      </c>
      <c r="C384" t="s">
        <v>2106</v>
      </c>
      <c r="D384" t="s">
        <v>2576</v>
      </c>
      <c r="E384" t="str">
        <f t="shared" si="61"/>
        <v>Nicole Marks</v>
      </c>
      <c r="F384" t="str">
        <f t="shared" si="62"/>
        <v>Nicole Marks</v>
      </c>
      <c r="H384" t="s">
        <v>22</v>
      </c>
      <c r="I384" t="str">
        <f t="shared" si="63"/>
        <v>Female</v>
      </c>
      <c r="J384">
        <v>46</v>
      </c>
      <c r="K384">
        <f t="shared" si="64"/>
        <v>46</v>
      </c>
      <c r="L384" t="str">
        <f t="shared" si="65"/>
        <v>Third level</v>
      </c>
      <c r="M384" t="s">
        <v>149</v>
      </c>
      <c r="N384" t="s">
        <v>150</v>
      </c>
      <c r="O384" t="s">
        <v>57</v>
      </c>
      <c r="P384">
        <v>10</v>
      </c>
      <c r="Q384">
        <f t="shared" si="66"/>
        <v>10</v>
      </c>
      <c r="R384" t="s">
        <v>131</v>
      </c>
      <c r="S384" s="8" t="s">
        <v>131</v>
      </c>
      <c r="T384" s="9">
        <v>20</v>
      </c>
      <c r="U384" s="9">
        <f t="shared" si="67"/>
        <v>20</v>
      </c>
      <c r="V384" s="10">
        <v>20</v>
      </c>
      <c r="W384">
        <v>2.5</v>
      </c>
      <c r="X384" s="11">
        <f t="shared" si="68"/>
        <v>2.5</v>
      </c>
      <c r="Y384" t="s">
        <v>2103</v>
      </c>
      <c r="Z384" t="str">
        <f t="shared" si="69"/>
        <v>Yes</v>
      </c>
      <c r="AA384" t="str">
        <f t="shared" si="70"/>
        <v>Yes</v>
      </c>
      <c r="AB384" t="str">
        <f t="shared" si="71"/>
        <v>Yes</v>
      </c>
      <c r="AC384" s="12">
        <v>97</v>
      </c>
      <c r="AD384" s="12">
        <f t="shared" si="72"/>
        <v>97</v>
      </c>
    </row>
    <row r="385" spans="1:30" x14ac:dyDescent="0.3">
      <c r="A385" t="s">
        <v>861</v>
      </c>
      <c r="B385" t="s">
        <v>862</v>
      </c>
      <c r="C385" t="s">
        <v>2577</v>
      </c>
      <c r="D385" t="s">
        <v>2578</v>
      </c>
      <c r="E385" t="str">
        <f t="shared" si="61"/>
        <v>Phyllis Dawson</v>
      </c>
      <c r="F385" t="str">
        <f t="shared" si="62"/>
        <v>Phyllis Dawson</v>
      </c>
      <c r="H385" t="s">
        <v>86</v>
      </c>
      <c r="I385" t="str">
        <f t="shared" si="63"/>
        <v>Female</v>
      </c>
      <c r="K385">
        <f t="shared" si="64"/>
        <v>40</v>
      </c>
      <c r="L385" t="str">
        <f t="shared" si="65"/>
        <v>Second level</v>
      </c>
      <c r="M385" t="s">
        <v>75</v>
      </c>
      <c r="N385" t="s">
        <v>24</v>
      </c>
      <c r="O385" t="s">
        <v>82</v>
      </c>
      <c r="P385">
        <v>0</v>
      </c>
      <c r="Q385">
        <f t="shared" si="66"/>
        <v>0</v>
      </c>
      <c r="R385" t="s">
        <v>325</v>
      </c>
      <c r="S385" s="8" t="s">
        <v>2097</v>
      </c>
      <c r="T385" s="9">
        <v>20</v>
      </c>
      <c r="U385" s="9">
        <f t="shared" si="67"/>
        <v>20</v>
      </c>
      <c r="V385" s="10">
        <v>20</v>
      </c>
      <c r="W385">
        <v>4.8</v>
      </c>
      <c r="X385" s="11">
        <f t="shared" si="68"/>
        <v>4.8</v>
      </c>
      <c r="Y385" t="s">
        <v>2102</v>
      </c>
      <c r="Z385" t="str">
        <f t="shared" si="69"/>
        <v>No</v>
      </c>
      <c r="AA385" t="str">
        <f t="shared" si="70"/>
        <v>No</v>
      </c>
      <c r="AB385" t="str">
        <f t="shared" si="71"/>
        <v>No</v>
      </c>
      <c r="AC385" s="12">
        <v>74</v>
      </c>
      <c r="AD385" s="12">
        <f t="shared" si="72"/>
        <v>74</v>
      </c>
    </row>
    <row r="386" spans="1:30" x14ac:dyDescent="0.3">
      <c r="A386" t="s">
        <v>863</v>
      </c>
      <c r="B386" t="s">
        <v>864</v>
      </c>
      <c r="C386" t="s">
        <v>2579</v>
      </c>
      <c r="D386" t="s">
        <v>2580</v>
      </c>
      <c r="E386" t="str">
        <f t="shared" si="61"/>
        <v>Renee Arnold</v>
      </c>
      <c r="F386" t="str">
        <f t="shared" si="62"/>
        <v>Renee Arnold</v>
      </c>
      <c r="H386" t="s">
        <v>86</v>
      </c>
      <c r="I386" t="str">
        <f t="shared" si="63"/>
        <v>Female</v>
      </c>
      <c r="J386">
        <v>39</v>
      </c>
      <c r="K386">
        <f t="shared" si="64"/>
        <v>39</v>
      </c>
      <c r="L386" t="str">
        <f t="shared" si="65"/>
        <v>Second level</v>
      </c>
      <c r="M386" t="s">
        <v>190</v>
      </c>
      <c r="N386" t="s">
        <v>81</v>
      </c>
      <c r="O386" t="s">
        <v>17</v>
      </c>
      <c r="P386">
        <v>21</v>
      </c>
      <c r="Q386">
        <f t="shared" si="66"/>
        <v>21</v>
      </c>
      <c r="R386" t="s">
        <v>44</v>
      </c>
      <c r="S386" s="8" t="s">
        <v>44</v>
      </c>
      <c r="T386" s="9">
        <v>30</v>
      </c>
      <c r="U386" s="9">
        <f t="shared" si="67"/>
        <v>30</v>
      </c>
      <c r="V386" s="10">
        <v>30</v>
      </c>
      <c r="W386">
        <v>4.7</v>
      </c>
      <c r="X386" s="11">
        <f t="shared" si="68"/>
        <v>4.7</v>
      </c>
      <c r="Y386" t="s">
        <v>2102</v>
      </c>
      <c r="Z386" t="str">
        <f t="shared" si="69"/>
        <v>No</v>
      </c>
      <c r="AA386" t="str">
        <f t="shared" si="70"/>
        <v>No</v>
      </c>
      <c r="AB386" t="str">
        <f t="shared" si="71"/>
        <v>No</v>
      </c>
      <c r="AC386" s="12">
        <v>61</v>
      </c>
      <c r="AD386" s="12">
        <f t="shared" si="72"/>
        <v>61</v>
      </c>
    </row>
    <row r="387" spans="1:30" x14ac:dyDescent="0.3">
      <c r="A387" t="s">
        <v>865</v>
      </c>
      <c r="B387" t="s">
        <v>866</v>
      </c>
      <c r="C387" t="s">
        <v>2118</v>
      </c>
      <c r="D387" t="s">
        <v>2538</v>
      </c>
      <c r="E387" t="str">
        <f t="shared" ref="E387:E450" si="73">CONCATENATE(C387," ",D387)</f>
        <v>Eric Robinson</v>
      </c>
      <c r="F387" t="str">
        <f t="shared" ref="F387:F450" si="74">PROPER(E387)</f>
        <v>Eric Robinson</v>
      </c>
      <c r="H387" t="s">
        <v>107</v>
      </c>
      <c r="I387" t="str">
        <f t="shared" ref="I387:I450" si="75">PROPER(H387)</f>
        <v>Male</v>
      </c>
      <c r="J387">
        <v>59</v>
      </c>
      <c r="K387">
        <f t="shared" ref="K387:K450" si="76">IF(ISBLANK(J387),ROUND(AVERAGEIF($I$2:$I$1001,I387,$J$2:$J$1001),0),J387)</f>
        <v>59</v>
      </c>
      <c r="L387" t="str">
        <f t="shared" ref="L387:L450" si="77">IF(AND(K387&gt;=20,K387&lt;=30),"First level",IF(AND(K387&gt;30,K387&lt;=40),"Second level",IF(AND(K387&gt;40,K387&lt;=50),"Third level",IF(H394&gt;50,"Fourth level"))))</f>
        <v>Fourth level</v>
      </c>
      <c r="M387" t="s">
        <v>149</v>
      </c>
      <c r="N387" t="s">
        <v>150</v>
      </c>
      <c r="O387" t="s">
        <v>17</v>
      </c>
      <c r="P387">
        <v>25</v>
      </c>
      <c r="Q387">
        <f t="shared" ref="Q387:Q450" si="78">IF(ISBLANK(P387),ROUND(AVERAGEIF($L$2:$L$1001,L387,$P$2:$P$1001),0),P387)</f>
        <v>25</v>
      </c>
      <c r="R387" t="s">
        <v>151</v>
      </c>
      <c r="S387" s="8" t="s">
        <v>151</v>
      </c>
      <c r="T387" s="9">
        <v>20</v>
      </c>
      <c r="U387" s="9">
        <f t="shared" ref="U387:U450" si="79">IF(ISBLANK(T387),AVERAGE(T386:T1386),T387)</f>
        <v>20</v>
      </c>
      <c r="V387" s="10">
        <v>20</v>
      </c>
      <c r="W387">
        <v>4</v>
      </c>
      <c r="X387" s="11">
        <f t="shared" ref="X387:X450" si="80">IF(ISBLANK(W387),AVERAGE(W387:W1386),W387)</f>
        <v>4</v>
      </c>
      <c r="Y387" t="s">
        <v>2102</v>
      </c>
      <c r="Z387" t="str">
        <f t="shared" ref="Z387:Z450" si="81">CLEAN(Y387)</f>
        <v>No</v>
      </c>
      <c r="AA387" t="str">
        <f t="shared" ref="AA387:AA450" si="82">IF(ISBLANK(Z387),"Unknown",Z387)</f>
        <v>No</v>
      </c>
      <c r="AB387" t="str">
        <f t="shared" ref="AB387:AB450" si="83">PROPER(AA387)</f>
        <v>No</v>
      </c>
      <c r="AC387" s="12">
        <v>90</v>
      </c>
      <c r="AD387" s="12">
        <f t="shared" ref="AD387:AD450" si="84">IF(ISBLANK(AC387),AVERAGE(AC387:AC1386),AC387)</f>
        <v>90</v>
      </c>
    </row>
    <row r="388" spans="1:30" x14ac:dyDescent="0.3">
      <c r="A388" t="s">
        <v>867</v>
      </c>
      <c r="B388" t="s">
        <v>868</v>
      </c>
      <c r="C388" t="s">
        <v>2266</v>
      </c>
      <c r="D388" t="s">
        <v>2186</v>
      </c>
      <c r="E388" t="str">
        <f t="shared" si="73"/>
        <v>Paul Brown</v>
      </c>
      <c r="F388" t="str">
        <f t="shared" si="74"/>
        <v>Paul Brown</v>
      </c>
      <c r="H388" t="s">
        <v>107</v>
      </c>
      <c r="I388" t="str">
        <f t="shared" si="75"/>
        <v>Male</v>
      </c>
      <c r="J388">
        <v>21</v>
      </c>
      <c r="K388">
        <f t="shared" si="76"/>
        <v>21</v>
      </c>
      <c r="L388" t="str">
        <f t="shared" si="77"/>
        <v>First level</v>
      </c>
      <c r="M388" t="s">
        <v>47</v>
      </c>
      <c r="N388" t="s">
        <v>48</v>
      </c>
      <c r="O388" t="s">
        <v>99</v>
      </c>
      <c r="P388">
        <v>0</v>
      </c>
      <c r="Q388">
        <f t="shared" si="78"/>
        <v>0</v>
      </c>
      <c r="R388" t="s">
        <v>40</v>
      </c>
      <c r="S388" s="8" t="s">
        <v>40</v>
      </c>
      <c r="T388" s="9">
        <v>40</v>
      </c>
      <c r="U388" s="9">
        <f t="shared" si="79"/>
        <v>40</v>
      </c>
      <c r="V388" s="10">
        <v>40</v>
      </c>
      <c r="W388">
        <v>4.0999999999999996</v>
      </c>
      <c r="X388" s="11">
        <f t="shared" si="80"/>
        <v>4.0999999999999996</v>
      </c>
      <c r="Y388" t="s">
        <v>2103</v>
      </c>
      <c r="Z388" t="str">
        <f t="shared" si="81"/>
        <v>Yes</v>
      </c>
      <c r="AA388" t="str">
        <f t="shared" si="82"/>
        <v>Yes</v>
      </c>
      <c r="AB388" t="str">
        <f t="shared" si="83"/>
        <v>Yes</v>
      </c>
      <c r="AC388" s="12">
        <v>97</v>
      </c>
      <c r="AD388" s="12">
        <f t="shared" si="84"/>
        <v>97</v>
      </c>
    </row>
    <row r="389" spans="1:30" x14ac:dyDescent="0.3">
      <c r="A389" t="s">
        <v>869</v>
      </c>
      <c r="B389" t="s">
        <v>870</v>
      </c>
      <c r="C389" t="s">
        <v>2452</v>
      </c>
      <c r="D389" t="s">
        <v>2581</v>
      </c>
      <c r="E389" t="str">
        <f t="shared" si="73"/>
        <v>Sarah Proctor</v>
      </c>
      <c r="F389" t="str">
        <f t="shared" si="74"/>
        <v>Sarah Proctor</v>
      </c>
      <c r="H389" t="s">
        <v>22</v>
      </c>
      <c r="I389" t="str">
        <f t="shared" si="75"/>
        <v>Female</v>
      </c>
      <c r="J389">
        <v>23</v>
      </c>
      <c r="K389">
        <f t="shared" si="76"/>
        <v>23</v>
      </c>
      <c r="L389" t="str">
        <f t="shared" si="77"/>
        <v>First level</v>
      </c>
      <c r="M389" t="s">
        <v>138</v>
      </c>
      <c r="N389" t="s">
        <v>24</v>
      </c>
      <c r="O389" t="s">
        <v>99</v>
      </c>
      <c r="P389">
        <v>5</v>
      </c>
      <c r="Q389">
        <f t="shared" si="78"/>
        <v>5</v>
      </c>
      <c r="R389" t="s">
        <v>18</v>
      </c>
      <c r="S389" s="8" t="s">
        <v>18</v>
      </c>
      <c r="T389" s="9">
        <v>100</v>
      </c>
      <c r="U389" s="9">
        <f t="shared" si="79"/>
        <v>100</v>
      </c>
      <c r="V389" s="10">
        <v>100</v>
      </c>
      <c r="W389">
        <v>3.2</v>
      </c>
      <c r="X389" s="11">
        <f t="shared" si="80"/>
        <v>3.2</v>
      </c>
      <c r="Y389" t="s">
        <v>2103</v>
      </c>
      <c r="Z389" t="str">
        <f t="shared" si="81"/>
        <v>Yes</v>
      </c>
      <c r="AA389" t="str">
        <f t="shared" si="82"/>
        <v>Yes</v>
      </c>
      <c r="AB389" t="str">
        <f t="shared" si="83"/>
        <v>Yes</v>
      </c>
      <c r="AC389" s="12"/>
      <c r="AD389" s="12">
        <f t="shared" si="84"/>
        <v>79.485265225933205</v>
      </c>
    </row>
    <row r="390" spans="1:30" x14ac:dyDescent="0.3">
      <c r="A390" t="s">
        <v>871</v>
      </c>
      <c r="B390" t="s">
        <v>872</v>
      </c>
      <c r="C390" t="s">
        <v>2124</v>
      </c>
      <c r="D390" t="s">
        <v>2582</v>
      </c>
      <c r="E390" t="str">
        <f t="shared" si="73"/>
        <v>Matthew Hicks</v>
      </c>
      <c r="F390" t="str">
        <f t="shared" si="74"/>
        <v>Matthew Hicks</v>
      </c>
      <c r="H390" t="s">
        <v>107</v>
      </c>
      <c r="I390" t="str">
        <f t="shared" si="75"/>
        <v>Male</v>
      </c>
      <c r="J390">
        <v>27</v>
      </c>
      <c r="K390">
        <f t="shared" si="76"/>
        <v>27</v>
      </c>
      <c r="L390" t="str">
        <f t="shared" si="77"/>
        <v>First level</v>
      </c>
      <c r="M390" t="s">
        <v>149</v>
      </c>
      <c r="N390" t="s">
        <v>150</v>
      </c>
      <c r="O390" t="s">
        <v>39</v>
      </c>
      <c r="P390">
        <v>1</v>
      </c>
      <c r="Q390">
        <f t="shared" si="78"/>
        <v>1</v>
      </c>
      <c r="R390" t="s">
        <v>151</v>
      </c>
      <c r="S390" s="8" t="s">
        <v>151</v>
      </c>
      <c r="T390" s="9">
        <v>20</v>
      </c>
      <c r="U390" s="9">
        <f t="shared" si="79"/>
        <v>20</v>
      </c>
      <c r="V390" s="10">
        <v>20</v>
      </c>
      <c r="W390">
        <v>4.3</v>
      </c>
      <c r="X390" s="11">
        <f t="shared" si="80"/>
        <v>4.3</v>
      </c>
      <c r="Y390" t="s">
        <v>2102</v>
      </c>
      <c r="Z390" t="str">
        <f t="shared" si="81"/>
        <v>No</v>
      </c>
      <c r="AA390" t="str">
        <f t="shared" si="82"/>
        <v>No</v>
      </c>
      <c r="AB390" t="str">
        <f t="shared" si="83"/>
        <v>No</v>
      </c>
      <c r="AC390" s="12">
        <v>76</v>
      </c>
      <c r="AD390" s="12">
        <f t="shared" si="84"/>
        <v>76</v>
      </c>
    </row>
    <row r="391" spans="1:30" x14ac:dyDescent="0.3">
      <c r="A391" t="s">
        <v>873</v>
      </c>
      <c r="B391" t="s">
        <v>874</v>
      </c>
      <c r="C391" t="s">
        <v>2308</v>
      </c>
      <c r="D391" t="s">
        <v>2377</v>
      </c>
      <c r="E391" t="str">
        <f t="shared" si="73"/>
        <v>Christopher Black</v>
      </c>
      <c r="F391" t="str">
        <f t="shared" si="74"/>
        <v>Christopher Black</v>
      </c>
      <c r="H391" t="s">
        <v>107</v>
      </c>
      <c r="I391" t="str">
        <f t="shared" si="75"/>
        <v>Male</v>
      </c>
      <c r="J391">
        <v>27</v>
      </c>
      <c r="K391">
        <f t="shared" si="76"/>
        <v>27</v>
      </c>
      <c r="L391" t="str">
        <f t="shared" si="77"/>
        <v>First level</v>
      </c>
      <c r="M391" t="s">
        <v>186</v>
      </c>
      <c r="N391" t="s">
        <v>187</v>
      </c>
      <c r="O391" t="s">
        <v>87</v>
      </c>
      <c r="P391">
        <v>4</v>
      </c>
      <c r="Q391">
        <f t="shared" si="78"/>
        <v>4</v>
      </c>
      <c r="R391" t="s">
        <v>76</v>
      </c>
      <c r="S391" s="8" t="s">
        <v>76</v>
      </c>
      <c r="T391" s="9">
        <v>40</v>
      </c>
      <c r="U391" s="9">
        <f t="shared" si="79"/>
        <v>40</v>
      </c>
      <c r="V391" s="10">
        <v>40</v>
      </c>
      <c r="W391">
        <v>4.4000000000000004</v>
      </c>
      <c r="X391" s="11">
        <f t="shared" si="80"/>
        <v>4.4000000000000004</v>
      </c>
      <c r="Y391" t="s">
        <v>2102</v>
      </c>
      <c r="Z391" t="str">
        <f t="shared" si="81"/>
        <v>No</v>
      </c>
      <c r="AA391" t="str">
        <f t="shared" si="82"/>
        <v>No</v>
      </c>
      <c r="AB391" t="str">
        <f t="shared" si="83"/>
        <v>No</v>
      </c>
      <c r="AC391" s="12">
        <v>92</v>
      </c>
      <c r="AD391" s="12">
        <f t="shared" si="84"/>
        <v>92</v>
      </c>
    </row>
    <row r="392" spans="1:30" x14ac:dyDescent="0.3">
      <c r="A392" t="s">
        <v>875</v>
      </c>
      <c r="B392" t="s">
        <v>876</v>
      </c>
      <c r="C392" t="s">
        <v>2583</v>
      </c>
      <c r="D392" t="s">
        <v>2412</v>
      </c>
      <c r="E392" t="str">
        <f t="shared" si="73"/>
        <v>Joanne Reyes</v>
      </c>
      <c r="F392" t="str">
        <f t="shared" si="74"/>
        <v>Joanne Reyes</v>
      </c>
      <c r="H392" t="s">
        <v>86</v>
      </c>
      <c r="I392" t="str">
        <f t="shared" si="75"/>
        <v>Female</v>
      </c>
      <c r="J392">
        <v>48</v>
      </c>
      <c r="K392">
        <f t="shared" si="76"/>
        <v>48</v>
      </c>
      <c r="L392" t="str">
        <f t="shared" si="77"/>
        <v>Third level</v>
      </c>
      <c r="M392" t="s">
        <v>164</v>
      </c>
      <c r="N392" t="s">
        <v>165</v>
      </c>
      <c r="O392" t="s">
        <v>57</v>
      </c>
      <c r="P392">
        <v>21</v>
      </c>
      <c r="Q392">
        <f t="shared" si="78"/>
        <v>21</v>
      </c>
      <c r="R392" t="s">
        <v>76</v>
      </c>
      <c r="S392" s="8" t="s">
        <v>76</v>
      </c>
      <c r="T392" s="9">
        <v>40</v>
      </c>
      <c r="U392" s="9">
        <f t="shared" si="79"/>
        <v>40</v>
      </c>
      <c r="V392" s="10">
        <v>40</v>
      </c>
      <c r="W392">
        <v>2.2999999999999998</v>
      </c>
      <c r="X392" s="11">
        <f t="shared" si="80"/>
        <v>2.2999999999999998</v>
      </c>
      <c r="Y392" t="s">
        <v>2102</v>
      </c>
      <c r="Z392" t="str">
        <f t="shared" si="81"/>
        <v>No</v>
      </c>
      <c r="AA392" t="str">
        <f t="shared" si="82"/>
        <v>No</v>
      </c>
      <c r="AB392" t="str">
        <f t="shared" si="83"/>
        <v>No</v>
      </c>
      <c r="AC392" s="12"/>
      <c r="AD392" s="12">
        <f t="shared" si="84"/>
        <v>79.467455621301781</v>
      </c>
    </row>
    <row r="393" spans="1:30" x14ac:dyDescent="0.3">
      <c r="A393" t="s">
        <v>877</v>
      </c>
      <c r="B393" t="s">
        <v>878</v>
      </c>
      <c r="C393" t="s">
        <v>2584</v>
      </c>
      <c r="D393" t="s">
        <v>2443</v>
      </c>
      <c r="E393" t="str">
        <f t="shared" si="73"/>
        <v>Isaac Gray</v>
      </c>
      <c r="F393" t="str">
        <f t="shared" si="74"/>
        <v>Isaac Gray</v>
      </c>
      <c r="H393" t="s">
        <v>69</v>
      </c>
      <c r="I393" t="str">
        <f t="shared" si="75"/>
        <v>Male</v>
      </c>
      <c r="J393">
        <v>21</v>
      </c>
      <c r="K393">
        <f t="shared" si="76"/>
        <v>21</v>
      </c>
      <c r="L393" t="str">
        <f t="shared" si="77"/>
        <v>First level</v>
      </c>
      <c r="M393" t="s">
        <v>164</v>
      </c>
      <c r="N393" t="s">
        <v>165</v>
      </c>
      <c r="O393" t="s">
        <v>49</v>
      </c>
      <c r="P393">
        <v>1</v>
      </c>
      <c r="Q393">
        <f t="shared" si="78"/>
        <v>1</v>
      </c>
      <c r="R393" t="s">
        <v>131</v>
      </c>
      <c r="S393" s="8" t="s">
        <v>131</v>
      </c>
      <c r="T393" s="9">
        <v>20</v>
      </c>
      <c r="U393" s="9">
        <f t="shared" si="79"/>
        <v>20</v>
      </c>
      <c r="V393" s="10">
        <v>20</v>
      </c>
      <c r="W393">
        <v>2.4</v>
      </c>
      <c r="X393" s="11">
        <f t="shared" si="80"/>
        <v>2.4</v>
      </c>
      <c r="Y393" t="s">
        <v>2103</v>
      </c>
      <c r="Z393" t="str">
        <f t="shared" si="81"/>
        <v>Yes</v>
      </c>
      <c r="AA393" t="str">
        <f t="shared" si="82"/>
        <v>Yes</v>
      </c>
      <c r="AB393" t="str">
        <f t="shared" si="83"/>
        <v>Yes</v>
      </c>
      <c r="AC393" s="12">
        <v>66</v>
      </c>
      <c r="AD393" s="12">
        <f t="shared" si="84"/>
        <v>66</v>
      </c>
    </row>
    <row r="394" spans="1:30" x14ac:dyDescent="0.3">
      <c r="A394" t="s">
        <v>879</v>
      </c>
      <c r="B394" t="s">
        <v>880</v>
      </c>
      <c r="C394" t="s">
        <v>2327</v>
      </c>
      <c r="D394" t="s">
        <v>2423</v>
      </c>
      <c r="E394" t="str">
        <f t="shared" si="73"/>
        <v>Joshua Roberts</v>
      </c>
      <c r="F394" t="str">
        <f t="shared" si="74"/>
        <v>Joshua Roberts</v>
      </c>
      <c r="H394" t="s">
        <v>107</v>
      </c>
      <c r="I394" t="str">
        <f t="shared" si="75"/>
        <v>Male</v>
      </c>
      <c r="J394">
        <v>37</v>
      </c>
      <c r="K394">
        <f t="shared" si="76"/>
        <v>37</v>
      </c>
      <c r="L394" t="str">
        <f t="shared" si="77"/>
        <v>Second level</v>
      </c>
      <c r="M394" t="s">
        <v>15</v>
      </c>
      <c r="N394" t="s">
        <v>16</v>
      </c>
      <c r="O394" t="s">
        <v>99</v>
      </c>
      <c r="Q394">
        <f t="shared" si="78"/>
        <v>9</v>
      </c>
      <c r="R394" t="s">
        <v>34</v>
      </c>
      <c r="S394" s="8" t="s">
        <v>34</v>
      </c>
      <c r="T394" s="9">
        <v>50</v>
      </c>
      <c r="U394" s="9">
        <f t="shared" si="79"/>
        <v>50</v>
      </c>
      <c r="V394" s="10">
        <v>50</v>
      </c>
      <c r="W394">
        <v>4.5999999999999996</v>
      </c>
      <c r="X394" s="11">
        <f t="shared" si="80"/>
        <v>4.5999999999999996</v>
      </c>
      <c r="Y394" t="s">
        <v>2102</v>
      </c>
      <c r="Z394" t="str">
        <f t="shared" si="81"/>
        <v>No</v>
      </c>
      <c r="AA394" t="str">
        <f t="shared" si="82"/>
        <v>No</v>
      </c>
      <c r="AB394" t="str">
        <f t="shared" si="83"/>
        <v>No</v>
      </c>
      <c r="AC394" s="12">
        <v>83</v>
      </c>
      <c r="AD394" s="12">
        <f t="shared" si="84"/>
        <v>83</v>
      </c>
    </row>
    <row r="395" spans="1:30" x14ac:dyDescent="0.3">
      <c r="A395" t="s">
        <v>881</v>
      </c>
      <c r="B395" t="s">
        <v>882</v>
      </c>
      <c r="C395" t="s">
        <v>2287</v>
      </c>
      <c r="D395" t="s">
        <v>2585</v>
      </c>
      <c r="E395" t="str">
        <f t="shared" si="73"/>
        <v>Elizabeth Estrada</v>
      </c>
      <c r="F395" t="str">
        <f t="shared" si="74"/>
        <v>Elizabeth Estrada</v>
      </c>
      <c r="H395" t="s">
        <v>86</v>
      </c>
      <c r="I395" t="str">
        <f t="shared" si="75"/>
        <v>Female</v>
      </c>
      <c r="J395">
        <v>31</v>
      </c>
      <c r="K395">
        <f t="shared" si="76"/>
        <v>31</v>
      </c>
      <c r="L395" t="str">
        <f t="shared" si="77"/>
        <v>Second level</v>
      </c>
      <c r="M395" t="s">
        <v>31</v>
      </c>
      <c r="N395" t="s">
        <v>32</v>
      </c>
      <c r="O395" t="s">
        <v>82</v>
      </c>
      <c r="P395">
        <v>10</v>
      </c>
      <c r="Q395">
        <f t="shared" si="78"/>
        <v>10</v>
      </c>
      <c r="R395" t="s">
        <v>34</v>
      </c>
      <c r="S395" s="8" t="s">
        <v>34</v>
      </c>
      <c r="T395" s="9">
        <v>50</v>
      </c>
      <c r="U395" s="9">
        <f t="shared" si="79"/>
        <v>50</v>
      </c>
      <c r="V395" s="10">
        <v>50</v>
      </c>
      <c r="W395">
        <v>0</v>
      </c>
      <c r="X395" s="11">
        <f t="shared" si="80"/>
        <v>0</v>
      </c>
      <c r="Y395" t="s">
        <v>170</v>
      </c>
      <c r="Z395" t="str">
        <f t="shared" si="81"/>
        <v>no</v>
      </c>
      <c r="AA395" t="str">
        <f t="shared" si="82"/>
        <v>no</v>
      </c>
      <c r="AB395" t="str">
        <f t="shared" si="83"/>
        <v>No</v>
      </c>
      <c r="AC395" s="12"/>
      <c r="AD395" s="12">
        <f t="shared" si="84"/>
        <v>79.487128712871282</v>
      </c>
    </row>
    <row r="396" spans="1:30" x14ac:dyDescent="0.3">
      <c r="A396" t="s">
        <v>883</v>
      </c>
      <c r="B396" t="s">
        <v>884</v>
      </c>
      <c r="C396" t="s">
        <v>2160</v>
      </c>
      <c r="D396" t="s">
        <v>2347</v>
      </c>
      <c r="E396" t="str">
        <f t="shared" si="73"/>
        <v>Lori Malone</v>
      </c>
      <c r="F396" t="str">
        <f t="shared" si="74"/>
        <v>Lori Malone</v>
      </c>
      <c r="H396" t="s">
        <v>86</v>
      </c>
      <c r="I396" t="str">
        <f t="shared" si="75"/>
        <v>Female</v>
      </c>
      <c r="J396">
        <v>41</v>
      </c>
      <c r="K396">
        <f t="shared" si="76"/>
        <v>41</v>
      </c>
      <c r="L396" t="str">
        <f t="shared" si="77"/>
        <v>Third level</v>
      </c>
      <c r="M396" t="s">
        <v>149</v>
      </c>
      <c r="N396" t="s">
        <v>150</v>
      </c>
      <c r="O396" t="s">
        <v>17</v>
      </c>
      <c r="P396">
        <v>21</v>
      </c>
      <c r="Q396">
        <f t="shared" si="78"/>
        <v>21</v>
      </c>
      <c r="R396" t="s">
        <v>65</v>
      </c>
      <c r="S396" s="8" t="s">
        <v>65</v>
      </c>
      <c r="T396" s="9"/>
      <c r="U396" s="9">
        <f t="shared" si="79"/>
        <v>53.457350272232304</v>
      </c>
      <c r="V396" s="10">
        <v>53.457350272232304</v>
      </c>
      <c r="W396">
        <v>0</v>
      </c>
      <c r="X396" s="11">
        <f t="shared" si="80"/>
        <v>0</v>
      </c>
      <c r="Y396" t="s">
        <v>2103</v>
      </c>
      <c r="Z396" t="str">
        <f t="shared" si="81"/>
        <v>Yes</v>
      </c>
      <c r="AA396" t="str">
        <f t="shared" si="82"/>
        <v>Yes</v>
      </c>
      <c r="AB396" t="str">
        <f t="shared" si="83"/>
        <v>Yes</v>
      </c>
      <c r="AC396" s="12"/>
      <c r="AD396" s="12">
        <f t="shared" si="84"/>
        <v>79.487128712871282</v>
      </c>
    </row>
    <row r="397" spans="1:30" x14ac:dyDescent="0.3">
      <c r="A397" t="s">
        <v>885</v>
      </c>
      <c r="B397" t="s">
        <v>886</v>
      </c>
      <c r="C397" t="s">
        <v>2368</v>
      </c>
      <c r="D397" t="s">
        <v>2586</v>
      </c>
      <c r="E397" t="str">
        <f t="shared" si="73"/>
        <v>Anthony Huynh</v>
      </c>
      <c r="F397" t="str">
        <f t="shared" si="74"/>
        <v>Anthony Huynh</v>
      </c>
      <c r="H397" t="s">
        <v>30</v>
      </c>
      <c r="I397" t="str">
        <f t="shared" si="75"/>
        <v>Male</v>
      </c>
      <c r="J397">
        <v>31</v>
      </c>
      <c r="K397">
        <f t="shared" si="76"/>
        <v>31</v>
      </c>
      <c r="L397" t="str">
        <f t="shared" si="77"/>
        <v>Second level</v>
      </c>
      <c r="M397" t="s">
        <v>134</v>
      </c>
      <c r="N397" t="s">
        <v>135</v>
      </c>
      <c r="O397" t="s">
        <v>87</v>
      </c>
      <c r="P397">
        <v>0</v>
      </c>
      <c r="Q397">
        <f t="shared" si="78"/>
        <v>0</v>
      </c>
      <c r="R397" t="s">
        <v>131</v>
      </c>
      <c r="S397" s="8" t="s">
        <v>131</v>
      </c>
      <c r="T397" s="9">
        <v>20</v>
      </c>
      <c r="U397" s="9">
        <f t="shared" si="79"/>
        <v>20</v>
      </c>
      <c r="V397" s="10">
        <v>20</v>
      </c>
      <c r="W397">
        <v>4.2</v>
      </c>
      <c r="X397" s="11">
        <f t="shared" si="80"/>
        <v>4.2</v>
      </c>
      <c r="Y397" t="s">
        <v>2103</v>
      </c>
      <c r="Z397" t="str">
        <f t="shared" si="81"/>
        <v>Yes</v>
      </c>
      <c r="AA397" t="str">
        <f t="shared" si="82"/>
        <v>Yes</v>
      </c>
      <c r="AB397" t="str">
        <f t="shared" si="83"/>
        <v>Yes</v>
      </c>
      <c r="AC397" s="12">
        <v>82</v>
      </c>
      <c r="AD397" s="12">
        <f t="shared" si="84"/>
        <v>82</v>
      </c>
    </row>
    <row r="398" spans="1:30" x14ac:dyDescent="0.3">
      <c r="A398" t="s">
        <v>887</v>
      </c>
      <c r="B398" t="s">
        <v>888</v>
      </c>
      <c r="C398" t="s">
        <v>2587</v>
      </c>
      <c r="D398" t="s">
        <v>2588</v>
      </c>
      <c r="E398" t="str">
        <f t="shared" si="73"/>
        <v>Mindy York</v>
      </c>
      <c r="F398" t="str">
        <f t="shared" si="74"/>
        <v>Mindy York</v>
      </c>
      <c r="H398" t="s">
        <v>22</v>
      </c>
      <c r="I398" t="str">
        <f t="shared" si="75"/>
        <v>Female</v>
      </c>
      <c r="J398">
        <v>58</v>
      </c>
      <c r="K398">
        <f t="shared" si="76"/>
        <v>58</v>
      </c>
      <c r="L398" t="str">
        <f t="shared" si="77"/>
        <v>Fourth level</v>
      </c>
      <c r="M398" t="s">
        <v>80</v>
      </c>
      <c r="N398" t="s">
        <v>81</v>
      </c>
      <c r="O398" t="s">
        <v>57</v>
      </c>
      <c r="P398">
        <v>0</v>
      </c>
      <c r="Q398">
        <f t="shared" si="78"/>
        <v>0</v>
      </c>
      <c r="R398" t="s">
        <v>34</v>
      </c>
      <c r="S398" s="8" t="s">
        <v>34</v>
      </c>
      <c r="T398" s="9">
        <v>50</v>
      </c>
      <c r="U398" s="9">
        <f t="shared" si="79"/>
        <v>50</v>
      </c>
      <c r="V398" s="10">
        <v>50</v>
      </c>
      <c r="W398">
        <v>2.2999999999999998</v>
      </c>
      <c r="X398" s="11">
        <f t="shared" si="80"/>
        <v>2.2999999999999998</v>
      </c>
      <c r="Y398" t="s">
        <v>2102</v>
      </c>
      <c r="Z398" t="str">
        <f t="shared" si="81"/>
        <v>No</v>
      </c>
      <c r="AA398" t="str">
        <f t="shared" si="82"/>
        <v>No</v>
      </c>
      <c r="AB398" t="str">
        <f t="shared" si="83"/>
        <v>No</v>
      </c>
      <c r="AC398" s="12">
        <v>77</v>
      </c>
      <c r="AD398" s="12">
        <f t="shared" si="84"/>
        <v>77</v>
      </c>
    </row>
    <row r="399" spans="1:30" x14ac:dyDescent="0.3">
      <c r="A399" t="s">
        <v>889</v>
      </c>
      <c r="B399" t="s">
        <v>890</v>
      </c>
      <c r="C399" t="s">
        <v>2215</v>
      </c>
      <c r="D399" t="s">
        <v>2144</v>
      </c>
      <c r="E399" t="str">
        <f t="shared" si="73"/>
        <v>Christine Cherry</v>
      </c>
      <c r="F399" t="str">
        <f t="shared" si="74"/>
        <v>Christine Cherry</v>
      </c>
      <c r="H399" t="s">
        <v>86</v>
      </c>
      <c r="I399" t="str">
        <f t="shared" si="75"/>
        <v>Female</v>
      </c>
      <c r="J399">
        <v>45</v>
      </c>
      <c r="K399">
        <f t="shared" si="76"/>
        <v>45</v>
      </c>
      <c r="L399" t="str">
        <f t="shared" si="77"/>
        <v>Third level</v>
      </c>
      <c r="M399" t="s">
        <v>47</v>
      </c>
      <c r="N399" t="s">
        <v>48</v>
      </c>
      <c r="O399" t="s">
        <v>57</v>
      </c>
      <c r="P399">
        <v>17</v>
      </c>
      <c r="Q399">
        <f t="shared" si="78"/>
        <v>17</v>
      </c>
      <c r="R399" t="s">
        <v>72</v>
      </c>
      <c r="S399" s="8" t="s">
        <v>72</v>
      </c>
      <c r="T399" s="9">
        <v>50</v>
      </c>
      <c r="U399" s="9">
        <f t="shared" si="79"/>
        <v>50</v>
      </c>
      <c r="V399" s="10">
        <v>50</v>
      </c>
      <c r="W399">
        <v>4.7</v>
      </c>
      <c r="X399" s="11">
        <f t="shared" si="80"/>
        <v>4.7</v>
      </c>
      <c r="Y399" t="s">
        <v>2103</v>
      </c>
      <c r="Z399" t="str">
        <f t="shared" si="81"/>
        <v>Yes</v>
      </c>
      <c r="AA399" t="str">
        <f t="shared" si="82"/>
        <v>Yes</v>
      </c>
      <c r="AB399" t="str">
        <f t="shared" si="83"/>
        <v>Yes</v>
      </c>
      <c r="AC399" s="12">
        <v>73</v>
      </c>
      <c r="AD399" s="12">
        <f t="shared" si="84"/>
        <v>73</v>
      </c>
    </row>
    <row r="400" spans="1:30" x14ac:dyDescent="0.3">
      <c r="A400" t="s">
        <v>891</v>
      </c>
      <c r="B400" t="s">
        <v>892</v>
      </c>
      <c r="C400" t="s">
        <v>2447</v>
      </c>
      <c r="D400" t="s">
        <v>2210</v>
      </c>
      <c r="E400" t="str">
        <f t="shared" si="73"/>
        <v>Daniel Foster</v>
      </c>
      <c r="F400" t="str">
        <f t="shared" si="74"/>
        <v>Daniel Foster</v>
      </c>
      <c r="H400" t="s">
        <v>107</v>
      </c>
      <c r="I400" t="str">
        <f t="shared" si="75"/>
        <v>Male</v>
      </c>
      <c r="J400">
        <v>51</v>
      </c>
      <c r="K400">
        <f t="shared" si="76"/>
        <v>51</v>
      </c>
      <c r="L400" t="str">
        <f t="shared" si="77"/>
        <v>Fourth level</v>
      </c>
      <c r="M400" t="s">
        <v>122</v>
      </c>
      <c r="N400" t="s">
        <v>123</v>
      </c>
      <c r="O400" t="s">
        <v>87</v>
      </c>
      <c r="P400">
        <v>5</v>
      </c>
      <c r="Q400">
        <f t="shared" si="78"/>
        <v>5</v>
      </c>
      <c r="R400" t="s">
        <v>65</v>
      </c>
      <c r="S400" s="8" t="s">
        <v>65</v>
      </c>
      <c r="T400" s="9"/>
      <c r="U400" s="9">
        <f t="shared" si="79"/>
        <v>53.53102189781022</v>
      </c>
      <c r="V400" s="10">
        <v>53.53102189781022</v>
      </c>
      <c r="W400">
        <v>3</v>
      </c>
      <c r="X400" s="11">
        <f t="shared" si="80"/>
        <v>3</v>
      </c>
      <c r="Y400" t="s">
        <v>2103</v>
      </c>
      <c r="Z400" t="str">
        <f t="shared" si="81"/>
        <v>Yes</v>
      </c>
      <c r="AA400" t="str">
        <f t="shared" si="82"/>
        <v>Yes</v>
      </c>
      <c r="AB400" t="str">
        <f t="shared" si="83"/>
        <v>Yes</v>
      </c>
      <c r="AC400" s="12">
        <v>88</v>
      </c>
      <c r="AD400" s="12">
        <f t="shared" si="84"/>
        <v>88</v>
      </c>
    </row>
    <row r="401" spans="1:30" x14ac:dyDescent="0.3">
      <c r="A401" t="s">
        <v>893</v>
      </c>
      <c r="B401" t="s">
        <v>894</v>
      </c>
      <c r="C401" t="s">
        <v>2273</v>
      </c>
      <c r="D401" t="s">
        <v>2589</v>
      </c>
      <c r="E401" t="str">
        <f t="shared" si="73"/>
        <v>David Valencia</v>
      </c>
      <c r="F401" t="str">
        <f t="shared" si="74"/>
        <v>David Valencia</v>
      </c>
      <c r="H401" t="s">
        <v>69</v>
      </c>
      <c r="I401" t="str">
        <f t="shared" si="75"/>
        <v>Male</v>
      </c>
      <c r="J401">
        <v>54</v>
      </c>
      <c r="K401">
        <f t="shared" si="76"/>
        <v>54</v>
      </c>
      <c r="L401" t="str">
        <f t="shared" si="77"/>
        <v>Fourth level</v>
      </c>
      <c r="M401" t="s">
        <v>64</v>
      </c>
      <c r="N401" t="s">
        <v>24</v>
      </c>
      <c r="O401" t="s">
        <v>82</v>
      </c>
      <c r="P401">
        <v>3</v>
      </c>
      <c r="Q401">
        <f t="shared" si="78"/>
        <v>3</v>
      </c>
      <c r="R401" t="s">
        <v>119</v>
      </c>
      <c r="S401" s="8" t="s">
        <v>2096</v>
      </c>
      <c r="T401" s="9">
        <v>30</v>
      </c>
      <c r="U401" s="9">
        <f t="shared" si="79"/>
        <v>30</v>
      </c>
      <c r="V401" s="10">
        <v>30</v>
      </c>
      <c r="W401">
        <v>2.4</v>
      </c>
      <c r="X401" s="11">
        <f t="shared" si="80"/>
        <v>2.4</v>
      </c>
      <c r="Y401" t="s">
        <v>2102</v>
      </c>
      <c r="Z401" t="str">
        <f t="shared" si="81"/>
        <v>No</v>
      </c>
      <c r="AA401" t="str">
        <f t="shared" si="82"/>
        <v>No</v>
      </c>
      <c r="AB401" t="str">
        <f t="shared" si="83"/>
        <v>No</v>
      </c>
      <c r="AC401" s="12">
        <v>81</v>
      </c>
      <c r="AD401" s="12">
        <f t="shared" si="84"/>
        <v>81</v>
      </c>
    </row>
    <row r="402" spans="1:30" x14ac:dyDescent="0.3">
      <c r="A402" t="s">
        <v>895</v>
      </c>
      <c r="B402" t="s">
        <v>896</v>
      </c>
      <c r="C402" t="s">
        <v>2590</v>
      </c>
      <c r="D402" t="s">
        <v>2591</v>
      </c>
      <c r="E402" t="str">
        <f t="shared" si="73"/>
        <v>Ethan Adams</v>
      </c>
      <c r="F402" t="str">
        <f t="shared" si="74"/>
        <v>Ethan Adams</v>
      </c>
      <c r="H402" t="s">
        <v>107</v>
      </c>
      <c r="I402" t="str">
        <f t="shared" si="75"/>
        <v>Male</v>
      </c>
      <c r="J402">
        <v>22</v>
      </c>
      <c r="K402">
        <f t="shared" si="76"/>
        <v>22</v>
      </c>
      <c r="L402" t="str">
        <f t="shared" si="77"/>
        <v>First level</v>
      </c>
      <c r="M402" t="s">
        <v>134</v>
      </c>
      <c r="N402" t="s">
        <v>135</v>
      </c>
      <c r="O402" t="s">
        <v>57</v>
      </c>
      <c r="P402">
        <v>1</v>
      </c>
      <c r="Q402">
        <f t="shared" si="78"/>
        <v>1</v>
      </c>
      <c r="R402" t="s">
        <v>151</v>
      </c>
      <c r="S402" s="8" t="s">
        <v>151</v>
      </c>
      <c r="T402" s="9">
        <v>20</v>
      </c>
      <c r="U402" s="9">
        <f t="shared" si="79"/>
        <v>20</v>
      </c>
      <c r="V402" s="10">
        <v>20</v>
      </c>
      <c r="W402">
        <v>1.7</v>
      </c>
      <c r="X402" s="11">
        <f t="shared" si="80"/>
        <v>1.7</v>
      </c>
      <c r="Y402" t="s">
        <v>2102</v>
      </c>
      <c r="Z402" t="str">
        <f t="shared" si="81"/>
        <v>No</v>
      </c>
      <c r="AA402" t="str">
        <f t="shared" si="82"/>
        <v>No</v>
      </c>
      <c r="AB402" t="str">
        <f t="shared" si="83"/>
        <v>No</v>
      </c>
      <c r="AC402" s="12">
        <v>78</v>
      </c>
      <c r="AD402" s="12">
        <f t="shared" si="84"/>
        <v>78</v>
      </c>
    </row>
    <row r="403" spans="1:30" x14ac:dyDescent="0.3">
      <c r="A403" t="s">
        <v>897</v>
      </c>
      <c r="B403" t="s">
        <v>898</v>
      </c>
      <c r="C403" t="s">
        <v>2592</v>
      </c>
      <c r="D403" t="s">
        <v>2415</v>
      </c>
      <c r="E403" t="str">
        <f t="shared" si="73"/>
        <v>Brett Moore</v>
      </c>
      <c r="F403" t="str">
        <f t="shared" si="74"/>
        <v>Brett Moore</v>
      </c>
      <c r="H403" t="s">
        <v>107</v>
      </c>
      <c r="I403" t="str">
        <f t="shared" si="75"/>
        <v>Male</v>
      </c>
      <c r="J403">
        <v>36</v>
      </c>
      <c r="K403">
        <f t="shared" si="76"/>
        <v>36</v>
      </c>
      <c r="L403" t="str">
        <f t="shared" si="77"/>
        <v>Second level</v>
      </c>
      <c r="M403" t="s">
        <v>70</v>
      </c>
      <c r="N403" t="s">
        <v>71</v>
      </c>
      <c r="O403" t="s">
        <v>87</v>
      </c>
      <c r="P403">
        <v>2</v>
      </c>
      <c r="Q403">
        <f t="shared" si="78"/>
        <v>2</v>
      </c>
      <c r="R403" t="s">
        <v>92</v>
      </c>
      <c r="S403" s="8" t="s">
        <v>92</v>
      </c>
      <c r="T403" s="9">
        <v>75</v>
      </c>
      <c r="U403" s="9">
        <f t="shared" si="79"/>
        <v>75</v>
      </c>
      <c r="V403" s="10">
        <v>75</v>
      </c>
      <c r="W403">
        <v>0</v>
      </c>
      <c r="X403" s="11">
        <f t="shared" si="80"/>
        <v>0</v>
      </c>
      <c r="Y403" t="s">
        <v>2102</v>
      </c>
      <c r="Z403" t="str">
        <f t="shared" si="81"/>
        <v>No</v>
      </c>
      <c r="AA403" t="str">
        <f t="shared" si="82"/>
        <v>No</v>
      </c>
      <c r="AB403" t="str">
        <f t="shared" si="83"/>
        <v>No</v>
      </c>
      <c r="AC403" s="12">
        <v>92</v>
      </c>
      <c r="AD403" s="12">
        <f t="shared" si="84"/>
        <v>92</v>
      </c>
    </row>
    <row r="404" spans="1:30" x14ac:dyDescent="0.3">
      <c r="A404" t="s">
        <v>899</v>
      </c>
      <c r="B404" t="s">
        <v>900</v>
      </c>
      <c r="C404" t="s">
        <v>2131</v>
      </c>
      <c r="D404" t="s">
        <v>2194</v>
      </c>
      <c r="E404" t="str">
        <f t="shared" si="73"/>
        <v>Phillip Griffin</v>
      </c>
      <c r="F404" t="str">
        <f t="shared" si="74"/>
        <v>Phillip Griffin</v>
      </c>
      <c r="H404" t="s">
        <v>69</v>
      </c>
      <c r="I404" t="str">
        <f t="shared" si="75"/>
        <v>Male</v>
      </c>
      <c r="J404">
        <v>50</v>
      </c>
      <c r="K404">
        <f t="shared" si="76"/>
        <v>50</v>
      </c>
      <c r="L404" t="str">
        <f t="shared" si="77"/>
        <v>Third level</v>
      </c>
      <c r="M404" t="s">
        <v>31</v>
      </c>
      <c r="N404" t="s">
        <v>32</v>
      </c>
      <c r="O404" t="s">
        <v>99</v>
      </c>
      <c r="P404">
        <v>32</v>
      </c>
      <c r="Q404">
        <f t="shared" si="78"/>
        <v>32</v>
      </c>
      <c r="R404" t="s">
        <v>50</v>
      </c>
      <c r="S404" s="8" t="s">
        <v>50</v>
      </c>
      <c r="T404" s="9">
        <v>30</v>
      </c>
      <c r="U404" s="9">
        <f t="shared" si="79"/>
        <v>30</v>
      </c>
      <c r="V404" s="10">
        <v>30</v>
      </c>
      <c r="X404" s="11">
        <f t="shared" si="80"/>
        <v>2.5241573033707856</v>
      </c>
      <c r="Y404" t="s">
        <v>2102</v>
      </c>
      <c r="Z404" t="str">
        <f t="shared" si="81"/>
        <v>No</v>
      </c>
      <c r="AA404" t="str">
        <f t="shared" si="82"/>
        <v>No</v>
      </c>
      <c r="AB404" t="str">
        <f t="shared" si="83"/>
        <v>No</v>
      </c>
      <c r="AC404" s="12">
        <v>64</v>
      </c>
      <c r="AD404" s="12">
        <f t="shared" si="84"/>
        <v>64</v>
      </c>
    </row>
    <row r="405" spans="1:30" x14ac:dyDescent="0.3">
      <c r="A405" t="s">
        <v>901</v>
      </c>
      <c r="B405" t="s">
        <v>902</v>
      </c>
      <c r="C405" t="s">
        <v>2593</v>
      </c>
      <c r="D405" t="s">
        <v>2594</v>
      </c>
      <c r="E405" t="str">
        <f t="shared" si="73"/>
        <v>Stacie Wall</v>
      </c>
      <c r="F405" t="str">
        <f t="shared" si="74"/>
        <v>Stacie Wall</v>
      </c>
      <c r="H405" t="s">
        <v>86</v>
      </c>
      <c r="I405" t="str">
        <f t="shared" si="75"/>
        <v>Female</v>
      </c>
      <c r="J405">
        <v>41</v>
      </c>
      <c r="K405">
        <f t="shared" si="76"/>
        <v>41</v>
      </c>
      <c r="L405" t="str">
        <f t="shared" si="77"/>
        <v>Third level</v>
      </c>
      <c r="M405" t="s">
        <v>23</v>
      </c>
      <c r="N405" t="s">
        <v>24</v>
      </c>
      <c r="O405" t="s">
        <v>17</v>
      </c>
      <c r="P405">
        <v>14</v>
      </c>
      <c r="Q405">
        <f t="shared" si="78"/>
        <v>14</v>
      </c>
      <c r="R405" t="s">
        <v>44</v>
      </c>
      <c r="S405" s="8" t="s">
        <v>44</v>
      </c>
      <c r="T405" s="9">
        <v>30</v>
      </c>
      <c r="U405" s="9">
        <f t="shared" si="79"/>
        <v>30</v>
      </c>
      <c r="V405" s="10">
        <v>30</v>
      </c>
      <c r="W405">
        <v>0</v>
      </c>
      <c r="X405" s="11">
        <f t="shared" si="80"/>
        <v>0</v>
      </c>
      <c r="Y405" t="s">
        <v>2103</v>
      </c>
      <c r="Z405" t="str">
        <f t="shared" si="81"/>
        <v>Yes</v>
      </c>
      <c r="AA405" t="str">
        <f t="shared" si="82"/>
        <v>Yes</v>
      </c>
      <c r="AB405" t="str">
        <f t="shared" si="83"/>
        <v>Yes</v>
      </c>
      <c r="AC405" s="12">
        <v>78</v>
      </c>
      <c r="AD405" s="12">
        <f t="shared" si="84"/>
        <v>78</v>
      </c>
    </row>
    <row r="406" spans="1:30" x14ac:dyDescent="0.3">
      <c r="A406" t="s">
        <v>903</v>
      </c>
      <c r="B406" t="s">
        <v>904</v>
      </c>
      <c r="C406" t="s">
        <v>2418</v>
      </c>
      <c r="D406" t="s">
        <v>2254</v>
      </c>
      <c r="E406" t="str">
        <f t="shared" si="73"/>
        <v>Jacob Austin</v>
      </c>
      <c r="F406" t="str">
        <f t="shared" si="74"/>
        <v>Jacob Austin</v>
      </c>
      <c r="H406" t="s">
        <v>107</v>
      </c>
      <c r="I406" t="str">
        <f t="shared" si="75"/>
        <v>Male</v>
      </c>
      <c r="K406">
        <f t="shared" si="76"/>
        <v>41</v>
      </c>
      <c r="L406" t="str">
        <f t="shared" si="77"/>
        <v>Third level</v>
      </c>
      <c r="M406" t="s">
        <v>164</v>
      </c>
      <c r="N406" t="s">
        <v>165</v>
      </c>
      <c r="O406" t="s">
        <v>39</v>
      </c>
      <c r="P406">
        <v>10</v>
      </c>
      <c r="Q406">
        <f t="shared" si="78"/>
        <v>10</v>
      </c>
      <c r="R406" t="s">
        <v>151</v>
      </c>
      <c r="S406" s="8" t="s">
        <v>151</v>
      </c>
      <c r="T406" s="9">
        <v>20</v>
      </c>
      <c r="U406" s="9">
        <f t="shared" si="79"/>
        <v>20</v>
      </c>
      <c r="V406" s="10">
        <v>20</v>
      </c>
      <c r="W406">
        <v>1.8</v>
      </c>
      <c r="X406" s="11">
        <f t="shared" si="80"/>
        <v>1.8</v>
      </c>
      <c r="Y406" t="s">
        <v>77</v>
      </c>
      <c r="Z406" t="str">
        <f t="shared" si="81"/>
        <v>yes</v>
      </c>
      <c r="AA406" t="str">
        <f t="shared" si="82"/>
        <v>yes</v>
      </c>
      <c r="AB406" t="str">
        <f t="shared" si="83"/>
        <v>Yes</v>
      </c>
      <c r="AC406" s="12">
        <v>85</v>
      </c>
      <c r="AD406" s="12">
        <f t="shared" si="84"/>
        <v>85</v>
      </c>
    </row>
    <row r="407" spans="1:30" x14ac:dyDescent="0.3">
      <c r="A407" t="s">
        <v>905</v>
      </c>
      <c r="B407" t="s">
        <v>906</v>
      </c>
      <c r="C407" t="s">
        <v>2595</v>
      </c>
      <c r="D407" t="s">
        <v>2596</v>
      </c>
      <c r="E407" t="str">
        <f t="shared" si="73"/>
        <v>Sabrina Davidson</v>
      </c>
      <c r="F407" t="str">
        <f t="shared" si="74"/>
        <v>Sabrina Davidson</v>
      </c>
      <c r="H407" t="s">
        <v>22</v>
      </c>
      <c r="I407" t="str">
        <f t="shared" si="75"/>
        <v>Female</v>
      </c>
      <c r="J407">
        <v>51</v>
      </c>
      <c r="K407">
        <f t="shared" si="76"/>
        <v>51</v>
      </c>
      <c r="L407" t="str">
        <f t="shared" si="77"/>
        <v>Fourth level</v>
      </c>
      <c r="M407" t="s">
        <v>47</v>
      </c>
      <c r="N407" t="s">
        <v>48</v>
      </c>
      <c r="O407" t="s">
        <v>87</v>
      </c>
      <c r="P407">
        <v>27</v>
      </c>
      <c r="Q407">
        <f t="shared" si="78"/>
        <v>27</v>
      </c>
      <c r="R407" t="s">
        <v>72</v>
      </c>
      <c r="S407" s="8" t="s">
        <v>72</v>
      </c>
      <c r="T407" s="9">
        <v>50</v>
      </c>
      <c r="U407" s="9">
        <f t="shared" si="79"/>
        <v>50</v>
      </c>
      <c r="V407" s="10">
        <v>50</v>
      </c>
      <c r="W407">
        <v>0</v>
      </c>
      <c r="X407" s="11">
        <f t="shared" si="80"/>
        <v>0</v>
      </c>
      <c r="Y407" t="s">
        <v>170</v>
      </c>
      <c r="Z407" t="str">
        <f t="shared" si="81"/>
        <v>no</v>
      </c>
      <c r="AA407" t="str">
        <f t="shared" si="82"/>
        <v>no</v>
      </c>
      <c r="AB407" t="str">
        <f t="shared" si="83"/>
        <v>No</v>
      </c>
      <c r="AC407" s="12">
        <v>78</v>
      </c>
      <c r="AD407" s="12">
        <f t="shared" si="84"/>
        <v>78</v>
      </c>
    </row>
    <row r="408" spans="1:30" x14ac:dyDescent="0.3">
      <c r="A408" t="s">
        <v>907</v>
      </c>
      <c r="B408" t="s">
        <v>908</v>
      </c>
      <c r="C408" t="s">
        <v>2597</v>
      </c>
      <c r="D408" t="s">
        <v>2574</v>
      </c>
      <c r="E408" t="str">
        <f t="shared" si="73"/>
        <v>Dustin Douglas</v>
      </c>
      <c r="F408" t="str">
        <f t="shared" si="74"/>
        <v>Dustin Douglas</v>
      </c>
      <c r="H408" t="s">
        <v>30</v>
      </c>
      <c r="I408" t="str">
        <f t="shared" si="75"/>
        <v>Male</v>
      </c>
      <c r="J408">
        <v>21</v>
      </c>
      <c r="K408">
        <f t="shared" si="76"/>
        <v>21</v>
      </c>
      <c r="L408" t="str">
        <f t="shared" si="77"/>
        <v>First level</v>
      </c>
      <c r="M408" t="s">
        <v>145</v>
      </c>
      <c r="N408" t="s">
        <v>146</v>
      </c>
      <c r="O408" t="s">
        <v>49</v>
      </c>
      <c r="P408">
        <v>2</v>
      </c>
      <c r="Q408">
        <f t="shared" si="78"/>
        <v>2</v>
      </c>
      <c r="R408" t="s">
        <v>50</v>
      </c>
      <c r="S408" s="8" t="s">
        <v>50</v>
      </c>
      <c r="T408" s="9">
        <v>30</v>
      </c>
      <c r="U408" s="9">
        <f t="shared" si="79"/>
        <v>30</v>
      </c>
      <c r="V408" s="10">
        <v>30</v>
      </c>
      <c r="W408">
        <v>3.8</v>
      </c>
      <c r="X408" s="11">
        <f t="shared" si="80"/>
        <v>3.8</v>
      </c>
      <c r="Y408" t="s">
        <v>2103</v>
      </c>
      <c r="Z408" t="str">
        <f t="shared" si="81"/>
        <v>Yes</v>
      </c>
      <c r="AA408" t="str">
        <f t="shared" si="82"/>
        <v>Yes</v>
      </c>
      <c r="AB408" t="str">
        <f t="shared" si="83"/>
        <v>Yes</v>
      </c>
      <c r="AC408" s="12">
        <v>98</v>
      </c>
      <c r="AD408" s="12">
        <f t="shared" si="84"/>
        <v>98</v>
      </c>
    </row>
    <row r="409" spans="1:30" x14ac:dyDescent="0.3">
      <c r="A409" t="s">
        <v>909</v>
      </c>
      <c r="B409" t="s">
        <v>910</v>
      </c>
      <c r="C409" t="s">
        <v>2336</v>
      </c>
      <c r="D409" t="s">
        <v>2598</v>
      </c>
      <c r="E409" t="str">
        <f t="shared" si="73"/>
        <v>Steven Norris</v>
      </c>
      <c r="F409" t="str">
        <f t="shared" si="74"/>
        <v>Steven Norris</v>
      </c>
      <c r="H409" t="s">
        <v>69</v>
      </c>
      <c r="I409" t="str">
        <f t="shared" si="75"/>
        <v>Male</v>
      </c>
      <c r="J409">
        <v>51</v>
      </c>
      <c r="K409">
        <f t="shared" si="76"/>
        <v>51</v>
      </c>
      <c r="L409" t="str">
        <f t="shared" si="77"/>
        <v>Fourth level</v>
      </c>
      <c r="M409" t="s">
        <v>95</v>
      </c>
      <c r="N409" t="s">
        <v>96</v>
      </c>
      <c r="O409" t="s">
        <v>49</v>
      </c>
      <c r="P409">
        <v>33</v>
      </c>
      <c r="Q409">
        <f t="shared" si="78"/>
        <v>33</v>
      </c>
      <c r="R409" t="s">
        <v>61</v>
      </c>
      <c r="S409" s="8" t="s">
        <v>2094</v>
      </c>
      <c r="T409" s="9">
        <v>40</v>
      </c>
      <c r="U409" s="9">
        <f t="shared" si="79"/>
        <v>40</v>
      </c>
      <c r="V409" s="10">
        <v>40</v>
      </c>
      <c r="W409">
        <v>0</v>
      </c>
      <c r="X409" s="11">
        <f t="shared" si="80"/>
        <v>0</v>
      </c>
      <c r="Y409" t="s">
        <v>2103</v>
      </c>
      <c r="Z409" t="str">
        <f t="shared" si="81"/>
        <v>Yes</v>
      </c>
      <c r="AA409" t="str">
        <f t="shared" si="82"/>
        <v>Yes</v>
      </c>
      <c r="AB409" t="str">
        <f t="shared" si="83"/>
        <v>Yes</v>
      </c>
      <c r="AC409" s="12">
        <v>63</v>
      </c>
      <c r="AD409" s="12">
        <f t="shared" si="84"/>
        <v>63</v>
      </c>
    </row>
    <row r="410" spans="1:30" x14ac:dyDescent="0.3">
      <c r="A410" t="s">
        <v>911</v>
      </c>
      <c r="B410" t="s">
        <v>912</v>
      </c>
      <c r="C410" t="s">
        <v>2587</v>
      </c>
      <c r="D410" t="s">
        <v>2599</v>
      </c>
      <c r="E410" t="str">
        <f t="shared" si="73"/>
        <v>Mindy Sullivan</v>
      </c>
      <c r="F410" t="str">
        <f t="shared" si="74"/>
        <v>Mindy Sullivan</v>
      </c>
      <c r="H410" t="s">
        <v>43</v>
      </c>
      <c r="I410" t="str">
        <f t="shared" si="75"/>
        <v>Female</v>
      </c>
      <c r="J410">
        <v>37</v>
      </c>
      <c r="K410">
        <f t="shared" si="76"/>
        <v>37</v>
      </c>
      <c r="L410" t="str">
        <f t="shared" si="77"/>
        <v>Second level</v>
      </c>
      <c r="M410" t="s">
        <v>55</v>
      </c>
      <c r="N410" t="s">
        <v>56</v>
      </c>
      <c r="O410" t="s">
        <v>33</v>
      </c>
      <c r="P410">
        <v>11</v>
      </c>
      <c r="Q410">
        <f t="shared" si="78"/>
        <v>11</v>
      </c>
      <c r="R410" t="s">
        <v>61</v>
      </c>
      <c r="S410" s="8" t="s">
        <v>2094</v>
      </c>
      <c r="T410" s="9">
        <v>40</v>
      </c>
      <c r="U410" s="9">
        <f t="shared" si="79"/>
        <v>40</v>
      </c>
      <c r="V410" s="10">
        <v>40</v>
      </c>
      <c r="W410">
        <v>3.6</v>
      </c>
      <c r="X410" s="11">
        <f t="shared" si="80"/>
        <v>3.6</v>
      </c>
      <c r="Y410" t="s">
        <v>2102</v>
      </c>
      <c r="Z410" t="str">
        <f t="shared" si="81"/>
        <v>No</v>
      </c>
      <c r="AA410" t="str">
        <f t="shared" si="82"/>
        <v>No</v>
      </c>
      <c r="AB410" t="str">
        <f t="shared" si="83"/>
        <v>No</v>
      </c>
      <c r="AC410" s="12">
        <v>73</v>
      </c>
      <c r="AD410" s="12">
        <f t="shared" si="84"/>
        <v>73</v>
      </c>
    </row>
    <row r="411" spans="1:30" x14ac:dyDescent="0.3">
      <c r="A411" t="s">
        <v>913</v>
      </c>
      <c r="B411" t="s">
        <v>914</v>
      </c>
      <c r="C411" t="s">
        <v>2287</v>
      </c>
      <c r="D411" t="s">
        <v>2600</v>
      </c>
      <c r="E411" t="str">
        <f t="shared" si="73"/>
        <v>Elizabeth Stone</v>
      </c>
      <c r="F411" t="str">
        <f t="shared" si="74"/>
        <v>Elizabeth Stone</v>
      </c>
      <c r="H411" t="s">
        <v>86</v>
      </c>
      <c r="I411" t="str">
        <f t="shared" si="75"/>
        <v>Female</v>
      </c>
      <c r="J411">
        <v>20</v>
      </c>
      <c r="K411">
        <f t="shared" si="76"/>
        <v>20</v>
      </c>
      <c r="L411" t="str">
        <f t="shared" si="77"/>
        <v>First level</v>
      </c>
      <c r="M411" t="s">
        <v>201</v>
      </c>
      <c r="N411" t="s">
        <v>81</v>
      </c>
      <c r="O411" t="s">
        <v>33</v>
      </c>
      <c r="P411">
        <v>2</v>
      </c>
      <c r="Q411">
        <f t="shared" si="78"/>
        <v>2</v>
      </c>
      <c r="R411" t="s">
        <v>44</v>
      </c>
      <c r="S411" s="8" t="s">
        <v>44</v>
      </c>
      <c r="T411" s="9">
        <v>30</v>
      </c>
      <c r="U411" s="9">
        <f t="shared" si="79"/>
        <v>30</v>
      </c>
      <c r="V411" s="10">
        <v>30</v>
      </c>
      <c r="W411">
        <v>0</v>
      </c>
      <c r="X411" s="11">
        <f t="shared" si="80"/>
        <v>0</v>
      </c>
      <c r="Y411" t="s">
        <v>2102</v>
      </c>
      <c r="Z411" t="str">
        <f t="shared" si="81"/>
        <v>No</v>
      </c>
      <c r="AA411" t="str">
        <f t="shared" si="82"/>
        <v>No</v>
      </c>
      <c r="AB411" t="str">
        <f t="shared" si="83"/>
        <v>No</v>
      </c>
      <c r="AC411" s="12">
        <v>94</v>
      </c>
      <c r="AD411" s="12">
        <f t="shared" si="84"/>
        <v>94</v>
      </c>
    </row>
    <row r="412" spans="1:30" x14ac:dyDescent="0.3">
      <c r="A412" t="s">
        <v>915</v>
      </c>
      <c r="B412" t="s">
        <v>916</v>
      </c>
      <c r="C412" t="s">
        <v>2601</v>
      </c>
      <c r="D412" t="s">
        <v>2534</v>
      </c>
      <c r="E412" t="str">
        <f t="shared" si="73"/>
        <v>Diane Flores</v>
      </c>
      <c r="F412" t="str">
        <f t="shared" si="74"/>
        <v>Diane Flores</v>
      </c>
      <c r="H412" t="s">
        <v>86</v>
      </c>
      <c r="I412" t="str">
        <f t="shared" si="75"/>
        <v>Female</v>
      </c>
      <c r="J412">
        <v>50</v>
      </c>
      <c r="K412">
        <f t="shared" si="76"/>
        <v>50</v>
      </c>
      <c r="L412" t="str">
        <f t="shared" si="77"/>
        <v>Third level</v>
      </c>
      <c r="M412" t="s">
        <v>23</v>
      </c>
      <c r="N412" t="s">
        <v>24</v>
      </c>
      <c r="O412" t="s">
        <v>39</v>
      </c>
      <c r="P412">
        <v>31</v>
      </c>
      <c r="Q412">
        <f t="shared" si="78"/>
        <v>31</v>
      </c>
      <c r="R412" t="s">
        <v>72</v>
      </c>
      <c r="S412" s="8" t="s">
        <v>72</v>
      </c>
      <c r="T412" s="9">
        <v>50</v>
      </c>
      <c r="U412" s="9">
        <f t="shared" si="79"/>
        <v>50</v>
      </c>
      <c r="V412" s="10">
        <v>50</v>
      </c>
      <c r="W412">
        <v>4.0999999999999996</v>
      </c>
      <c r="X412" s="11">
        <f t="shared" si="80"/>
        <v>4.0999999999999996</v>
      </c>
      <c r="Y412" t="s">
        <v>65</v>
      </c>
      <c r="AA412" t="str">
        <f t="shared" si="82"/>
        <v>Unknown</v>
      </c>
      <c r="AB412" t="str">
        <f t="shared" si="83"/>
        <v>Unknown</v>
      </c>
      <c r="AC412" s="12">
        <v>81</v>
      </c>
      <c r="AD412" s="12">
        <f t="shared" si="84"/>
        <v>81</v>
      </c>
    </row>
    <row r="413" spans="1:30" x14ac:dyDescent="0.3">
      <c r="A413" t="s">
        <v>917</v>
      </c>
      <c r="B413" t="s">
        <v>918</v>
      </c>
      <c r="C413" t="s">
        <v>2168</v>
      </c>
      <c r="D413" t="s">
        <v>2602</v>
      </c>
      <c r="E413" t="str">
        <f t="shared" si="73"/>
        <v>Jessica Erickson</v>
      </c>
      <c r="F413" t="str">
        <f t="shared" si="74"/>
        <v>Jessica Erickson</v>
      </c>
      <c r="H413" t="s">
        <v>22</v>
      </c>
      <c r="I413" t="str">
        <f t="shared" si="75"/>
        <v>Female</v>
      </c>
      <c r="J413">
        <v>58</v>
      </c>
      <c r="K413">
        <f t="shared" si="76"/>
        <v>58</v>
      </c>
      <c r="L413" t="str">
        <f t="shared" si="77"/>
        <v>Fourth level</v>
      </c>
      <c r="M413" t="s">
        <v>70</v>
      </c>
      <c r="N413" t="s">
        <v>71</v>
      </c>
      <c r="O413" t="s">
        <v>33</v>
      </c>
      <c r="P413">
        <v>17</v>
      </c>
      <c r="Q413">
        <f t="shared" si="78"/>
        <v>17</v>
      </c>
      <c r="R413" t="s">
        <v>72</v>
      </c>
      <c r="S413" s="8" t="s">
        <v>72</v>
      </c>
      <c r="T413" s="9">
        <v>50</v>
      </c>
      <c r="U413" s="9">
        <f t="shared" si="79"/>
        <v>50</v>
      </c>
      <c r="V413" s="10">
        <v>50</v>
      </c>
      <c r="W413">
        <v>2.6</v>
      </c>
      <c r="X413" s="11">
        <f t="shared" si="80"/>
        <v>2.6</v>
      </c>
      <c r="Y413" t="s">
        <v>2103</v>
      </c>
      <c r="Z413" t="str">
        <f t="shared" si="81"/>
        <v>Yes</v>
      </c>
      <c r="AA413" t="str">
        <f t="shared" si="82"/>
        <v>Yes</v>
      </c>
      <c r="AB413" t="str">
        <f t="shared" si="83"/>
        <v>Yes</v>
      </c>
      <c r="AC413" s="12">
        <v>61</v>
      </c>
      <c r="AD413" s="12">
        <f t="shared" si="84"/>
        <v>61</v>
      </c>
    </row>
    <row r="414" spans="1:30" x14ac:dyDescent="0.3">
      <c r="A414" t="s">
        <v>919</v>
      </c>
      <c r="B414" t="s">
        <v>920</v>
      </c>
      <c r="C414" t="s">
        <v>2603</v>
      </c>
      <c r="D414" t="s">
        <v>2604</v>
      </c>
      <c r="E414" t="str">
        <f t="shared" si="73"/>
        <v>Sara Moses</v>
      </c>
      <c r="F414" t="str">
        <f t="shared" si="74"/>
        <v>Sara Moses</v>
      </c>
      <c r="H414" t="s">
        <v>22</v>
      </c>
      <c r="I414" t="str">
        <f t="shared" si="75"/>
        <v>Female</v>
      </c>
      <c r="J414">
        <v>40</v>
      </c>
      <c r="K414">
        <f t="shared" si="76"/>
        <v>40</v>
      </c>
      <c r="L414" t="str">
        <f t="shared" si="77"/>
        <v>Second level</v>
      </c>
      <c r="M414" t="s">
        <v>117</v>
      </c>
      <c r="N414" t="s">
        <v>118</v>
      </c>
      <c r="O414" t="s">
        <v>82</v>
      </c>
      <c r="P414">
        <v>2</v>
      </c>
      <c r="Q414">
        <f t="shared" si="78"/>
        <v>2</v>
      </c>
      <c r="R414" t="s">
        <v>240</v>
      </c>
      <c r="S414" s="8" t="s">
        <v>18</v>
      </c>
      <c r="T414" s="9">
        <v>100</v>
      </c>
      <c r="U414" s="9">
        <f t="shared" si="79"/>
        <v>100</v>
      </c>
      <c r="V414" s="10">
        <v>100</v>
      </c>
      <c r="W414">
        <v>0</v>
      </c>
      <c r="X414" s="11">
        <f t="shared" si="80"/>
        <v>0</v>
      </c>
      <c r="Y414" t="s">
        <v>2102</v>
      </c>
      <c r="Z414" t="str">
        <f t="shared" si="81"/>
        <v>No</v>
      </c>
      <c r="AA414" t="str">
        <f t="shared" si="82"/>
        <v>No</v>
      </c>
      <c r="AB414" t="str">
        <f t="shared" si="83"/>
        <v>No</v>
      </c>
      <c r="AC414" s="12"/>
      <c r="AD414" s="12">
        <f t="shared" si="84"/>
        <v>79.497950819672127</v>
      </c>
    </row>
    <row r="415" spans="1:30" x14ac:dyDescent="0.3">
      <c r="A415" t="s">
        <v>921</v>
      </c>
      <c r="B415" t="s">
        <v>922</v>
      </c>
      <c r="C415" t="s">
        <v>2304</v>
      </c>
      <c r="D415" t="s">
        <v>2605</v>
      </c>
      <c r="E415" t="str">
        <f t="shared" si="73"/>
        <v>Allison Henderson</v>
      </c>
      <c r="F415" t="str">
        <f t="shared" si="74"/>
        <v>Allison Henderson</v>
      </c>
      <c r="H415" t="s">
        <v>86</v>
      </c>
      <c r="I415" t="str">
        <f t="shared" si="75"/>
        <v>Female</v>
      </c>
      <c r="J415">
        <v>26</v>
      </c>
      <c r="K415">
        <f t="shared" si="76"/>
        <v>26</v>
      </c>
      <c r="L415" t="str">
        <f t="shared" si="77"/>
        <v>First level</v>
      </c>
      <c r="M415" t="s">
        <v>149</v>
      </c>
      <c r="N415" t="s">
        <v>150</v>
      </c>
      <c r="O415" t="s">
        <v>39</v>
      </c>
      <c r="P415">
        <v>2</v>
      </c>
      <c r="Q415">
        <f t="shared" si="78"/>
        <v>2</v>
      </c>
      <c r="R415" t="s">
        <v>151</v>
      </c>
      <c r="S415" s="8" t="s">
        <v>151</v>
      </c>
      <c r="T415" s="9">
        <v>20</v>
      </c>
      <c r="U415" s="9">
        <f t="shared" si="79"/>
        <v>20</v>
      </c>
      <c r="V415" s="10">
        <v>20</v>
      </c>
      <c r="W415">
        <v>1.3</v>
      </c>
      <c r="X415" s="11">
        <f t="shared" si="80"/>
        <v>1.3</v>
      </c>
      <c r="Y415" t="s">
        <v>170</v>
      </c>
      <c r="Z415" t="str">
        <f t="shared" si="81"/>
        <v>no</v>
      </c>
      <c r="AA415" t="str">
        <f t="shared" si="82"/>
        <v>no</v>
      </c>
      <c r="AB415" t="str">
        <f t="shared" si="83"/>
        <v>No</v>
      </c>
      <c r="AC415" s="12">
        <v>83</v>
      </c>
      <c r="AD415" s="12">
        <f t="shared" si="84"/>
        <v>83</v>
      </c>
    </row>
    <row r="416" spans="1:30" x14ac:dyDescent="0.3">
      <c r="A416" t="s">
        <v>923</v>
      </c>
      <c r="B416" t="s">
        <v>924</v>
      </c>
      <c r="C416" t="s">
        <v>2367</v>
      </c>
      <c r="D416" t="s">
        <v>2606</v>
      </c>
      <c r="E416" t="str">
        <f t="shared" si="73"/>
        <v>Susan Dixon</v>
      </c>
      <c r="F416" t="str">
        <f t="shared" si="74"/>
        <v>Susan Dixon</v>
      </c>
      <c r="H416" t="s">
        <v>22</v>
      </c>
      <c r="I416" t="str">
        <f t="shared" si="75"/>
        <v>Female</v>
      </c>
      <c r="J416">
        <v>44</v>
      </c>
      <c r="K416">
        <f t="shared" si="76"/>
        <v>44</v>
      </c>
      <c r="L416" t="str">
        <f t="shared" si="77"/>
        <v>Third level</v>
      </c>
      <c r="M416" t="s">
        <v>122</v>
      </c>
      <c r="N416" t="s">
        <v>123</v>
      </c>
      <c r="O416" t="s">
        <v>87</v>
      </c>
      <c r="P416">
        <v>22</v>
      </c>
      <c r="Q416">
        <f t="shared" si="78"/>
        <v>22</v>
      </c>
      <c r="R416" t="s">
        <v>44</v>
      </c>
      <c r="S416" s="8" t="s">
        <v>44</v>
      </c>
      <c r="T416" s="9">
        <v>30</v>
      </c>
      <c r="U416" s="9">
        <f t="shared" si="79"/>
        <v>30</v>
      </c>
      <c r="V416" s="10">
        <v>30</v>
      </c>
      <c r="W416">
        <v>4.0999999999999996</v>
      </c>
      <c r="X416" s="11">
        <f t="shared" si="80"/>
        <v>4.0999999999999996</v>
      </c>
      <c r="Y416" t="s">
        <v>2103</v>
      </c>
      <c r="Z416" t="str">
        <f t="shared" si="81"/>
        <v>Yes</v>
      </c>
      <c r="AA416" t="str">
        <f t="shared" si="82"/>
        <v>Yes</v>
      </c>
      <c r="AB416" t="str">
        <f t="shared" si="83"/>
        <v>Yes</v>
      </c>
      <c r="AC416" s="12"/>
      <c r="AD416" s="12">
        <f t="shared" si="84"/>
        <v>79.490759753593423</v>
      </c>
    </row>
    <row r="417" spans="1:30" x14ac:dyDescent="0.3">
      <c r="A417" t="s">
        <v>925</v>
      </c>
      <c r="B417" t="s">
        <v>926</v>
      </c>
      <c r="C417" t="s">
        <v>2273</v>
      </c>
      <c r="D417" t="s">
        <v>2607</v>
      </c>
      <c r="E417" t="str">
        <f t="shared" si="73"/>
        <v>David Morrison</v>
      </c>
      <c r="F417" t="str">
        <f t="shared" si="74"/>
        <v>David Morrison</v>
      </c>
      <c r="H417" t="s">
        <v>30</v>
      </c>
      <c r="I417" t="str">
        <f t="shared" si="75"/>
        <v>Male</v>
      </c>
      <c r="J417">
        <v>42</v>
      </c>
      <c r="K417">
        <f t="shared" si="76"/>
        <v>42</v>
      </c>
      <c r="L417" t="str">
        <f t="shared" si="77"/>
        <v>Third level</v>
      </c>
      <c r="M417" t="s">
        <v>190</v>
      </c>
      <c r="N417" t="s">
        <v>81</v>
      </c>
      <c r="O417" t="s">
        <v>124</v>
      </c>
      <c r="P417">
        <v>8</v>
      </c>
      <c r="Q417">
        <f t="shared" si="78"/>
        <v>8</v>
      </c>
      <c r="R417" t="s">
        <v>72</v>
      </c>
      <c r="S417" s="8" t="s">
        <v>72</v>
      </c>
      <c r="T417" s="9">
        <v>50</v>
      </c>
      <c r="U417" s="9">
        <f t="shared" si="79"/>
        <v>50</v>
      </c>
      <c r="V417" s="10">
        <v>50</v>
      </c>
      <c r="W417">
        <v>2.4</v>
      </c>
      <c r="X417" s="11">
        <f t="shared" si="80"/>
        <v>2.4</v>
      </c>
      <c r="Y417" t="s">
        <v>170</v>
      </c>
      <c r="Z417" t="str">
        <f t="shared" si="81"/>
        <v>no</v>
      </c>
      <c r="AA417" t="str">
        <f t="shared" si="82"/>
        <v>no</v>
      </c>
      <c r="AB417" t="str">
        <f t="shared" si="83"/>
        <v>No</v>
      </c>
      <c r="AC417" s="12">
        <v>68</v>
      </c>
      <c r="AD417" s="12">
        <f t="shared" si="84"/>
        <v>68</v>
      </c>
    </row>
    <row r="418" spans="1:30" x14ac:dyDescent="0.3">
      <c r="A418" t="s">
        <v>927</v>
      </c>
      <c r="B418" t="s">
        <v>347</v>
      </c>
      <c r="C418" t="s">
        <v>2184</v>
      </c>
      <c r="D418" t="s">
        <v>2150</v>
      </c>
      <c r="E418" t="str">
        <f t="shared" si="73"/>
        <v>Jason Carter</v>
      </c>
      <c r="F418" t="str">
        <f t="shared" si="74"/>
        <v>Jason Carter</v>
      </c>
      <c r="H418" t="s">
        <v>107</v>
      </c>
      <c r="I418" t="str">
        <f t="shared" si="75"/>
        <v>Male</v>
      </c>
      <c r="J418">
        <v>38</v>
      </c>
      <c r="K418">
        <f t="shared" si="76"/>
        <v>38</v>
      </c>
      <c r="L418" t="str">
        <f t="shared" si="77"/>
        <v>Second level</v>
      </c>
      <c r="M418" t="s">
        <v>190</v>
      </c>
      <c r="N418" t="s">
        <v>81</v>
      </c>
      <c r="O418" t="s">
        <v>57</v>
      </c>
      <c r="P418">
        <v>9</v>
      </c>
      <c r="Q418">
        <f t="shared" si="78"/>
        <v>9</v>
      </c>
      <c r="R418" t="s">
        <v>72</v>
      </c>
      <c r="S418" s="8" t="s">
        <v>72</v>
      </c>
      <c r="T418" s="9">
        <v>50</v>
      </c>
      <c r="U418" s="9">
        <f t="shared" si="79"/>
        <v>50</v>
      </c>
      <c r="V418" s="10">
        <v>50</v>
      </c>
      <c r="W418">
        <v>0</v>
      </c>
      <c r="X418" s="11">
        <f t="shared" si="80"/>
        <v>0</v>
      </c>
      <c r="Y418" t="s">
        <v>2102</v>
      </c>
      <c r="Z418" t="str">
        <f t="shared" si="81"/>
        <v>No</v>
      </c>
      <c r="AA418" t="str">
        <f t="shared" si="82"/>
        <v>No</v>
      </c>
      <c r="AB418" t="str">
        <f t="shared" si="83"/>
        <v>No</v>
      </c>
      <c r="AC418" s="12">
        <v>74</v>
      </c>
      <c r="AD418" s="12">
        <f t="shared" si="84"/>
        <v>74</v>
      </c>
    </row>
    <row r="419" spans="1:30" x14ac:dyDescent="0.3">
      <c r="A419" t="s">
        <v>928</v>
      </c>
      <c r="B419" t="s">
        <v>929</v>
      </c>
      <c r="C419" t="s">
        <v>2143</v>
      </c>
      <c r="D419" t="s">
        <v>2321</v>
      </c>
      <c r="E419" t="str">
        <f t="shared" si="73"/>
        <v>James Jacobs</v>
      </c>
      <c r="F419" t="str">
        <f t="shared" si="74"/>
        <v>James Jacobs</v>
      </c>
      <c r="H419" t="s">
        <v>30</v>
      </c>
      <c r="I419" t="str">
        <f t="shared" si="75"/>
        <v>Male</v>
      </c>
      <c r="J419">
        <v>51</v>
      </c>
      <c r="K419">
        <f t="shared" si="76"/>
        <v>51</v>
      </c>
      <c r="L419" t="str">
        <f t="shared" si="77"/>
        <v>Fourth level</v>
      </c>
      <c r="M419" t="s">
        <v>149</v>
      </c>
      <c r="N419" t="s">
        <v>150</v>
      </c>
      <c r="O419" t="s">
        <v>39</v>
      </c>
      <c r="P419">
        <v>32</v>
      </c>
      <c r="Q419">
        <f t="shared" si="78"/>
        <v>32</v>
      </c>
      <c r="R419" t="s">
        <v>18</v>
      </c>
      <c r="S419" s="8" t="s">
        <v>18</v>
      </c>
      <c r="T419" s="9">
        <v>100</v>
      </c>
      <c r="U419" s="9">
        <f t="shared" si="79"/>
        <v>100</v>
      </c>
      <c r="V419" s="10">
        <v>100</v>
      </c>
      <c r="W419">
        <v>4.4000000000000004</v>
      </c>
      <c r="X419" s="11">
        <f t="shared" si="80"/>
        <v>4.4000000000000004</v>
      </c>
      <c r="Y419" t="s">
        <v>2102</v>
      </c>
      <c r="Z419" t="str">
        <f t="shared" si="81"/>
        <v>No</v>
      </c>
      <c r="AA419" t="str">
        <f t="shared" si="82"/>
        <v>No</v>
      </c>
      <c r="AB419" t="str">
        <f t="shared" si="83"/>
        <v>No</v>
      </c>
      <c r="AC419" s="12">
        <v>91</v>
      </c>
      <c r="AD419" s="12">
        <f t="shared" si="84"/>
        <v>91</v>
      </c>
    </row>
    <row r="420" spans="1:30" x14ac:dyDescent="0.3">
      <c r="A420" t="s">
        <v>930</v>
      </c>
      <c r="B420" t="s">
        <v>931</v>
      </c>
      <c r="C420" t="s">
        <v>2608</v>
      </c>
      <c r="D420" t="s">
        <v>2429</v>
      </c>
      <c r="E420" t="str">
        <f t="shared" si="73"/>
        <v>Kathleen Quinn</v>
      </c>
      <c r="F420" t="str">
        <f t="shared" si="74"/>
        <v>Kathleen Quinn</v>
      </c>
      <c r="H420" t="s">
        <v>43</v>
      </c>
      <c r="I420" t="str">
        <f t="shared" si="75"/>
        <v>Female</v>
      </c>
      <c r="J420">
        <v>36</v>
      </c>
      <c r="K420">
        <f t="shared" si="76"/>
        <v>36</v>
      </c>
      <c r="L420" t="str">
        <f t="shared" si="77"/>
        <v>Second level</v>
      </c>
      <c r="M420" t="s">
        <v>145</v>
      </c>
      <c r="N420" t="s">
        <v>146</v>
      </c>
      <c r="O420" t="s">
        <v>49</v>
      </c>
      <c r="P420">
        <v>8</v>
      </c>
      <c r="Q420">
        <f t="shared" si="78"/>
        <v>8</v>
      </c>
      <c r="R420" t="s">
        <v>26</v>
      </c>
      <c r="S420" s="8" t="s">
        <v>18</v>
      </c>
      <c r="T420" s="9">
        <v>100</v>
      </c>
      <c r="U420" s="9">
        <f t="shared" si="79"/>
        <v>100</v>
      </c>
      <c r="V420" s="10">
        <v>100</v>
      </c>
      <c r="W420">
        <v>2.2000000000000002</v>
      </c>
      <c r="X420" s="11">
        <f t="shared" si="80"/>
        <v>2.2000000000000002</v>
      </c>
      <c r="Y420" t="s">
        <v>2103</v>
      </c>
      <c r="Z420" t="str">
        <f t="shared" si="81"/>
        <v>Yes</v>
      </c>
      <c r="AA420" t="str">
        <f t="shared" si="82"/>
        <v>Yes</v>
      </c>
      <c r="AB420" t="str">
        <f t="shared" si="83"/>
        <v>Yes</v>
      </c>
      <c r="AC420" s="12">
        <v>97</v>
      </c>
      <c r="AD420" s="12">
        <f t="shared" si="84"/>
        <v>97</v>
      </c>
    </row>
    <row r="421" spans="1:30" x14ac:dyDescent="0.3">
      <c r="A421" t="s">
        <v>932</v>
      </c>
      <c r="B421" t="s">
        <v>933</v>
      </c>
      <c r="C421" t="s">
        <v>2609</v>
      </c>
      <c r="D421" t="s">
        <v>2610</v>
      </c>
      <c r="E421" t="str">
        <f t="shared" si="73"/>
        <v>Natalie Frank</v>
      </c>
      <c r="F421" t="str">
        <f t="shared" si="74"/>
        <v>Natalie Frank</v>
      </c>
      <c r="H421" t="s">
        <v>22</v>
      </c>
      <c r="I421" t="str">
        <f t="shared" si="75"/>
        <v>Female</v>
      </c>
      <c r="J421">
        <v>37</v>
      </c>
      <c r="K421">
        <f t="shared" si="76"/>
        <v>37</v>
      </c>
      <c r="L421" t="str">
        <f t="shared" si="77"/>
        <v>Second level</v>
      </c>
      <c r="M421" t="s">
        <v>23</v>
      </c>
      <c r="N421" t="s">
        <v>24</v>
      </c>
      <c r="O421" t="s">
        <v>25</v>
      </c>
      <c r="P421">
        <v>10</v>
      </c>
      <c r="Q421">
        <f t="shared" si="78"/>
        <v>10</v>
      </c>
      <c r="R421" t="s">
        <v>44</v>
      </c>
      <c r="S421" s="8" t="s">
        <v>44</v>
      </c>
      <c r="T421" s="9">
        <v>30</v>
      </c>
      <c r="U421" s="9">
        <f t="shared" si="79"/>
        <v>30</v>
      </c>
      <c r="V421" s="10">
        <v>30</v>
      </c>
      <c r="W421">
        <v>0</v>
      </c>
      <c r="X421" s="11">
        <f t="shared" si="80"/>
        <v>0</v>
      </c>
      <c r="Y421" t="s">
        <v>2102</v>
      </c>
      <c r="Z421" t="str">
        <f t="shared" si="81"/>
        <v>No</v>
      </c>
      <c r="AA421" t="str">
        <f t="shared" si="82"/>
        <v>No</v>
      </c>
      <c r="AB421" t="str">
        <f t="shared" si="83"/>
        <v>No</v>
      </c>
      <c r="AC421" s="12">
        <v>96</v>
      </c>
      <c r="AD421" s="12">
        <f t="shared" si="84"/>
        <v>96</v>
      </c>
    </row>
    <row r="422" spans="1:30" x14ac:dyDescent="0.3">
      <c r="A422" t="s">
        <v>934</v>
      </c>
      <c r="B422" t="s">
        <v>935</v>
      </c>
      <c r="C422" t="s">
        <v>2166</v>
      </c>
      <c r="D422" t="s">
        <v>2334</v>
      </c>
      <c r="E422" t="str">
        <f t="shared" si="73"/>
        <v>Michael Reed</v>
      </c>
      <c r="F422" t="str">
        <f t="shared" si="74"/>
        <v>Michael Reed</v>
      </c>
      <c r="H422" t="s">
        <v>30</v>
      </c>
      <c r="I422" t="str">
        <f t="shared" si="75"/>
        <v>Male</v>
      </c>
      <c r="J422">
        <v>31</v>
      </c>
      <c r="K422">
        <f t="shared" si="76"/>
        <v>31</v>
      </c>
      <c r="L422" t="str">
        <f t="shared" si="77"/>
        <v>Second level</v>
      </c>
      <c r="M422" t="s">
        <v>164</v>
      </c>
      <c r="N422" t="s">
        <v>165</v>
      </c>
      <c r="O422" t="s">
        <v>99</v>
      </c>
      <c r="P422">
        <v>0</v>
      </c>
      <c r="Q422">
        <f t="shared" si="78"/>
        <v>0</v>
      </c>
      <c r="R422" t="s">
        <v>34</v>
      </c>
      <c r="S422" s="8" t="s">
        <v>34</v>
      </c>
      <c r="T422" s="9">
        <v>50</v>
      </c>
      <c r="U422" s="9">
        <f t="shared" si="79"/>
        <v>50</v>
      </c>
      <c r="V422" s="10">
        <v>50</v>
      </c>
      <c r="W422">
        <v>1.1000000000000001</v>
      </c>
      <c r="X422" s="11">
        <f t="shared" si="80"/>
        <v>1.1000000000000001</v>
      </c>
      <c r="Y422" t="s">
        <v>2103</v>
      </c>
      <c r="Z422" t="str">
        <f t="shared" si="81"/>
        <v>Yes</v>
      </c>
      <c r="AA422" t="str">
        <f t="shared" si="82"/>
        <v>Yes</v>
      </c>
      <c r="AB422" t="str">
        <f t="shared" si="83"/>
        <v>Yes</v>
      </c>
      <c r="AC422" s="12">
        <v>73</v>
      </c>
      <c r="AD422" s="12">
        <f t="shared" si="84"/>
        <v>73</v>
      </c>
    </row>
    <row r="423" spans="1:30" x14ac:dyDescent="0.3">
      <c r="A423" t="s">
        <v>936</v>
      </c>
      <c r="B423" t="s">
        <v>937</v>
      </c>
      <c r="C423" t="s">
        <v>2611</v>
      </c>
      <c r="D423" t="s">
        <v>2161</v>
      </c>
      <c r="E423" t="str">
        <f t="shared" si="73"/>
        <v>Sheila Smith</v>
      </c>
      <c r="F423" t="str">
        <f t="shared" si="74"/>
        <v>Sheila Smith</v>
      </c>
      <c r="H423" t="s">
        <v>86</v>
      </c>
      <c r="I423" t="str">
        <f t="shared" si="75"/>
        <v>Female</v>
      </c>
      <c r="J423">
        <v>47</v>
      </c>
      <c r="K423">
        <f t="shared" si="76"/>
        <v>47</v>
      </c>
      <c r="L423" t="str">
        <f t="shared" si="77"/>
        <v>Third level</v>
      </c>
      <c r="M423" t="s">
        <v>103</v>
      </c>
      <c r="N423" t="s">
        <v>104</v>
      </c>
      <c r="O423" t="s">
        <v>87</v>
      </c>
      <c r="P423">
        <v>22</v>
      </c>
      <c r="Q423">
        <f t="shared" si="78"/>
        <v>22</v>
      </c>
      <c r="R423" t="s">
        <v>65</v>
      </c>
      <c r="S423" s="8" t="s">
        <v>65</v>
      </c>
      <c r="T423" s="9"/>
      <c r="U423" s="9">
        <f t="shared" si="79"/>
        <v>53.821292775665398</v>
      </c>
      <c r="V423" s="10">
        <v>53.821292775665398</v>
      </c>
      <c r="W423">
        <v>1.4</v>
      </c>
      <c r="X423" s="11">
        <f t="shared" si="80"/>
        <v>1.4</v>
      </c>
      <c r="Y423" t="s">
        <v>77</v>
      </c>
      <c r="Z423" t="str">
        <f t="shared" si="81"/>
        <v>yes</v>
      </c>
      <c r="AA423" t="str">
        <f t="shared" si="82"/>
        <v>yes</v>
      </c>
      <c r="AB423" t="str">
        <f t="shared" si="83"/>
        <v>Yes</v>
      </c>
      <c r="AC423" s="12">
        <v>72</v>
      </c>
      <c r="AD423" s="12">
        <f t="shared" si="84"/>
        <v>72</v>
      </c>
    </row>
    <row r="424" spans="1:30" x14ac:dyDescent="0.3">
      <c r="A424" t="s">
        <v>938</v>
      </c>
      <c r="B424" t="s">
        <v>939</v>
      </c>
      <c r="C424" t="s">
        <v>2299</v>
      </c>
      <c r="D424" t="s">
        <v>2383</v>
      </c>
      <c r="E424" t="str">
        <f t="shared" si="73"/>
        <v>Morgan Ford</v>
      </c>
      <c r="F424" t="str">
        <f t="shared" si="74"/>
        <v>Morgan Ford</v>
      </c>
      <c r="H424" t="s">
        <v>43</v>
      </c>
      <c r="I424" t="str">
        <f t="shared" si="75"/>
        <v>Female</v>
      </c>
      <c r="J424">
        <v>60</v>
      </c>
      <c r="K424">
        <f t="shared" si="76"/>
        <v>60</v>
      </c>
      <c r="L424" t="str">
        <f t="shared" si="77"/>
        <v>Fourth level</v>
      </c>
      <c r="M424" t="s">
        <v>190</v>
      </c>
      <c r="N424" t="s">
        <v>81</v>
      </c>
      <c r="O424" t="s">
        <v>82</v>
      </c>
      <c r="P424">
        <v>34</v>
      </c>
      <c r="Q424">
        <f t="shared" si="78"/>
        <v>34</v>
      </c>
      <c r="R424" t="s">
        <v>240</v>
      </c>
      <c r="S424" s="8" t="s">
        <v>18</v>
      </c>
      <c r="T424" s="9">
        <v>100</v>
      </c>
      <c r="U424" s="9">
        <f t="shared" si="79"/>
        <v>100</v>
      </c>
      <c r="V424" s="10">
        <v>100</v>
      </c>
      <c r="W424">
        <v>0</v>
      </c>
      <c r="X424" s="11">
        <f t="shared" si="80"/>
        <v>0</v>
      </c>
      <c r="Y424" t="s">
        <v>2103</v>
      </c>
      <c r="Z424" t="str">
        <f t="shared" si="81"/>
        <v>Yes</v>
      </c>
      <c r="AA424" t="str">
        <f t="shared" si="82"/>
        <v>Yes</v>
      </c>
      <c r="AB424" t="str">
        <f t="shared" si="83"/>
        <v>Yes</v>
      </c>
      <c r="AC424" s="12">
        <v>74</v>
      </c>
      <c r="AD424" s="12">
        <f t="shared" si="84"/>
        <v>74</v>
      </c>
    </row>
    <row r="425" spans="1:30" x14ac:dyDescent="0.3">
      <c r="A425" t="s">
        <v>940</v>
      </c>
      <c r="B425" t="s">
        <v>941</v>
      </c>
      <c r="C425" t="s">
        <v>2612</v>
      </c>
      <c r="D425" t="s">
        <v>2513</v>
      </c>
      <c r="E425" t="str">
        <f t="shared" si="73"/>
        <v>Linda Schultz</v>
      </c>
      <c r="F425" t="str">
        <f t="shared" si="74"/>
        <v>Linda Schultz</v>
      </c>
      <c r="H425" t="s">
        <v>22</v>
      </c>
      <c r="I425" t="str">
        <f t="shared" si="75"/>
        <v>Female</v>
      </c>
      <c r="J425">
        <v>48</v>
      </c>
      <c r="K425">
        <f t="shared" si="76"/>
        <v>48</v>
      </c>
      <c r="L425" t="str">
        <f t="shared" si="77"/>
        <v>Third level</v>
      </c>
      <c r="M425" t="s">
        <v>80</v>
      </c>
      <c r="N425" t="s">
        <v>81</v>
      </c>
      <c r="O425" t="s">
        <v>25</v>
      </c>
      <c r="P425">
        <v>5</v>
      </c>
      <c r="Q425">
        <f t="shared" si="78"/>
        <v>5</v>
      </c>
      <c r="R425" t="s">
        <v>44</v>
      </c>
      <c r="S425" s="8" t="s">
        <v>44</v>
      </c>
      <c r="T425" s="9">
        <v>30</v>
      </c>
      <c r="U425" s="9">
        <f t="shared" si="79"/>
        <v>30</v>
      </c>
      <c r="V425" s="10">
        <v>30</v>
      </c>
      <c r="W425">
        <v>1.5</v>
      </c>
      <c r="X425" s="11">
        <f t="shared" si="80"/>
        <v>1.5</v>
      </c>
      <c r="Y425" t="s">
        <v>2102</v>
      </c>
      <c r="Z425" t="str">
        <f t="shared" si="81"/>
        <v>No</v>
      </c>
      <c r="AA425" t="str">
        <f t="shared" si="82"/>
        <v>No</v>
      </c>
      <c r="AB425" t="str">
        <f t="shared" si="83"/>
        <v>No</v>
      </c>
      <c r="AC425" s="12"/>
      <c r="AD425" s="12">
        <f t="shared" si="84"/>
        <v>79.471816283924838</v>
      </c>
    </row>
    <row r="426" spans="1:30" x14ac:dyDescent="0.3">
      <c r="A426" t="s">
        <v>942</v>
      </c>
      <c r="B426" t="s">
        <v>943</v>
      </c>
      <c r="C426" t="s">
        <v>2613</v>
      </c>
      <c r="D426" t="s">
        <v>2447</v>
      </c>
      <c r="E426" t="str">
        <f t="shared" si="73"/>
        <v>Regina Daniel</v>
      </c>
      <c r="F426" t="str">
        <f t="shared" si="74"/>
        <v>Regina Daniel</v>
      </c>
      <c r="H426" t="s">
        <v>86</v>
      </c>
      <c r="I426" t="str">
        <f t="shared" si="75"/>
        <v>Female</v>
      </c>
      <c r="J426">
        <v>24</v>
      </c>
      <c r="K426">
        <f t="shared" si="76"/>
        <v>24</v>
      </c>
      <c r="L426" t="str">
        <f t="shared" si="77"/>
        <v>First level</v>
      </c>
      <c r="M426" t="s">
        <v>103</v>
      </c>
      <c r="N426" t="s">
        <v>104</v>
      </c>
      <c r="O426" t="s">
        <v>49</v>
      </c>
      <c r="P426">
        <v>3</v>
      </c>
      <c r="Q426">
        <f t="shared" si="78"/>
        <v>3</v>
      </c>
      <c r="R426" t="s">
        <v>151</v>
      </c>
      <c r="S426" s="8" t="s">
        <v>151</v>
      </c>
      <c r="T426" s="9">
        <v>20</v>
      </c>
      <c r="U426" s="9">
        <f t="shared" si="79"/>
        <v>20</v>
      </c>
      <c r="V426" s="10">
        <v>20</v>
      </c>
      <c r="W426">
        <v>0</v>
      </c>
      <c r="X426" s="11">
        <f t="shared" si="80"/>
        <v>0</v>
      </c>
      <c r="Y426" t="s">
        <v>2103</v>
      </c>
      <c r="Z426" t="str">
        <f t="shared" si="81"/>
        <v>Yes</v>
      </c>
      <c r="AA426" t="str">
        <f t="shared" si="82"/>
        <v>Yes</v>
      </c>
      <c r="AB426" t="str">
        <f t="shared" si="83"/>
        <v>Yes</v>
      </c>
      <c r="AC426" s="12"/>
      <c r="AD426" s="12">
        <f t="shared" si="84"/>
        <v>79.471816283924838</v>
      </c>
    </row>
    <row r="427" spans="1:30" x14ac:dyDescent="0.3">
      <c r="A427" t="s">
        <v>944</v>
      </c>
      <c r="B427" t="s">
        <v>945</v>
      </c>
      <c r="C427" t="s">
        <v>2304</v>
      </c>
      <c r="D427" t="s">
        <v>2614</v>
      </c>
      <c r="E427" t="str">
        <f t="shared" si="73"/>
        <v>Allison Perkins</v>
      </c>
      <c r="F427" t="str">
        <f t="shared" si="74"/>
        <v>Allison Perkins</v>
      </c>
      <c r="H427" t="s">
        <v>22</v>
      </c>
      <c r="I427" t="str">
        <f t="shared" si="75"/>
        <v>Female</v>
      </c>
      <c r="J427">
        <v>35</v>
      </c>
      <c r="K427">
        <f t="shared" si="76"/>
        <v>35</v>
      </c>
      <c r="L427" t="str">
        <f t="shared" si="77"/>
        <v>Second level</v>
      </c>
      <c r="M427" t="s">
        <v>47</v>
      </c>
      <c r="N427" t="s">
        <v>48</v>
      </c>
      <c r="O427" t="s">
        <v>124</v>
      </c>
      <c r="P427">
        <v>10</v>
      </c>
      <c r="Q427">
        <f t="shared" si="78"/>
        <v>10</v>
      </c>
      <c r="R427" t="s">
        <v>92</v>
      </c>
      <c r="S427" s="8" t="s">
        <v>92</v>
      </c>
      <c r="T427" s="9">
        <v>75</v>
      </c>
      <c r="U427" s="9">
        <f t="shared" si="79"/>
        <v>75</v>
      </c>
      <c r="V427" s="10">
        <v>75</v>
      </c>
      <c r="W427">
        <v>0</v>
      </c>
      <c r="X427" s="11">
        <f t="shared" si="80"/>
        <v>0</v>
      </c>
      <c r="Y427" t="s">
        <v>65</v>
      </c>
      <c r="AA427" t="str">
        <f t="shared" si="82"/>
        <v>Unknown</v>
      </c>
      <c r="AB427" t="str">
        <f t="shared" si="83"/>
        <v>Unknown</v>
      </c>
      <c r="AC427" s="12">
        <v>74</v>
      </c>
      <c r="AD427" s="12">
        <f t="shared" si="84"/>
        <v>74</v>
      </c>
    </row>
    <row r="428" spans="1:30" x14ac:dyDescent="0.3">
      <c r="A428" t="s">
        <v>946</v>
      </c>
      <c r="B428" t="s">
        <v>947</v>
      </c>
      <c r="C428" t="s">
        <v>2561</v>
      </c>
      <c r="D428" t="s">
        <v>2615</v>
      </c>
      <c r="E428" t="str">
        <f t="shared" si="73"/>
        <v>Bradley Weaver</v>
      </c>
      <c r="F428" t="str">
        <f t="shared" si="74"/>
        <v>Bradley Weaver</v>
      </c>
      <c r="H428" t="s">
        <v>69</v>
      </c>
      <c r="I428" t="str">
        <f t="shared" si="75"/>
        <v>Male</v>
      </c>
      <c r="J428">
        <v>35</v>
      </c>
      <c r="K428">
        <f t="shared" si="76"/>
        <v>35</v>
      </c>
      <c r="L428" t="str">
        <f t="shared" si="77"/>
        <v>Second level</v>
      </c>
      <c r="M428" t="s">
        <v>64</v>
      </c>
      <c r="N428" t="s">
        <v>24</v>
      </c>
      <c r="O428" t="s">
        <v>99</v>
      </c>
      <c r="Q428">
        <f t="shared" si="78"/>
        <v>9</v>
      </c>
      <c r="R428" t="s">
        <v>18</v>
      </c>
      <c r="S428" s="8" t="s">
        <v>18</v>
      </c>
      <c r="T428" s="9">
        <v>100</v>
      </c>
      <c r="U428" s="9">
        <f t="shared" si="79"/>
        <v>100</v>
      </c>
      <c r="V428" s="10">
        <v>100</v>
      </c>
      <c r="W428">
        <v>3.5</v>
      </c>
      <c r="X428" s="11">
        <f t="shared" si="80"/>
        <v>3.5</v>
      </c>
      <c r="Y428" t="s">
        <v>2103</v>
      </c>
      <c r="Z428" t="str">
        <f t="shared" si="81"/>
        <v>Yes</v>
      </c>
      <c r="AA428" t="str">
        <f t="shared" si="82"/>
        <v>Yes</v>
      </c>
      <c r="AB428" t="str">
        <f t="shared" si="83"/>
        <v>Yes</v>
      </c>
      <c r="AC428" s="12">
        <v>71</v>
      </c>
      <c r="AD428" s="12">
        <f t="shared" si="84"/>
        <v>71</v>
      </c>
    </row>
    <row r="429" spans="1:30" x14ac:dyDescent="0.3">
      <c r="A429" t="s">
        <v>948</v>
      </c>
      <c r="B429" t="s">
        <v>949</v>
      </c>
      <c r="C429" t="s">
        <v>2452</v>
      </c>
      <c r="D429" t="s">
        <v>2616</v>
      </c>
      <c r="E429" t="str">
        <f t="shared" si="73"/>
        <v>Sarah Hall</v>
      </c>
      <c r="F429" t="str">
        <f t="shared" si="74"/>
        <v>Sarah Hall</v>
      </c>
      <c r="H429" t="s">
        <v>86</v>
      </c>
      <c r="I429" t="str">
        <f t="shared" si="75"/>
        <v>Female</v>
      </c>
      <c r="J429">
        <v>29</v>
      </c>
      <c r="K429">
        <f t="shared" si="76"/>
        <v>29</v>
      </c>
      <c r="L429" t="str">
        <f t="shared" si="77"/>
        <v>First level</v>
      </c>
      <c r="M429" t="s">
        <v>47</v>
      </c>
      <c r="N429" t="s">
        <v>48</v>
      </c>
      <c r="O429" t="s">
        <v>82</v>
      </c>
      <c r="P429">
        <v>6</v>
      </c>
      <c r="Q429">
        <f t="shared" si="78"/>
        <v>6</v>
      </c>
      <c r="R429" t="s">
        <v>65</v>
      </c>
      <c r="S429" s="8" t="s">
        <v>65</v>
      </c>
      <c r="T429" s="9"/>
      <c r="U429" s="9">
        <f t="shared" si="79"/>
        <v>53.809980806142036</v>
      </c>
      <c r="V429" s="10">
        <v>53.809980806142036</v>
      </c>
      <c r="W429">
        <v>4.8</v>
      </c>
      <c r="X429" s="11">
        <f t="shared" si="80"/>
        <v>4.8</v>
      </c>
      <c r="Y429" t="s">
        <v>2102</v>
      </c>
      <c r="Z429" t="str">
        <f t="shared" si="81"/>
        <v>No</v>
      </c>
      <c r="AA429" t="str">
        <f t="shared" si="82"/>
        <v>No</v>
      </c>
      <c r="AB429" t="str">
        <f t="shared" si="83"/>
        <v>No</v>
      </c>
      <c r="AC429" s="12">
        <v>83</v>
      </c>
      <c r="AD429" s="12">
        <f t="shared" si="84"/>
        <v>83</v>
      </c>
    </row>
    <row r="430" spans="1:30" x14ac:dyDescent="0.3">
      <c r="A430" t="s">
        <v>950</v>
      </c>
      <c r="B430" t="s">
        <v>951</v>
      </c>
      <c r="C430" t="s">
        <v>2242</v>
      </c>
      <c r="D430" t="s">
        <v>2617</v>
      </c>
      <c r="E430" t="str">
        <f t="shared" si="73"/>
        <v>Diana Walton</v>
      </c>
      <c r="F430" t="str">
        <f t="shared" si="74"/>
        <v>Diana Walton</v>
      </c>
      <c r="H430" t="s">
        <v>86</v>
      </c>
      <c r="I430" t="str">
        <f t="shared" si="75"/>
        <v>Female</v>
      </c>
      <c r="J430">
        <v>36</v>
      </c>
      <c r="K430">
        <f t="shared" si="76"/>
        <v>36</v>
      </c>
      <c r="L430" t="str">
        <f t="shared" si="77"/>
        <v>Second level</v>
      </c>
      <c r="M430" t="s">
        <v>15</v>
      </c>
      <c r="N430" t="s">
        <v>16</v>
      </c>
      <c r="O430" t="s">
        <v>124</v>
      </c>
      <c r="P430">
        <v>1</v>
      </c>
      <c r="Q430">
        <f t="shared" si="78"/>
        <v>1</v>
      </c>
      <c r="R430" t="s">
        <v>181</v>
      </c>
      <c r="S430" s="8" t="s">
        <v>181</v>
      </c>
      <c r="T430" s="9">
        <v>75</v>
      </c>
      <c r="U430" s="9">
        <f t="shared" si="79"/>
        <v>75</v>
      </c>
      <c r="V430" s="10">
        <v>75</v>
      </c>
      <c r="X430" s="11">
        <f t="shared" si="80"/>
        <v>2.5644400785854606</v>
      </c>
      <c r="Y430" t="s">
        <v>65</v>
      </c>
      <c r="AA430" t="str">
        <f t="shared" si="82"/>
        <v>Unknown</v>
      </c>
      <c r="AB430" t="str">
        <f t="shared" si="83"/>
        <v>Unknown</v>
      </c>
      <c r="AC430" s="12">
        <v>63</v>
      </c>
      <c r="AD430" s="12">
        <f t="shared" si="84"/>
        <v>63</v>
      </c>
    </row>
    <row r="431" spans="1:30" x14ac:dyDescent="0.3">
      <c r="A431" t="s">
        <v>952</v>
      </c>
      <c r="B431" t="s">
        <v>953</v>
      </c>
      <c r="C431" t="s">
        <v>2324</v>
      </c>
      <c r="D431" t="s">
        <v>2319</v>
      </c>
      <c r="E431" t="str">
        <f t="shared" si="73"/>
        <v>Donna Davis</v>
      </c>
      <c r="F431" t="str">
        <f t="shared" si="74"/>
        <v>Donna Davis</v>
      </c>
      <c r="H431" t="s">
        <v>22</v>
      </c>
      <c r="I431" t="str">
        <f t="shared" si="75"/>
        <v>Female</v>
      </c>
      <c r="J431">
        <v>44</v>
      </c>
      <c r="K431">
        <f t="shared" si="76"/>
        <v>44</v>
      </c>
      <c r="L431" t="str">
        <f t="shared" si="77"/>
        <v>Third level</v>
      </c>
      <c r="M431" t="s">
        <v>138</v>
      </c>
      <c r="N431" t="s">
        <v>24</v>
      </c>
      <c r="O431" t="s">
        <v>49</v>
      </c>
      <c r="P431">
        <v>0</v>
      </c>
      <c r="Q431">
        <f t="shared" si="78"/>
        <v>0</v>
      </c>
      <c r="R431" t="s">
        <v>65</v>
      </c>
      <c r="S431" s="8" t="s">
        <v>65</v>
      </c>
      <c r="T431" s="9"/>
      <c r="U431" s="9">
        <f t="shared" si="79"/>
        <v>53.721153846153847</v>
      </c>
      <c r="V431" s="10">
        <v>53.721153846153847</v>
      </c>
      <c r="W431">
        <v>4.8</v>
      </c>
      <c r="X431" s="11">
        <f t="shared" si="80"/>
        <v>4.8</v>
      </c>
      <c r="Y431" t="s">
        <v>65</v>
      </c>
      <c r="AA431" t="str">
        <f t="shared" si="82"/>
        <v>Unknown</v>
      </c>
      <c r="AB431" t="str">
        <f t="shared" si="83"/>
        <v>Unknown</v>
      </c>
      <c r="AC431" s="12">
        <v>84</v>
      </c>
      <c r="AD431" s="12">
        <f t="shared" si="84"/>
        <v>84</v>
      </c>
    </row>
    <row r="432" spans="1:30" x14ac:dyDescent="0.3">
      <c r="A432" t="s">
        <v>954</v>
      </c>
      <c r="B432" t="s">
        <v>955</v>
      </c>
      <c r="C432" t="s">
        <v>2308</v>
      </c>
      <c r="D432" t="s">
        <v>2618</v>
      </c>
      <c r="E432" t="str">
        <f t="shared" si="73"/>
        <v>Christopher Mcclain</v>
      </c>
      <c r="F432" t="str">
        <f t="shared" si="74"/>
        <v>Christopher Mcclain</v>
      </c>
      <c r="H432" t="s">
        <v>69</v>
      </c>
      <c r="I432" t="str">
        <f t="shared" si="75"/>
        <v>Male</v>
      </c>
      <c r="J432">
        <v>44</v>
      </c>
      <c r="K432">
        <f t="shared" si="76"/>
        <v>44</v>
      </c>
      <c r="L432" t="str">
        <f t="shared" si="77"/>
        <v>Third level</v>
      </c>
      <c r="M432" t="s">
        <v>164</v>
      </c>
      <c r="N432" t="s">
        <v>165</v>
      </c>
      <c r="O432" t="s">
        <v>39</v>
      </c>
      <c r="Q432">
        <f t="shared" si="78"/>
        <v>13</v>
      </c>
      <c r="R432" t="s">
        <v>65</v>
      </c>
      <c r="S432" s="8" t="s">
        <v>65</v>
      </c>
      <c r="T432" s="9"/>
      <c r="U432" s="9">
        <f t="shared" si="79"/>
        <v>53.680154142581891</v>
      </c>
      <c r="V432" s="10">
        <v>53.680154142581891</v>
      </c>
      <c r="W432">
        <v>1.4</v>
      </c>
      <c r="X432" s="11">
        <f t="shared" si="80"/>
        <v>1.4</v>
      </c>
      <c r="Y432" t="s">
        <v>2102</v>
      </c>
      <c r="Z432" t="str">
        <f t="shared" si="81"/>
        <v>No</v>
      </c>
      <c r="AA432" t="str">
        <f t="shared" si="82"/>
        <v>No</v>
      </c>
      <c r="AB432" t="str">
        <f t="shared" si="83"/>
        <v>No</v>
      </c>
      <c r="AC432" s="12">
        <v>93</v>
      </c>
      <c r="AD432" s="12">
        <f t="shared" si="84"/>
        <v>93</v>
      </c>
    </row>
    <row r="433" spans="1:30" x14ac:dyDescent="0.3">
      <c r="A433" t="s">
        <v>956</v>
      </c>
      <c r="B433" t="s">
        <v>957</v>
      </c>
      <c r="C433" t="s">
        <v>2486</v>
      </c>
      <c r="D433" t="s">
        <v>2266</v>
      </c>
      <c r="E433" t="str">
        <f t="shared" si="73"/>
        <v>Dr. Paul</v>
      </c>
      <c r="F433" t="str">
        <f t="shared" si="74"/>
        <v>Dr. Paul</v>
      </c>
      <c r="H433" t="s">
        <v>107</v>
      </c>
      <c r="I433" t="str">
        <f t="shared" si="75"/>
        <v>Male</v>
      </c>
      <c r="J433">
        <v>40</v>
      </c>
      <c r="K433">
        <f t="shared" si="76"/>
        <v>40</v>
      </c>
      <c r="L433" t="str">
        <f t="shared" si="77"/>
        <v>Second level</v>
      </c>
      <c r="M433" t="s">
        <v>103</v>
      </c>
      <c r="N433" t="s">
        <v>104</v>
      </c>
      <c r="O433" t="s">
        <v>49</v>
      </c>
      <c r="P433">
        <v>13</v>
      </c>
      <c r="Q433">
        <f t="shared" si="78"/>
        <v>13</v>
      </c>
      <c r="R433" t="s">
        <v>26</v>
      </c>
      <c r="S433" s="8" t="s">
        <v>18</v>
      </c>
      <c r="T433" s="9">
        <v>100</v>
      </c>
      <c r="U433" s="9">
        <f t="shared" si="79"/>
        <v>100</v>
      </c>
      <c r="V433" s="10">
        <v>100</v>
      </c>
      <c r="W433">
        <v>1.1000000000000001</v>
      </c>
      <c r="X433" s="11">
        <f t="shared" si="80"/>
        <v>1.1000000000000001</v>
      </c>
      <c r="Y433" t="s">
        <v>2103</v>
      </c>
      <c r="Z433" t="str">
        <f t="shared" si="81"/>
        <v>Yes</v>
      </c>
      <c r="AA433" t="str">
        <f t="shared" si="82"/>
        <v>Yes</v>
      </c>
      <c r="AB433" t="str">
        <f t="shared" si="83"/>
        <v>Yes</v>
      </c>
      <c r="AC433" s="12"/>
      <c r="AD433" s="12">
        <f t="shared" si="84"/>
        <v>79.490486257928112</v>
      </c>
    </row>
    <row r="434" spans="1:30" x14ac:dyDescent="0.3">
      <c r="A434" t="s">
        <v>958</v>
      </c>
      <c r="B434" t="s">
        <v>959</v>
      </c>
      <c r="C434" t="s">
        <v>2209</v>
      </c>
      <c r="D434" t="s">
        <v>2186</v>
      </c>
      <c r="E434" t="str">
        <f t="shared" si="73"/>
        <v>Barbara Brown</v>
      </c>
      <c r="F434" t="str">
        <f t="shared" si="74"/>
        <v>Barbara Brown</v>
      </c>
      <c r="H434" t="s">
        <v>86</v>
      </c>
      <c r="I434" t="str">
        <f t="shared" si="75"/>
        <v>Female</v>
      </c>
      <c r="J434">
        <v>53</v>
      </c>
      <c r="K434">
        <f t="shared" si="76"/>
        <v>53</v>
      </c>
      <c r="L434" t="str">
        <f t="shared" si="77"/>
        <v>Fourth level</v>
      </c>
      <c r="M434" t="s">
        <v>47</v>
      </c>
      <c r="N434" t="s">
        <v>48</v>
      </c>
      <c r="O434" t="s">
        <v>124</v>
      </c>
      <c r="P434">
        <v>13</v>
      </c>
      <c r="Q434">
        <f t="shared" si="78"/>
        <v>13</v>
      </c>
      <c r="R434" t="s">
        <v>72</v>
      </c>
      <c r="S434" s="8" t="s">
        <v>72</v>
      </c>
      <c r="T434" s="9">
        <v>50</v>
      </c>
      <c r="U434" s="9">
        <f t="shared" si="79"/>
        <v>50</v>
      </c>
      <c r="V434" s="10">
        <v>50</v>
      </c>
      <c r="W434">
        <v>3.3</v>
      </c>
      <c r="X434" s="11">
        <f t="shared" si="80"/>
        <v>3.3</v>
      </c>
      <c r="Y434" t="s">
        <v>2103</v>
      </c>
      <c r="Z434" t="str">
        <f t="shared" si="81"/>
        <v>Yes</v>
      </c>
      <c r="AA434" t="str">
        <f t="shared" si="82"/>
        <v>Yes</v>
      </c>
      <c r="AB434" t="str">
        <f t="shared" si="83"/>
        <v>Yes</v>
      </c>
      <c r="AC434" s="12">
        <v>93</v>
      </c>
      <c r="AD434" s="12">
        <f t="shared" si="84"/>
        <v>93</v>
      </c>
    </row>
    <row r="435" spans="1:30" x14ac:dyDescent="0.3">
      <c r="A435" t="s">
        <v>960</v>
      </c>
      <c r="B435" t="s">
        <v>961</v>
      </c>
      <c r="C435" t="s">
        <v>2281</v>
      </c>
      <c r="D435" t="s">
        <v>2521</v>
      </c>
      <c r="E435" t="str">
        <f t="shared" si="73"/>
        <v>Kimberly Allen</v>
      </c>
      <c r="F435" t="str">
        <f t="shared" si="74"/>
        <v>Kimberly Allen</v>
      </c>
      <c r="H435" t="s">
        <v>86</v>
      </c>
      <c r="I435" t="str">
        <f t="shared" si="75"/>
        <v>Female</v>
      </c>
      <c r="J435">
        <v>35</v>
      </c>
      <c r="K435">
        <f t="shared" si="76"/>
        <v>35</v>
      </c>
      <c r="L435" t="str">
        <f t="shared" si="77"/>
        <v>Second level</v>
      </c>
      <c r="M435" t="s">
        <v>31</v>
      </c>
      <c r="N435" t="s">
        <v>32</v>
      </c>
      <c r="O435" t="s">
        <v>17</v>
      </c>
      <c r="P435">
        <v>0</v>
      </c>
      <c r="Q435">
        <f t="shared" si="78"/>
        <v>0</v>
      </c>
      <c r="R435" t="s">
        <v>119</v>
      </c>
      <c r="S435" s="8" t="s">
        <v>2096</v>
      </c>
      <c r="T435" s="9">
        <v>30</v>
      </c>
      <c r="U435" s="9">
        <f t="shared" si="79"/>
        <v>30</v>
      </c>
      <c r="V435" s="10">
        <v>30</v>
      </c>
      <c r="W435">
        <v>4.5999999999999996</v>
      </c>
      <c r="X435" s="11">
        <f t="shared" si="80"/>
        <v>4.5999999999999996</v>
      </c>
      <c r="Y435" t="s">
        <v>65</v>
      </c>
      <c r="AA435" t="str">
        <f t="shared" si="82"/>
        <v>Unknown</v>
      </c>
      <c r="AB435" t="str">
        <f t="shared" si="83"/>
        <v>Unknown</v>
      </c>
      <c r="AC435" s="12">
        <v>97</v>
      </c>
      <c r="AD435" s="12">
        <f t="shared" si="84"/>
        <v>97</v>
      </c>
    </row>
    <row r="436" spans="1:30" x14ac:dyDescent="0.3">
      <c r="A436" t="s">
        <v>962</v>
      </c>
      <c r="B436" t="s">
        <v>963</v>
      </c>
      <c r="C436" t="s">
        <v>2287</v>
      </c>
      <c r="D436" t="s">
        <v>2349</v>
      </c>
      <c r="E436" t="str">
        <f t="shared" si="73"/>
        <v>Elizabeth Edwards</v>
      </c>
      <c r="F436" t="str">
        <f t="shared" si="74"/>
        <v>Elizabeth Edwards</v>
      </c>
      <c r="H436" t="s">
        <v>22</v>
      </c>
      <c r="I436" t="str">
        <f t="shared" si="75"/>
        <v>Female</v>
      </c>
      <c r="J436">
        <v>27</v>
      </c>
      <c r="K436">
        <f t="shared" si="76"/>
        <v>27</v>
      </c>
      <c r="L436" t="str">
        <f t="shared" si="77"/>
        <v>First level</v>
      </c>
      <c r="M436" t="s">
        <v>80</v>
      </c>
      <c r="N436" t="s">
        <v>81</v>
      </c>
      <c r="O436" t="s">
        <v>124</v>
      </c>
      <c r="P436">
        <v>7</v>
      </c>
      <c r="Q436">
        <f t="shared" si="78"/>
        <v>7</v>
      </c>
      <c r="R436" t="s">
        <v>58</v>
      </c>
      <c r="S436" s="8" t="s">
        <v>2093</v>
      </c>
      <c r="T436" s="9">
        <v>75</v>
      </c>
      <c r="U436" s="9">
        <f t="shared" si="79"/>
        <v>75</v>
      </c>
      <c r="V436" s="10">
        <v>75</v>
      </c>
      <c r="W436">
        <v>2.8</v>
      </c>
      <c r="X436" s="11">
        <f t="shared" si="80"/>
        <v>2.8</v>
      </c>
      <c r="Y436" t="s">
        <v>2103</v>
      </c>
      <c r="Z436" t="str">
        <f t="shared" si="81"/>
        <v>Yes</v>
      </c>
      <c r="AA436" t="str">
        <f t="shared" si="82"/>
        <v>Yes</v>
      </c>
      <c r="AB436" t="str">
        <f t="shared" si="83"/>
        <v>Yes</v>
      </c>
      <c r="AC436" s="12">
        <v>92</v>
      </c>
      <c r="AD436" s="12">
        <f t="shared" si="84"/>
        <v>92</v>
      </c>
    </row>
    <row r="437" spans="1:30" x14ac:dyDescent="0.3">
      <c r="A437" t="s">
        <v>964</v>
      </c>
      <c r="B437" t="s">
        <v>965</v>
      </c>
      <c r="C437" t="s">
        <v>2368</v>
      </c>
      <c r="D437" t="s">
        <v>2620</v>
      </c>
      <c r="E437" t="str">
        <f t="shared" si="73"/>
        <v>Anthony Downs</v>
      </c>
      <c r="F437" t="str">
        <f t="shared" si="74"/>
        <v>Anthony Downs</v>
      </c>
      <c r="H437" t="s">
        <v>69</v>
      </c>
      <c r="I437" t="str">
        <f t="shared" si="75"/>
        <v>Male</v>
      </c>
      <c r="J437">
        <v>34</v>
      </c>
      <c r="K437">
        <f t="shared" si="76"/>
        <v>34</v>
      </c>
      <c r="L437" t="str">
        <f t="shared" si="77"/>
        <v>Second level</v>
      </c>
      <c r="M437" t="s">
        <v>23</v>
      </c>
      <c r="N437" t="s">
        <v>24</v>
      </c>
      <c r="O437" t="s">
        <v>99</v>
      </c>
      <c r="P437">
        <v>6</v>
      </c>
      <c r="Q437">
        <f t="shared" si="78"/>
        <v>6</v>
      </c>
      <c r="R437" t="s">
        <v>34</v>
      </c>
      <c r="S437" s="8" t="s">
        <v>34</v>
      </c>
      <c r="T437" s="9">
        <v>50</v>
      </c>
      <c r="U437" s="9">
        <f t="shared" si="79"/>
        <v>50</v>
      </c>
      <c r="V437" s="10">
        <v>50</v>
      </c>
      <c r="W437">
        <v>5</v>
      </c>
      <c r="X437" s="11">
        <f t="shared" si="80"/>
        <v>5</v>
      </c>
      <c r="Y437" t="s">
        <v>2103</v>
      </c>
      <c r="Z437" t="str">
        <f t="shared" si="81"/>
        <v>Yes</v>
      </c>
      <c r="AA437" t="str">
        <f t="shared" si="82"/>
        <v>Yes</v>
      </c>
      <c r="AB437" t="str">
        <f t="shared" si="83"/>
        <v>Yes</v>
      </c>
      <c r="AC437" s="12">
        <v>92</v>
      </c>
      <c r="AD437" s="12">
        <f t="shared" si="84"/>
        <v>92</v>
      </c>
    </row>
    <row r="438" spans="1:30" x14ac:dyDescent="0.3">
      <c r="A438" t="s">
        <v>966</v>
      </c>
      <c r="B438" t="s">
        <v>967</v>
      </c>
      <c r="C438" t="s">
        <v>2621</v>
      </c>
      <c r="D438" t="s">
        <v>2622</v>
      </c>
      <c r="E438" t="str">
        <f t="shared" si="73"/>
        <v>Jack Ortega</v>
      </c>
      <c r="F438" t="str">
        <f t="shared" si="74"/>
        <v>Jack Ortega</v>
      </c>
      <c r="H438" t="s">
        <v>30</v>
      </c>
      <c r="I438" t="str">
        <f t="shared" si="75"/>
        <v>Male</v>
      </c>
      <c r="J438">
        <v>24</v>
      </c>
      <c r="K438">
        <f t="shared" si="76"/>
        <v>24</v>
      </c>
      <c r="L438" t="str">
        <f t="shared" si="77"/>
        <v>First level</v>
      </c>
      <c r="M438" t="s">
        <v>103</v>
      </c>
      <c r="N438" t="s">
        <v>104</v>
      </c>
      <c r="O438" t="s">
        <v>87</v>
      </c>
      <c r="P438">
        <v>2</v>
      </c>
      <c r="Q438">
        <f t="shared" si="78"/>
        <v>2</v>
      </c>
      <c r="R438" t="s">
        <v>92</v>
      </c>
      <c r="S438" s="8" t="s">
        <v>92</v>
      </c>
      <c r="T438" s="9">
        <v>75</v>
      </c>
      <c r="U438" s="9">
        <f t="shared" si="79"/>
        <v>75</v>
      </c>
      <c r="V438" s="10">
        <v>75</v>
      </c>
      <c r="W438">
        <v>4.7</v>
      </c>
      <c r="X438" s="11">
        <f t="shared" si="80"/>
        <v>4.7</v>
      </c>
      <c r="Y438" t="s">
        <v>170</v>
      </c>
      <c r="Z438" t="str">
        <f t="shared" si="81"/>
        <v>no</v>
      </c>
      <c r="AA438" t="str">
        <f t="shared" si="82"/>
        <v>no</v>
      </c>
      <c r="AB438" t="str">
        <f t="shared" si="83"/>
        <v>No</v>
      </c>
      <c r="AC438" s="12">
        <v>68</v>
      </c>
      <c r="AD438" s="12">
        <f t="shared" si="84"/>
        <v>68</v>
      </c>
    </row>
    <row r="439" spans="1:30" x14ac:dyDescent="0.3">
      <c r="A439" t="s">
        <v>968</v>
      </c>
      <c r="B439" t="s">
        <v>969</v>
      </c>
      <c r="C439" t="s">
        <v>2623</v>
      </c>
      <c r="D439" t="s">
        <v>2415</v>
      </c>
      <c r="E439" t="str">
        <f t="shared" si="73"/>
        <v>Marvin Moore</v>
      </c>
      <c r="F439" t="str">
        <f t="shared" si="74"/>
        <v>Marvin Moore</v>
      </c>
      <c r="H439" t="s">
        <v>30</v>
      </c>
      <c r="I439" t="str">
        <f t="shared" si="75"/>
        <v>Male</v>
      </c>
      <c r="J439">
        <v>57</v>
      </c>
      <c r="K439">
        <f t="shared" si="76"/>
        <v>57</v>
      </c>
      <c r="L439" t="str">
        <f t="shared" si="77"/>
        <v>Fourth level</v>
      </c>
      <c r="M439" t="s">
        <v>64</v>
      </c>
      <c r="N439" t="s">
        <v>24</v>
      </c>
      <c r="O439" t="s">
        <v>82</v>
      </c>
      <c r="P439">
        <v>13</v>
      </c>
      <c r="Q439">
        <f t="shared" si="78"/>
        <v>13</v>
      </c>
      <c r="R439" t="s">
        <v>18</v>
      </c>
      <c r="S439" s="8" t="s">
        <v>18</v>
      </c>
      <c r="T439" s="9">
        <v>100</v>
      </c>
      <c r="U439" s="9">
        <f t="shared" si="79"/>
        <v>100</v>
      </c>
      <c r="V439" s="10">
        <v>100</v>
      </c>
      <c r="W439">
        <v>3.5</v>
      </c>
      <c r="X439" s="11">
        <f t="shared" si="80"/>
        <v>3.5</v>
      </c>
      <c r="Y439" t="s">
        <v>170</v>
      </c>
      <c r="Z439" t="str">
        <f t="shared" si="81"/>
        <v>no</v>
      </c>
      <c r="AA439" t="str">
        <f t="shared" si="82"/>
        <v>no</v>
      </c>
      <c r="AB439" t="str">
        <f t="shared" si="83"/>
        <v>No</v>
      </c>
      <c r="AC439" s="12">
        <v>95</v>
      </c>
      <c r="AD439" s="12">
        <f t="shared" si="84"/>
        <v>95</v>
      </c>
    </row>
    <row r="440" spans="1:30" x14ac:dyDescent="0.3">
      <c r="A440" t="s">
        <v>970</v>
      </c>
      <c r="B440" t="s">
        <v>971</v>
      </c>
      <c r="C440" t="s">
        <v>2624</v>
      </c>
      <c r="D440" t="s">
        <v>146</v>
      </c>
      <c r="E440" t="str">
        <f t="shared" si="73"/>
        <v>Tony French</v>
      </c>
      <c r="F440" t="str">
        <f t="shared" si="74"/>
        <v>Tony French</v>
      </c>
      <c r="H440" t="s">
        <v>107</v>
      </c>
      <c r="I440" t="str">
        <f t="shared" si="75"/>
        <v>Male</v>
      </c>
      <c r="J440">
        <v>28</v>
      </c>
      <c r="K440">
        <f t="shared" si="76"/>
        <v>28</v>
      </c>
      <c r="L440" t="str">
        <f t="shared" si="77"/>
        <v>First level</v>
      </c>
      <c r="M440" t="s">
        <v>122</v>
      </c>
      <c r="N440" t="s">
        <v>123</v>
      </c>
      <c r="O440" t="s">
        <v>82</v>
      </c>
      <c r="P440">
        <v>7</v>
      </c>
      <c r="Q440">
        <f t="shared" si="78"/>
        <v>7</v>
      </c>
      <c r="R440" t="s">
        <v>240</v>
      </c>
      <c r="S440" s="8" t="s">
        <v>18</v>
      </c>
      <c r="T440" s="9">
        <v>100</v>
      </c>
      <c r="U440" s="9">
        <f t="shared" si="79"/>
        <v>100</v>
      </c>
      <c r="V440" s="10">
        <v>100</v>
      </c>
      <c r="W440">
        <v>4.3</v>
      </c>
      <c r="X440" s="11">
        <f t="shared" si="80"/>
        <v>4.3</v>
      </c>
      <c r="Y440" t="s">
        <v>2102</v>
      </c>
      <c r="Z440" t="str">
        <f t="shared" si="81"/>
        <v>No</v>
      </c>
      <c r="AA440" t="str">
        <f t="shared" si="82"/>
        <v>No</v>
      </c>
      <c r="AB440" t="str">
        <f t="shared" si="83"/>
        <v>No</v>
      </c>
      <c r="AC440" s="12">
        <v>76</v>
      </c>
      <c r="AD440" s="12">
        <f t="shared" si="84"/>
        <v>76</v>
      </c>
    </row>
    <row r="441" spans="1:30" x14ac:dyDescent="0.3">
      <c r="A441" t="s">
        <v>972</v>
      </c>
      <c r="B441" t="s">
        <v>973</v>
      </c>
      <c r="C441" t="s">
        <v>2279</v>
      </c>
      <c r="D441" t="s">
        <v>2530</v>
      </c>
      <c r="E441" t="str">
        <f t="shared" si="73"/>
        <v>Stacy Hudson</v>
      </c>
      <c r="F441" t="str">
        <f t="shared" si="74"/>
        <v>Stacy Hudson</v>
      </c>
      <c r="H441" t="s">
        <v>86</v>
      </c>
      <c r="I441" t="str">
        <f t="shared" si="75"/>
        <v>Female</v>
      </c>
      <c r="J441">
        <v>26</v>
      </c>
      <c r="K441">
        <f t="shared" si="76"/>
        <v>26</v>
      </c>
      <c r="L441" t="str">
        <f t="shared" si="77"/>
        <v>First level</v>
      </c>
      <c r="M441" t="s">
        <v>15</v>
      </c>
      <c r="N441" t="s">
        <v>16</v>
      </c>
      <c r="O441" t="s">
        <v>99</v>
      </c>
      <c r="P441">
        <v>7</v>
      </c>
      <c r="Q441">
        <f t="shared" si="78"/>
        <v>7</v>
      </c>
      <c r="R441" t="s">
        <v>26</v>
      </c>
      <c r="S441" s="8" t="s">
        <v>18</v>
      </c>
      <c r="T441" s="9">
        <v>100</v>
      </c>
      <c r="U441" s="9">
        <f t="shared" si="79"/>
        <v>100</v>
      </c>
      <c r="V441" s="10">
        <v>100</v>
      </c>
      <c r="W441">
        <v>3.3</v>
      </c>
      <c r="X441" s="11">
        <f t="shared" si="80"/>
        <v>3.3</v>
      </c>
      <c r="Y441" t="s">
        <v>77</v>
      </c>
      <c r="Z441" t="str">
        <f t="shared" si="81"/>
        <v>yes</v>
      </c>
      <c r="AA441" t="str">
        <f t="shared" si="82"/>
        <v>yes</v>
      </c>
      <c r="AB441" t="str">
        <f t="shared" si="83"/>
        <v>Yes</v>
      </c>
      <c r="AC441" s="12">
        <v>66</v>
      </c>
      <c r="AD441" s="12">
        <f t="shared" si="84"/>
        <v>66</v>
      </c>
    </row>
    <row r="442" spans="1:30" x14ac:dyDescent="0.3">
      <c r="A442" t="s">
        <v>974</v>
      </c>
      <c r="B442" t="s">
        <v>975</v>
      </c>
      <c r="C442" t="s">
        <v>2138</v>
      </c>
      <c r="D442" t="s">
        <v>2625</v>
      </c>
      <c r="E442" t="str">
        <f t="shared" si="73"/>
        <v>Scott Washington</v>
      </c>
      <c r="F442" t="str">
        <f t="shared" si="74"/>
        <v>Scott Washington</v>
      </c>
      <c r="H442" t="s">
        <v>107</v>
      </c>
      <c r="I442" t="str">
        <f t="shared" si="75"/>
        <v>Male</v>
      </c>
      <c r="J442">
        <v>34</v>
      </c>
      <c r="K442">
        <f t="shared" si="76"/>
        <v>34</v>
      </c>
      <c r="L442" t="str">
        <f t="shared" si="77"/>
        <v>Second level</v>
      </c>
      <c r="M442" t="s">
        <v>80</v>
      </c>
      <c r="N442" t="s">
        <v>81</v>
      </c>
      <c r="O442" t="s">
        <v>25</v>
      </c>
      <c r="P442">
        <v>15</v>
      </c>
      <c r="Q442">
        <f t="shared" si="78"/>
        <v>15</v>
      </c>
      <c r="R442" t="s">
        <v>92</v>
      </c>
      <c r="S442" s="8" t="s">
        <v>92</v>
      </c>
      <c r="T442" s="9">
        <v>75</v>
      </c>
      <c r="U442" s="9">
        <f t="shared" si="79"/>
        <v>75</v>
      </c>
      <c r="V442" s="10">
        <v>75</v>
      </c>
      <c r="X442" s="11">
        <f t="shared" si="80"/>
        <v>2.5431726907630514</v>
      </c>
      <c r="Y442" t="s">
        <v>2102</v>
      </c>
      <c r="Z442" t="str">
        <f t="shared" si="81"/>
        <v>No</v>
      </c>
      <c r="AA442" t="str">
        <f t="shared" si="82"/>
        <v>No</v>
      </c>
      <c r="AB442" t="str">
        <f t="shared" si="83"/>
        <v>No</v>
      </c>
      <c r="AC442" s="12">
        <v>73</v>
      </c>
      <c r="AD442" s="12">
        <f t="shared" si="84"/>
        <v>73</v>
      </c>
    </row>
    <row r="443" spans="1:30" x14ac:dyDescent="0.3">
      <c r="A443" t="s">
        <v>976</v>
      </c>
      <c r="B443" t="s">
        <v>977</v>
      </c>
      <c r="C443" t="s">
        <v>2163</v>
      </c>
      <c r="D443" t="s">
        <v>2207</v>
      </c>
      <c r="E443" t="str">
        <f t="shared" si="73"/>
        <v>Timothy Wright</v>
      </c>
      <c r="F443" t="str">
        <f t="shared" si="74"/>
        <v>Timothy Wright</v>
      </c>
      <c r="H443" t="s">
        <v>107</v>
      </c>
      <c r="I443" t="str">
        <f t="shared" si="75"/>
        <v>Male</v>
      </c>
      <c r="J443">
        <v>43</v>
      </c>
      <c r="K443">
        <f t="shared" si="76"/>
        <v>43</v>
      </c>
      <c r="L443" t="str">
        <f t="shared" si="77"/>
        <v>Third level</v>
      </c>
      <c r="M443" t="s">
        <v>95</v>
      </c>
      <c r="N443" t="s">
        <v>96</v>
      </c>
      <c r="O443" t="s">
        <v>49</v>
      </c>
      <c r="Q443">
        <f t="shared" si="78"/>
        <v>13</v>
      </c>
      <c r="R443" t="s">
        <v>325</v>
      </c>
      <c r="S443" s="8" t="s">
        <v>2097</v>
      </c>
      <c r="T443" s="9">
        <v>20</v>
      </c>
      <c r="U443" s="9">
        <f t="shared" si="79"/>
        <v>20</v>
      </c>
      <c r="V443" s="10">
        <v>20</v>
      </c>
      <c r="W443">
        <v>2.8</v>
      </c>
      <c r="X443" s="11">
        <f t="shared" si="80"/>
        <v>2.8</v>
      </c>
      <c r="Y443" t="s">
        <v>65</v>
      </c>
      <c r="AA443" t="str">
        <f t="shared" si="82"/>
        <v>Unknown</v>
      </c>
      <c r="AB443" t="str">
        <f t="shared" si="83"/>
        <v>Unknown</v>
      </c>
      <c r="AC443" s="12">
        <v>99</v>
      </c>
      <c r="AD443" s="12">
        <f t="shared" si="84"/>
        <v>99</v>
      </c>
    </row>
    <row r="444" spans="1:30" x14ac:dyDescent="0.3">
      <c r="A444" t="s">
        <v>978</v>
      </c>
      <c r="B444" t="s">
        <v>979</v>
      </c>
      <c r="C444" t="s">
        <v>2380</v>
      </c>
      <c r="D444" t="s">
        <v>2430</v>
      </c>
      <c r="E444" t="str">
        <f t="shared" si="73"/>
        <v>Joseph Gonzalez</v>
      </c>
      <c r="F444" t="str">
        <f t="shared" si="74"/>
        <v>Joseph Gonzalez</v>
      </c>
      <c r="H444" t="s">
        <v>107</v>
      </c>
      <c r="I444" t="str">
        <f t="shared" si="75"/>
        <v>Male</v>
      </c>
      <c r="J444">
        <v>31</v>
      </c>
      <c r="K444">
        <f t="shared" si="76"/>
        <v>31</v>
      </c>
      <c r="L444" t="str">
        <f t="shared" si="77"/>
        <v>Second level</v>
      </c>
      <c r="M444" t="s">
        <v>186</v>
      </c>
      <c r="N444" t="s">
        <v>187</v>
      </c>
      <c r="O444" t="s">
        <v>33</v>
      </c>
      <c r="P444">
        <v>5</v>
      </c>
      <c r="Q444">
        <f t="shared" si="78"/>
        <v>5</v>
      </c>
      <c r="R444" t="s">
        <v>65</v>
      </c>
      <c r="S444" s="8" t="s">
        <v>65</v>
      </c>
      <c r="T444" s="9"/>
      <c r="U444" s="9">
        <f t="shared" si="79"/>
        <v>53.251473477406677</v>
      </c>
      <c r="V444" s="10">
        <v>53.251473477406677</v>
      </c>
      <c r="W444">
        <v>2.7</v>
      </c>
      <c r="X444" s="11">
        <f t="shared" si="80"/>
        <v>2.7</v>
      </c>
      <c r="Y444" t="s">
        <v>2103</v>
      </c>
      <c r="Z444" t="str">
        <f t="shared" si="81"/>
        <v>Yes</v>
      </c>
      <c r="AA444" t="str">
        <f t="shared" si="82"/>
        <v>Yes</v>
      </c>
      <c r="AB444" t="str">
        <f t="shared" si="83"/>
        <v>Yes</v>
      </c>
      <c r="AC444" s="12">
        <v>94</v>
      </c>
      <c r="AD444" s="12">
        <f t="shared" si="84"/>
        <v>94</v>
      </c>
    </row>
    <row r="445" spans="1:30" x14ac:dyDescent="0.3">
      <c r="A445" t="s">
        <v>980</v>
      </c>
      <c r="B445" t="s">
        <v>981</v>
      </c>
      <c r="C445" t="s">
        <v>2626</v>
      </c>
      <c r="D445" t="s">
        <v>2627</v>
      </c>
      <c r="E445" t="str">
        <f t="shared" si="73"/>
        <v>Andrea Perez</v>
      </c>
      <c r="F445" t="str">
        <f t="shared" si="74"/>
        <v>Andrea Perez</v>
      </c>
      <c r="H445" t="s">
        <v>22</v>
      </c>
      <c r="I445" t="str">
        <f t="shared" si="75"/>
        <v>Female</v>
      </c>
      <c r="J445">
        <v>34</v>
      </c>
      <c r="K445">
        <f t="shared" si="76"/>
        <v>34</v>
      </c>
      <c r="L445" t="str">
        <f t="shared" si="77"/>
        <v>Second level</v>
      </c>
      <c r="M445" t="s">
        <v>186</v>
      </c>
      <c r="N445" t="s">
        <v>187</v>
      </c>
      <c r="O445" t="s">
        <v>17</v>
      </c>
      <c r="Q445">
        <f t="shared" si="78"/>
        <v>9</v>
      </c>
      <c r="R445" t="s">
        <v>72</v>
      </c>
      <c r="S445" s="8" t="s">
        <v>72</v>
      </c>
      <c r="T445" s="9">
        <v>50</v>
      </c>
      <c r="U445" s="9">
        <f t="shared" si="79"/>
        <v>50</v>
      </c>
      <c r="V445" s="10">
        <v>50</v>
      </c>
      <c r="W445">
        <v>0</v>
      </c>
      <c r="X445" s="11">
        <f t="shared" si="80"/>
        <v>0</v>
      </c>
      <c r="Y445" t="s">
        <v>2102</v>
      </c>
      <c r="Z445" t="str">
        <f t="shared" si="81"/>
        <v>No</v>
      </c>
      <c r="AA445" t="str">
        <f t="shared" si="82"/>
        <v>No</v>
      </c>
      <c r="AB445" t="str">
        <f t="shared" si="83"/>
        <v>No</v>
      </c>
      <c r="AC445" s="12">
        <v>84</v>
      </c>
      <c r="AD445" s="12">
        <f t="shared" si="84"/>
        <v>84</v>
      </c>
    </row>
    <row r="446" spans="1:30" x14ac:dyDescent="0.3">
      <c r="A446" t="s">
        <v>982</v>
      </c>
      <c r="B446" t="s">
        <v>983</v>
      </c>
      <c r="C446" t="s">
        <v>2628</v>
      </c>
      <c r="D446" t="s">
        <v>2629</v>
      </c>
      <c r="E446" t="str">
        <f t="shared" si="73"/>
        <v>Angel Collins</v>
      </c>
      <c r="F446" t="str">
        <f t="shared" si="74"/>
        <v>Angel Collins</v>
      </c>
      <c r="H446" t="s">
        <v>86</v>
      </c>
      <c r="I446" t="str">
        <f t="shared" si="75"/>
        <v>Female</v>
      </c>
      <c r="J446">
        <v>32</v>
      </c>
      <c r="K446">
        <f t="shared" si="76"/>
        <v>32</v>
      </c>
      <c r="L446" t="str">
        <f t="shared" si="77"/>
        <v>Second level</v>
      </c>
      <c r="M446" t="s">
        <v>134</v>
      </c>
      <c r="N446" t="s">
        <v>135</v>
      </c>
      <c r="O446" t="s">
        <v>87</v>
      </c>
      <c r="P446">
        <v>10</v>
      </c>
      <c r="Q446">
        <f t="shared" si="78"/>
        <v>10</v>
      </c>
      <c r="R446" t="s">
        <v>131</v>
      </c>
      <c r="S446" s="8" t="s">
        <v>131</v>
      </c>
      <c r="T446" s="9">
        <v>20</v>
      </c>
      <c r="U446" s="9">
        <f t="shared" si="79"/>
        <v>20</v>
      </c>
      <c r="V446" s="10">
        <v>20</v>
      </c>
      <c r="X446" s="11">
        <f t="shared" si="80"/>
        <v>2.5474747474747463</v>
      </c>
      <c r="Y446" t="s">
        <v>2103</v>
      </c>
      <c r="Z446" t="str">
        <f t="shared" si="81"/>
        <v>Yes</v>
      </c>
      <c r="AA446" t="str">
        <f t="shared" si="82"/>
        <v>Yes</v>
      </c>
      <c r="AB446" t="str">
        <f t="shared" si="83"/>
        <v>Yes</v>
      </c>
      <c r="AC446" s="12">
        <v>92</v>
      </c>
      <c r="AD446" s="12">
        <f t="shared" si="84"/>
        <v>92</v>
      </c>
    </row>
    <row r="447" spans="1:30" x14ac:dyDescent="0.3">
      <c r="A447" t="s">
        <v>984</v>
      </c>
      <c r="B447" t="s">
        <v>985</v>
      </c>
      <c r="C447" t="s">
        <v>2447</v>
      </c>
      <c r="D447" t="s">
        <v>2630</v>
      </c>
      <c r="E447" t="str">
        <f t="shared" si="73"/>
        <v>Daniel Terry</v>
      </c>
      <c r="F447" t="str">
        <f t="shared" si="74"/>
        <v>Daniel Terry</v>
      </c>
      <c r="H447" t="s">
        <v>107</v>
      </c>
      <c r="I447" t="str">
        <f t="shared" si="75"/>
        <v>Male</v>
      </c>
      <c r="J447">
        <v>24</v>
      </c>
      <c r="K447">
        <f t="shared" si="76"/>
        <v>24</v>
      </c>
      <c r="L447" t="str">
        <f t="shared" si="77"/>
        <v>First level</v>
      </c>
      <c r="M447" t="s">
        <v>149</v>
      </c>
      <c r="N447" t="s">
        <v>150</v>
      </c>
      <c r="O447" t="s">
        <v>99</v>
      </c>
      <c r="P447">
        <v>6</v>
      </c>
      <c r="Q447">
        <f t="shared" si="78"/>
        <v>6</v>
      </c>
      <c r="R447" t="s">
        <v>181</v>
      </c>
      <c r="S447" s="8" t="s">
        <v>181</v>
      </c>
      <c r="T447" s="9">
        <v>75</v>
      </c>
      <c r="U447" s="9">
        <f t="shared" si="79"/>
        <v>75</v>
      </c>
      <c r="V447" s="10">
        <v>75</v>
      </c>
      <c r="W447">
        <v>4.3</v>
      </c>
      <c r="X447" s="11">
        <f t="shared" si="80"/>
        <v>4.3</v>
      </c>
      <c r="Y447" t="s">
        <v>77</v>
      </c>
      <c r="Z447" t="str">
        <f t="shared" si="81"/>
        <v>yes</v>
      </c>
      <c r="AA447" t="str">
        <f t="shared" si="82"/>
        <v>yes</v>
      </c>
      <c r="AB447" t="str">
        <f t="shared" si="83"/>
        <v>Yes</v>
      </c>
      <c r="AC447" s="12"/>
      <c r="AD447" s="12">
        <f t="shared" si="84"/>
        <v>79.3</v>
      </c>
    </row>
    <row r="448" spans="1:30" x14ac:dyDescent="0.3">
      <c r="A448" t="s">
        <v>986</v>
      </c>
      <c r="B448" t="s">
        <v>987</v>
      </c>
      <c r="C448" t="s">
        <v>2336</v>
      </c>
      <c r="D448" t="s">
        <v>2631</v>
      </c>
      <c r="E448" t="str">
        <f t="shared" si="73"/>
        <v>Steven Whitaker</v>
      </c>
      <c r="F448" t="str">
        <f t="shared" si="74"/>
        <v>Steven Whitaker</v>
      </c>
      <c r="H448" t="s">
        <v>30</v>
      </c>
      <c r="I448" t="str">
        <f t="shared" si="75"/>
        <v>Male</v>
      </c>
      <c r="J448">
        <v>35</v>
      </c>
      <c r="K448">
        <f t="shared" si="76"/>
        <v>35</v>
      </c>
      <c r="L448" t="str">
        <f t="shared" si="77"/>
        <v>Second level</v>
      </c>
      <c r="M448" t="s">
        <v>75</v>
      </c>
      <c r="N448" t="s">
        <v>24</v>
      </c>
      <c r="O448" t="s">
        <v>49</v>
      </c>
      <c r="P448">
        <v>8</v>
      </c>
      <c r="Q448">
        <f t="shared" si="78"/>
        <v>8</v>
      </c>
      <c r="R448" t="s">
        <v>108</v>
      </c>
      <c r="S448" s="8" t="s">
        <v>2095</v>
      </c>
      <c r="T448" s="9">
        <v>50</v>
      </c>
      <c r="U448" s="9">
        <f t="shared" si="79"/>
        <v>50</v>
      </c>
      <c r="V448" s="10">
        <v>50</v>
      </c>
      <c r="X448" s="11">
        <f t="shared" si="80"/>
        <v>2.5439271255060723</v>
      </c>
      <c r="Y448" t="s">
        <v>170</v>
      </c>
      <c r="Z448" t="str">
        <f t="shared" si="81"/>
        <v>no</v>
      </c>
      <c r="AA448" t="str">
        <f t="shared" si="82"/>
        <v>no</v>
      </c>
      <c r="AB448" t="str">
        <f t="shared" si="83"/>
        <v>No</v>
      </c>
      <c r="AC448" s="12">
        <v>90</v>
      </c>
      <c r="AD448" s="12">
        <f t="shared" si="84"/>
        <v>90</v>
      </c>
    </row>
    <row r="449" spans="1:30" x14ac:dyDescent="0.3">
      <c r="A449" t="s">
        <v>988</v>
      </c>
      <c r="B449" t="s">
        <v>989</v>
      </c>
      <c r="C449" t="s">
        <v>2269</v>
      </c>
      <c r="D449" t="s">
        <v>2632</v>
      </c>
      <c r="E449" t="str">
        <f t="shared" si="73"/>
        <v>Denise Neal</v>
      </c>
      <c r="F449" t="str">
        <f t="shared" si="74"/>
        <v>Denise Neal</v>
      </c>
      <c r="H449" t="s">
        <v>22</v>
      </c>
      <c r="I449" t="str">
        <f t="shared" si="75"/>
        <v>Female</v>
      </c>
      <c r="J449">
        <v>22</v>
      </c>
      <c r="K449">
        <f t="shared" si="76"/>
        <v>22</v>
      </c>
      <c r="L449" t="str">
        <f t="shared" si="77"/>
        <v>First level</v>
      </c>
      <c r="M449" t="s">
        <v>23</v>
      </c>
      <c r="N449" t="s">
        <v>24</v>
      </c>
      <c r="O449" t="s">
        <v>25</v>
      </c>
      <c r="P449">
        <v>4</v>
      </c>
      <c r="Q449">
        <f t="shared" si="78"/>
        <v>4</v>
      </c>
      <c r="R449" t="s">
        <v>151</v>
      </c>
      <c r="S449" s="8" t="s">
        <v>151</v>
      </c>
      <c r="T449" s="9">
        <v>20</v>
      </c>
      <c r="U449" s="9">
        <f t="shared" si="79"/>
        <v>20</v>
      </c>
      <c r="V449" s="10">
        <v>20</v>
      </c>
      <c r="X449" s="11">
        <f t="shared" si="80"/>
        <v>2.5439271255060723</v>
      </c>
      <c r="Y449" t="s">
        <v>2102</v>
      </c>
      <c r="Z449" t="str">
        <f t="shared" si="81"/>
        <v>No</v>
      </c>
      <c r="AA449" t="str">
        <f t="shared" si="82"/>
        <v>No</v>
      </c>
      <c r="AB449" t="str">
        <f t="shared" si="83"/>
        <v>No</v>
      </c>
      <c r="AC449" s="12">
        <v>73</v>
      </c>
      <c r="AD449" s="12">
        <f t="shared" si="84"/>
        <v>73</v>
      </c>
    </row>
    <row r="450" spans="1:30" x14ac:dyDescent="0.3">
      <c r="A450" t="s">
        <v>990</v>
      </c>
      <c r="B450" t="s">
        <v>991</v>
      </c>
      <c r="C450" t="s">
        <v>2112</v>
      </c>
      <c r="D450" t="s">
        <v>2321</v>
      </c>
      <c r="E450" t="str">
        <f t="shared" si="73"/>
        <v>Amanda Jacobs</v>
      </c>
      <c r="F450" t="str">
        <f t="shared" si="74"/>
        <v>Amanda Jacobs</v>
      </c>
      <c r="H450" t="s">
        <v>86</v>
      </c>
      <c r="I450" t="str">
        <f t="shared" si="75"/>
        <v>Female</v>
      </c>
      <c r="J450">
        <v>55</v>
      </c>
      <c r="K450">
        <f t="shared" si="76"/>
        <v>55</v>
      </c>
      <c r="L450" t="str">
        <f t="shared" si="77"/>
        <v>Fourth level</v>
      </c>
      <c r="M450" t="s">
        <v>149</v>
      </c>
      <c r="N450" t="s">
        <v>150</v>
      </c>
      <c r="O450" t="s">
        <v>49</v>
      </c>
      <c r="P450">
        <v>3</v>
      </c>
      <c r="Q450">
        <f t="shared" si="78"/>
        <v>3</v>
      </c>
      <c r="R450" t="s">
        <v>18</v>
      </c>
      <c r="S450" s="8" t="s">
        <v>18</v>
      </c>
      <c r="T450" s="9">
        <v>100</v>
      </c>
      <c r="U450" s="9">
        <f t="shared" si="79"/>
        <v>100</v>
      </c>
      <c r="V450" s="10">
        <v>100</v>
      </c>
      <c r="X450" s="11">
        <f t="shared" si="80"/>
        <v>2.5439271255060723</v>
      </c>
      <c r="Y450" t="s">
        <v>2103</v>
      </c>
      <c r="Z450" t="str">
        <f t="shared" si="81"/>
        <v>Yes</v>
      </c>
      <c r="AA450" t="str">
        <f t="shared" si="82"/>
        <v>Yes</v>
      </c>
      <c r="AB450" t="str">
        <f t="shared" si="83"/>
        <v>Yes</v>
      </c>
      <c r="AC450" s="12">
        <v>73</v>
      </c>
      <c r="AD450" s="12">
        <f t="shared" si="84"/>
        <v>73</v>
      </c>
    </row>
    <row r="451" spans="1:30" x14ac:dyDescent="0.3">
      <c r="A451" t="s">
        <v>992</v>
      </c>
      <c r="B451" t="s">
        <v>993</v>
      </c>
      <c r="C451" t="s">
        <v>2425</v>
      </c>
      <c r="D451" t="s">
        <v>2633</v>
      </c>
      <c r="E451" t="str">
        <f t="shared" ref="E451:E514" si="85">CONCATENATE(C451," ",D451)</f>
        <v>Karen Mercer</v>
      </c>
      <c r="F451" t="str">
        <f t="shared" ref="F451:F514" si="86">PROPER(E451)</f>
        <v>Karen Mercer</v>
      </c>
      <c r="H451" t="s">
        <v>43</v>
      </c>
      <c r="I451" t="str">
        <f t="shared" ref="I451:I514" si="87">PROPER(H451)</f>
        <v>Female</v>
      </c>
      <c r="J451">
        <v>54</v>
      </c>
      <c r="K451">
        <f t="shared" ref="K451:K514" si="88">IF(ISBLANK(J451),ROUND(AVERAGEIF($I$2:$I$1001,I451,$J$2:$J$1001),0),J451)</f>
        <v>54</v>
      </c>
      <c r="L451" t="str">
        <f t="shared" ref="L451:L514" si="89">IF(AND(K451&gt;=20,K451&lt;=30),"First level",IF(AND(K451&gt;30,K451&lt;=40),"Second level",IF(AND(K451&gt;40,K451&lt;=50),"Third level",IF(H458&gt;50,"Fourth level"))))</f>
        <v>Fourth level</v>
      </c>
      <c r="M451" t="s">
        <v>80</v>
      </c>
      <c r="N451" t="s">
        <v>81</v>
      </c>
      <c r="O451" t="s">
        <v>124</v>
      </c>
      <c r="Q451">
        <f t="shared" ref="Q451:Q514" si="90">IF(ISBLANK(P451),ROUND(AVERAGEIF($L$2:$L$1001,L451,$P$2:$P$1001),0),P451)</f>
        <v>19</v>
      </c>
      <c r="R451" t="s">
        <v>44</v>
      </c>
      <c r="S451" s="8" t="s">
        <v>44</v>
      </c>
      <c r="T451" s="9">
        <v>30</v>
      </c>
      <c r="U451" s="9">
        <f t="shared" ref="U451:U514" si="91">IF(ISBLANK(T451),AVERAGE(T450:T1450),T451)</f>
        <v>30</v>
      </c>
      <c r="V451" s="10">
        <v>30</v>
      </c>
      <c r="W451">
        <v>2.9</v>
      </c>
      <c r="X451" s="11">
        <f t="shared" ref="X451:X514" si="92">IF(ISBLANK(W451),AVERAGE(W451:W1450),W451)</f>
        <v>2.9</v>
      </c>
      <c r="Y451" t="s">
        <v>2103</v>
      </c>
      <c r="Z451" t="str">
        <f t="shared" ref="Z451:Z514" si="93">CLEAN(Y451)</f>
        <v>Yes</v>
      </c>
      <c r="AA451" t="str">
        <f t="shared" ref="AA451:AA514" si="94">IF(ISBLANK(Z451),"Unknown",Z451)</f>
        <v>Yes</v>
      </c>
      <c r="AB451" t="str">
        <f t="shared" ref="AB451:AB514" si="95">PROPER(AA451)</f>
        <v>Yes</v>
      </c>
      <c r="AC451" s="12">
        <v>78</v>
      </c>
      <c r="AD451" s="12">
        <f t="shared" ref="AD451:AD514" si="96">IF(ISBLANK(AC451),AVERAGE(AC451:AC1450),AC451)</f>
        <v>78</v>
      </c>
    </row>
    <row r="452" spans="1:30" x14ac:dyDescent="0.3">
      <c r="A452" t="s">
        <v>994</v>
      </c>
      <c r="B452" t="s">
        <v>995</v>
      </c>
      <c r="C452" t="s">
        <v>2634</v>
      </c>
      <c r="D452" t="s">
        <v>2530</v>
      </c>
      <c r="E452" t="str">
        <f t="shared" si="85"/>
        <v>Lindsay Hudson</v>
      </c>
      <c r="F452" t="str">
        <f t="shared" si="86"/>
        <v>Lindsay Hudson</v>
      </c>
      <c r="H452" t="s">
        <v>86</v>
      </c>
      <c r="I452" t="str">
        <f t="shared" si="87"/>
        <v>Female</v>
      </c>
      <c r="J452">
        <v>36</v>
      </c>
      <c r="K452">
        <f t="shared" si="88"/>
        <v>36</v>
      </c>
      <c r="L452" t="str">
        <f t="shared" si="89"/>
        <v>Second level</v>
      </c>
      <c r="M452" t="s">
        <v>47</v>
      </c>
      <c r="N452" t="s">
        <v>48</v>
      </c>
      <c r="O452" t="s">
        <v>87</v>
      </c>
      <c r="P452">
        <v>11</v>
      </c>
      <c r="Q452">
        <f t="shared" si="90"/>
        <v>11</v>
      </c>
      <c r="R452" t="s">
        <v>50</v>
      </c>
      <c r="S452" s="8" t="s">
        <v>50</v>
      </c>
      <c r="T452" s="9">
        <v>30</v>
      </c>
      <c r="U452" s="9">
        <f t="shared" si="91"/>
        <v>30</v>
      </c>
      <c r="V452" s="10">
        <v>30</v>
      </c>
      <c r="W452">
        <v>0</v>
      </c>
      <c r="X452" s="11">
        <f t="shared" si="92"/>
        <v>0</v>
      </c>
      <c r="Y452" t="s">
        <v>2103</v>
      </c>
      <c r="Z452" t="str">
        <f t="shared" si="93"/>
        <v>Yes</v>
      </c>
      <c r="AA452" t="str">
        <f t="shared" si="94"/>
        <v>Yes</v>
      </c>
      <c r="AB452" t="str">
        <f t="shared" si="95"/>
        <v>Yes</v>
      </c>
      <c r="AC452" s="12">
        <v>63</v>
      </c>
      <c r="AD452" s="12">
        <f t="shared" si="96"/>
        <v>63</v>
      </c>
    </row>
    <row r="453" spans="1:30" x14ac:dyDescent="0.3">
      <c r="A453" t="s">
        <v>996</v>
      </c>
      <c r="B453" t="s">
        <v>997</v>
      </c>
      <c r="C453" t="s">
        <v>2455</v>
      </c>
      <c r="D453" t="s">
        <v>2328</v>
      </c>
      <c r="E453" t="str">
        <f t="shared" si="85"/>
        <v>Stephanie Armstrong</v>
      </c>
      <c r="F453" t="str">
        <f t="shared" si="86"/>
        <v>Stephanie Armstrong</v>
      </c>
      <c r="H453" t="s">
        <v>43</v>
      </c>
      <c r="I453" t="str">
        <f t="shared" si="87"/>
        <v>Female</v>
      </c>
      <c r="J453">
        <v>36</v>
      </c>
      <c r="K453">
        <f t="shared" si="88"/>
        <v>36</v>
      </c>
      <c r="L453" t="str">
        <f t="shared" si="89"/>
        <v>Second level</v>
      </c>
      <c r="M453" t="s">
        <v>47</v>
      </c>
      <c r="N453" t="s">
        <v>48</v>
      </c>
      <c r="O453" t="s">
        <v>49</v>
      </c>
      <c r="P453">
        <v>17</v>
      </c>
      <c r="Q453">
        <f t="shared" si="90"/>
        <v>17</v>
      </c>
      <c r="R453" t="s">
        <v>34</v>
      </c>
      <c r="S453" s="8" t="s">
        <v>34</v>
      </c>
      <c r="T453" s="9">
        <v>50</v>
      </c>
      <c r="U453" s="9">
        <f t="shared" si="91"/>
        <v>50</v>
      </c>
      <c r="V453" s="10">
        <v>50</v>
      </c>
      <c r="W453">
        <v>1.3</v>
      </c>
      <c r="X453" s="11">
        <f t="shared" si="92"/>
        <v>1.3</v>
      </c>
      <c r="Y453" t="s">
        <v>65</v>
      </c>
      <c r="AA453" t="str">
        <f t="shared" si="94"/>
        <v>Unknown</v>
      </c>
      <c r="AB453" t="str">
        <f t="shared" si="95"/>
        <v>Unknown</v>
      </c>
      <c r="AC453" s="12">
        <v>64</v>
      </c>
      <c r="AD453" s="12">
        <f t="shared" si="96"/>
        <v>64</v>
      </c>
    </row>
    <row r="454" spans="1:30" x14ac:dyDescent="0.3">
      <c r="A454" t="s">
        <v>998</v>
      </c>
      <c r="B454" t="s">
        <v>999</v>
      </c>
      <c r="C454" t="s">
        <v>2486</v>
      </c>
      <c r="D454" t="s">
        <v>2168</v>
      </c>
      <c r="E454" t="str">
        <f t="shared" si="85"/>
        <v>Dr. Jessica</v>
      </c>
      <c r="F454" t="str">
        <f t="shared" si="86"/>
        <v>Dr. Jessica</v>
      </c>
      <c r="H454" t="s">
        <v>86</v>
      </c>
      <c r="I454" t="str">
        <f t="shared" si="87"/>
        <v>Female</v>
      </c>
      <c r="J454">
        <v>25</v>
      </c>
      <c r="K454">
        <f t="shared" si="88"/>
        <v>25</v>
      </c>
      <c r="L454" t="str">
        <f t="shared" si="89"/>
        <v>First level</v>
      </c>
      <c r="M454" t="s">
        <v>80</v>
      </c>
      <c r="N454" t="s">
        <v>81</v>
      </c>
      <c r="O454" t="s">
        <v>39</v>
      </c>
      <c r="P454">
        <v>1</v>
      </c>
      <c r="Q454">
        <f t="shared" si="90"/>
        <v>1</v>
      </c>
      <c r="R454" t="s">
        <v>92</v>
      </c>
      <c r="S454" s="8" t="s">
        <v>92</v>
      </c>
      <c r="T454" s="9">
        <v>75</v>
      </c>
      <c r="U454" s="9">
        <f t="shared" si="91"/>
        <v>75</v>
      </c>
      <c r="V454" s="10">
        <v>75</v>
      </c>
      <c r="W454">
        <v>0</v>
      </c>
      <c r="X454" s="11">
        <f t="shared" si="92"/>
        <v>0</v>
      </c>
      <c r="Y454" t="s">
        <v>2103</v>
      </c>
      <c r="Z454" t="str">
        <f t="shared" si="93"/>
        <v>Yes</v>
      </c>
      <c r="AA454" t="str">
        <f t="shared" si="94"/>
        <v>Yes</v>
      </c>
      <c r="AB454" t="str">
        <f t="shared" si="95"/>
        <v>Yes</v>
      </c>
      <c r="AC454" s="12"/>
      <c r="AD454" s="12">
        <f t="shared" si="96"/>
        <v>79.37665198237886</v>
      </c>
    </row>
    <row r="455" spans="1:30" x14ac:dyDescent="0.3">
      <c r="A455" t="s">
        <v>1000</v>
      </c>
      <c r="B455" t="s">
        <v>1001</v>
      </c>
      <c r="C455" t="s">
        <v>2115</v>
      </c>
      <c r="D455" t="s">
        <v>2635</v>
      </c>
      <c r="E455" t="str">
        <f t="shared" si="85"/>
        <v>Curtis Maxwell</v>
      </c>
      <c r="F455" t="str">
        <f t="shared" si="86"/>
        <v>Curtis Maxwell</v>
      </c>
      <c r="H455" t="s">
        <v>107</v>
      </c>
      <c r="I455" t="str">
        <f t="shared" si="87"/>
        <v>Male</v>
      </c>
      <c r="J455">
        <v>46</v>
      </c>
      <c r="K455">
        <f t="shared" si="88"/>
        <v>46</v>
      </c>
      <c r="L455" t="str">
        <f t="shared" si="89"/>
        <v>Third level</v>
      </c>
      <c r="M455" t="s">
        <v>55</v>
      </c>
      <c r="N455" t="s">
        <v>56</v>
      </c>
      <c r="O455" t="s">
        <v>49</v>
      </c>
      <c r="P455">
        <v>16</v>
      </c>
      <c r="Q455">
        <f t="shared" si="90"/>
        <v>16</v>
      </c>
      <c r="R455" t="s">
        <v>151</v>
      </c>
      <c r="S455" s="8" t="s">
        <v>151</v>
      </c>
      <c r="T455" s="9">
        <v>20</v>
      </c>
      <c r="U455" s="9">
        <f t="shared" si="91"/>
        <v>20</v>
      </c>
      <c r="V455" s="10">
        <v>20</v>
      </c>
      <c r="W455">
        <v>4.8</v>
      </c>
      <c r="X455" s="11">
        <f t="shared" si="92"/>
        <v>4.8</v>
      </c>
      <c r="Y455" t="s">
        <v>2103</v>
      </c>
      <c r="Z455" t="str">
        <f t="shared" si="93"/>
        <v>Yes</v>
      </c>
      <c r="AA455" t="str">
        <f t="shared" si="94"/>
        <v>Yes</v>
      </c>
      <c r="AB455" t="str">
        <f t="shared" si="95"/>
        <v>Yes</v>
      </c>
      <c r="AC455" s="12">
        <v>86</v>
      </c>
      <c r="AD455" s="12">
        <f t="shared" si="96"/>
        <v>86</v>
      </c>
    </row>
    <row r="456" spans="1:30" x14ac:dyDescent="0.3">
      <c r="A456" t="s">
        <v>1002</v>
      </c>
      <c r="B456" t="s">
        <v>1003</v>
      </c>
      <c r="C456" t="s">
        <v>2406</v>
      </c>
      <c r="D456" t="s">
        <v>2224</v>
      </c>
      <c r="E456" t="str">
        <f t="shared" si="85"/>
        <v>Adam Kelly</v>
      </c>
      <c r="F456" t="str">
        <f t="shared" si="86"/>
        <v>Adam Kelly</v>
      </c>
      <c r="H456" t="s">
        <v>107</v>
      </c>
      <c r="I456" t="str">
        <f t="shared" si="87"/>
        <v>Male</v>
      </c>
      <c r="J456">
        <v>41</v>
      </c>
      <c r="K456">
        <f t="shared" si="88"/>
        <v>41</v>
      </c>
      <c r="L456" t="str">
        <f t="shared" si="89"/>
        <v>Third level</v>
      </c>
      <c r="M456" t="s">
        <v>80</v>
      </c>
      <c r="N456" t="s">
        <v>81</v>
      </c>
      <c r="O456" t="s">
        <v>124</v>
      </c>
      <c r="P456">
        <v>11</v>
      </c>
      <c r="Q456">
        <f t="shared" si="90"/>
        <v>11</v>
      </c>
      <c r="R456" t="s">
        <v>40</v>
      </c>
      <c r="S456" s="8" t="s">
        <v>40</v>
      </c>
      <c r="T456" s="9">
        <v>40</v>
      </c>
      <c r="U456" s="9">
        <f t="shared" si="91"/>
        <v>40</v>
      </c>
      <c r="V456" s="10">
        <v>40</v>
      </c>
      <c r="W456">
        <v>2.4</v>
      </c>
      <c r="X456" s="11">
        <f t="shared" si="92"/>
        <v>2.4</v>
      </c>
      <c r="Y456" t="s">
        <v>2102</v>
      </c>
      <c r="Z456" t="str">
        <f t="shared" si="93"/>
        <v>No</v>
      </c>
      <c r="AA456" t="str">
        <f t="shared" si="94"/>
        <v>No</v>
      </c>
      <c r="AB456" t="str">
        <f t="shared" si="95"/>
        <v>No</v>
      </c>
      <c r="AC456" s="12"/>
      <c r="AD456" s="12">
        <f t="shared" si="96"/>
        <v>79.362030905077262</v>
      </c>
    </row>
    <row r="457" spans="1:30" x14ac:dyDescent="0.3">
      <c r="A457" t="s">
        <v>1004</v>
      </c>
      <c r="B457" t="s">
        <v>1005</v>
      </c>
      <c r="C457" t="s">
        <v>2195</v>
      </c>
      <c r="D457" t="s">
        <v>2636</v>
      </c>
      <c r="E457" t="str">
        <f t="shared" si="85"/>
        <v>Julie Becker</v>
      </c>
      <c r="F457" t="str">
        <f t="shared" si="86"/>
        <v>Julie Becker</v>
      </c>
      <c r="H457" t="s">
        <v>22</v>
      </c>
      <c r="I457" t="str">
        <f t="shared" si="87"/>
        <v>Female</v>
      </c>
      <c r="J457">
        <v>21</v>
      </c>
      <c r="K457">
        <f t="shared" si="88"/>
        <v>21</v>
      </c>
      <c r="L457" t="str">
        <f t="shared" si="89"/>
        <v>First level</v>
      </c>
      <c r="M457" t="s">
        <v>134</v>
      </c>
      <c r="N457" t="s">
        <v>135</v>
      </c>
      <c r="O457" t="s">
        <v>25</v>
      </c>
      <c r="P457">
        <v>3</v>
      </c>
      <c r="Q457">
        <f t="shared" si="90"/>
        <v>3</v>
      </c>
      <c r="R457" t="s">
        <v>240</v>
      </c>
      <c r="S457" s="8" t="s">
        <v>18</v>
      </c>
      <c r="T457" s="9">
        <v>100</v>
      </c>
      <c r="U457" s="9">
        <f t="shared" si="91"/>
        <v>100</v>
      </c>
      <c r="V457" s="10">
        <v>100</v>
      </c>
      <c r="W457">
        <v>4.7</v>
      </c>
      <c r="X457" s="11">
        <f t="shared" si="92"/>
        <v>4.7</v>
      </c>
      <c r="Y457" t="s">
        <v>2102</v>
      </c>
      <c r="Z457" t="str">
        <f t="shared" si="93"/>
        <v>No</v>
      </c>
      <c r="AA457" t="str">
        <f t="shared" si="94"/>
        <v>No</v>
      </c>
      <c r="AB457" t="str">
        <f t="shared" si="95"/>
        <v>No</v>
      </c>
      <c r="AC457" s="12">
        <v>96</v>
      </c>
      <c r="AD457" s="12">
        <f t="shared" si="96"/>
        <v>96</v>
      </c>
    </row>
    <row r="458" spans="1:30" x14ac:dyDescent="0.3">
      <c r="A458" t="s">
        <v>1006</v>
      </c>
      <c r="B458" t="s">
        <v>1007</v>
      </c>
      <c r="C458" t="s">
        <v>2143</v>
      </c>
      <c r="D458" t="s">
        <v>2415</v>
      </c>
      <c r="E458" t="str">
        <f t="shared" si="85"/>
        <v>James Moore</v>
      </c>
      <c r="F458" t="str">
        <f t="shared" si="86"/>
        <v>James Moore</v>
      </c>
      <c r="H458" t="s">
        <v>107</v>
      </c>
      <c r="I458" t="str">
        <f t="shared" si="87"/>
        <v>Male</v>
      </c>
      <c r="J458">
        <v>29</v>
      </c>
      <c r="K458">
        <f t="shared" si="88"/>
        <v>29</v>
      </c>
      <c r="L458" t="str">
        <f t="shared" si="89"/>
        <v>First level</v>
      </c>
      <c r="M458" t="s">
        <v>64</v>
      </c>
      <c r="N458" t="s">
        <v>24</v>
      </c>
      <c r="O458" t="s">
        <v>33</v>
      </c>
      <c r="Q458">
        <f t="shared" si="90"/>
        <v>3</v>
      </c>
      <c r="R458" t="s">
        <v>181</v>
      </c>
      <c r="S458" s="8" t="s">
        <v>181</v>
      </c>
      <c r="T458" s="9">
        <v>75</v>
      </c>
      <c r="U458" s="9">
        <f t="shared" si="91"/>
        <v>75</v>
      </c>
      <c r="V458" s="10">
        <v>75</v>
      </c>
      <c r="W458">
        <v>2</v>
      </c>
      <c r="X458" s="11">
        <f t="shared" si="92"/>
        <v>2</v>
      </c>
      <c r="Y458" t="s">
        <v>2102</v>
      </c>
      <c r="Z458" t="str">
        <f t="shared" si="93"/>
        <v>No</v>
      </c>
      <c r="AA458" t="str">
        <f t="shared" si="94"/>
        <v>No</v>
      </c>
      <c r="AB458" t="str">
        <f t="shared" si="95"/>
        <v>No</v>
      </c>
      <c r="AC458" s="12"/>
      <c r="AD458" s="12">
        <f t="shared" si="96"/>
        <v>79.325221238938056</v>
      </c>
    </row>
    <row r="459" spans="1:30" x14ac:dyDescent="0.3">
      <c r="A459" t="s">
        <v>1008</v>
      </c>
      <c r="B459" t="s">
        <v>1009</v>
      </c>
      <c r="C459" t="s">
        <v>2522</v>
      </c>
      <c r="D459" t="s">
        <v>2637</v>
      </c>
      <c r="E459" t="str">
        <f t="shared" si="85"/>
        <v>Danielle Barrera</v>
      </c>
      <c r="F459" t="str">
        <f t="shared" si="86"/>
        <v>Danielle Barrera</v>
      </c>
      <c r="H459" t="s">
        <v>86</v>
      </c>
      <c r="I459" t="str">
        <f t="shared" si="87"/>
        <v>Female</v>
      </c>
      <c r="J459">
        <v>44</v>
      </c>
      <c r="K459">
        <f t="shared" si="88"/>
        <v>44</v>
      </c>
      <c r="L459" t="str">
        <f t="shared" si="89"/>
        <v>Third level</v>
      </c>
      <c r="M459" t="s">
        <v>64</v>
      </c>
      <c r="N459" t="s">
        <v>24</v>
      </c>
      <c r="O459" t="s">
        <v>25</v>
      </c>
      <c r="P459">
        <v>3</v>
      </c>
      <c r="Q459">
        <f t="shared" si="90"/>
        <v>3</v>
      </c>
      <c r="R459" t="s">
        <v>72</v>
      </c>
      <c r="S459" s="8" t="s">
        <v>72</v>
      </c>
      <c r="T459" s="9">
        <v>50</v>
      </c>
      <c r="U459" s="9">
        <f t="shared" si="91"/>
        <v>50</v>
      </c>
      <c r="V459" s="10">
        <v>50</v>
      </c>
      <c r="W459">
        <v>2.2000000000000002</v>
      </c>
      <c r="X459" s="11">
        <f t="shared" si="92"/>
        <v>2.2000000000000002</v>
      </c>
      <c r="Y459" t="s">
        <v>2102</v>
      </c>
      <c r="Z459" t="str">
        <f t="shared" si="93"/>
        <v>No</v>
      </c>
      <c r="AA459" t="str">
        <f t="shared" si="94"/>
        <v>No</v>
      </c>
      <c r="AB459" t="str">
        <f t="shared" si="95"/>
        <v>No</v>
      </c>
      <c r="AC459" s="12">
        <v>77</v>
      </c>
      <c r="AD459" s="12">
        <f t="shared" si="96"/>
        <v>77</v>
      </c>
    </row>
    <row r="460" spans="1:30" x14ac:dyDescent="0.3">
      <c r="A460" t="s">
        <v>1010</v>
      </c>
      <c r="B460" t="s">
        <v>1011</v>
      </c>
      <c r="C460" t="s">
        <v>2273</v>
      </c>
      <c r="D460" t="s">
        <v>2638</v>
      </c>
      <c r="E460" t="str">
        <f t="shared" si="85"/>
        <v>David Sanchez</v>
      </c>
      <c r="F460" t="str">
        <f t="shared" si="86"/>
        <v>David Sanchez</v>
      </c>
      <c r="H460" t="s">
        <v>107</v>
      </c>
      <c r="I460" t="str">
        <f t="shared" si="87"/>
        <v>Male</v>
      </c>
      <c r="J460">
        <v>40</v>
      </c>
      <c r="K460">
        <f t="shared" si="88"/>
        <v>40</v>
      </c>
      <c r="L460" t="str">
        <f t="shared" si="89"/>
        <v>Second level</v>
      </c>
      <c r="M460" t="s">
        <v>138</v>
      </c>
      <c r="N460" t="s">
        <v>24</v>
      </c>
      <c r="O460" t="s">
        <v>124</v>
      </c>
      <c r="P460">
        <v>1</v>
      </c>
      <c r="Q460">
        <f t="shared" si="90"/>
        <v>1</v>
      </c>
      <c r="R460" t="s">
        <v>18</v>
      </c>
      <c r="S460" s="8" t="s">
        <v>18</v>
      </c>
      <c r="T460" s="9">
        <v>100</v>
      </c>
      <c r="U460" s="9">
        <f t="shared" si="91"/>
        <v>100</v>
      </c>
      <c r="V460" s="10">
        <v>100</v>
      </c>
      <c r="W460">
        <v>2.1</v>
      </c>
      <c r="X460" s="11">
        <f t="shared" si="92"/>
        <v>2.1</v>
      </c>
      <c r="Y460" t="s">
        <v>2103</v>
      </c>
      <c r="Z460" t="str">
        <f t="shared" si="93"/>
        <v>Yes</v>
      </c>
      <c r="AA460" t="str">
        <f t="shared" si="94"/>
        <v>Yes</v>
      </c>
      <c r="AB460" t="str">
        <f t="shared" si="95"/>
        <v>Yes</v>
      </c>
      <c r="AC460" s="12"/>
      <c r="AD460" s="12">
        <f t="shared" si="96"/>
        <v>79.330376940133036</v>
      </c>
    </row>
    <row r="461" spans="1:30" x14ac:dyDescent="0.3">
      <c r="A461" t="s">
        <v>1012</v>
      </c>
      <c r="B461" t="s">
        <v>1013</v>
      </c>
      <c r="C461" t="s">
        <v>2639</v>
      </c>
      <c r="D461" t="s">
        <v>2640</v>
      </c>
      <c r="E461" t="str">
        <f t="shared" si="85"/>
        <v>Tiffany Bowman</v>
      </c>
      <c r="F461" t="str">
        <f t="shared" si="86"/>
        <v>Tiffany Bowman</v>
      </c>
      <c r="H461" t="s">
        <v>43</v>
      </c>
      <c r="I461" t="str">
        <f t="shared" si="87"/>
        <v>Female</v>
      </c>
      <c r="J461">
        <v>27</v>
      </c>
      <c r="K461">
        <f t="shared" si="88"/>
        <v>27</v>
      </c>
      <c r="L461" t="str">
        <f t="shared" si="89"/>
        <v>First level</v>
      </c>
      <c r="M461" t="s">
        <v>149</v>
      </c>
      <c r="N461" t="s">
        <v>150</v>
      </c>
      <c r="O461" t="s">
        <v>57</v>
      </c>
      <c r="P461">
        <v>1</v>
      </c>
      <c r="Q461">
        <f t="shared" si="90"/>
        <v>1</v>
      </c>
      <c r="R461" t="s">
        <v>44</v>
      </c>
      <c r="S461" s="8" t="s">
        <v>44</v>
      </c>
      <c r="T461" s="9">
        <v>30</v>
      </c>
      <c r="U461" s="9">
        <f t="shared" si="91"/>
        <v>30</v>
      </c>
      <c r="V461" s="10">
        <v>30</v>
      </c>
      <c r="W461">
        <v>1.7</v>
      </c>
      <c r="X461" s="11">
        <f t="shared" si="92"/>
        <v>1.7</v>
      </c>
      <c r="Y461" t="s">
        <v>2102</v>
      </c>
      <c r="Z461" t="str">
        <f t="shared" si="93"/>
        <v>No</v>
      </c>
      <c r="AA461" t="str">
        <f t="shared" si="94"/>
        <v>No</v>
      </c>
      <c r="AB461" t="str">
        <f t="shared" si="95"/>
        <v>No</v>
      </c>
      <c r="AC461" s="12">
        <v>65</v>
      </c>
      <c r="AD461" s="12">
        <f t="shared" si="96"/>
        <v>65</v>
      </c>
    </row>
    <row r="462" spans="1:30" x14ac:dyDescent="0.3">
      <c r="A462" t="s">
        <v>1014</v>
      </c>
      <c r="B462" t="s">
        <v>1015</v>
      </c>
      <c r="C462" t="s">
        <v>2404</v>
      </c>
      <c r="D462" t="s">
        <v>2429</v>
      </c>
      <c r="E462" t="str">
        <f t="shared" si="85"/>
        <v>Jesus Quinn</v>
      </c>
      <c r="F462" t="str">
        <f t="shared" si="86"/>
        <v>Jesus Quinn</v>
      </c>
      <c r="H462" t="s">
        <v>69</v>
      </c>
      <c r="I462" t="str">
        <f t="shared" si="87"/>
        <v>Male</v>
      </c>
      <c r="J462">
        <v>53</v>
      </c>
      <c r="K462">
        <f t="shared" si="88"/>
        <v>53</v>
      </c>
      <c r="L462" t="str">
        <f t="shared" si="89"/>
        <v>Fourth level</v>
      </c>
      <c r="M462" t="s">
        <v>145</v>
      </c>
      <c r="N462" t="s">
        <v>146</v>
      </c>
      <c r="O462" t="s">
        <v>25</v>
      </c>
      <c r="P462">
        <v>35</v>
      </c>
      <c r="Q462">
        <f t="shared" si="90"/>
        <v>35</v>
      </c>
      <c r="R462" t="s">
        <v>65</v>
      </c>
      <c r="S462" s="8" t="s">
        <v>65</v>
      </c>
      <c r="T462" s="9"/>
      <c r="U462" s="9">
        <f t="shared" si="91"/>
        <v>53.252032520325201</v>
      </c>
      <c r="V462" s="10">
        <v>53.252032520325201</v>
      </c>
      <c r="W462">
        <v>5</v>
      </c>
      <c r="X462" s="11">
        <f t="shared" si="92"/>
        <v>5</v>
      </c>
      <c r="Y462" t="s">
        <v>2103</v>
      </c>
      <c r="Z462" t="str">
        <f t="shared" si="93"/>
        <v>Yes</v>
      </c>
      <c r="AA462" t="str">
        <f t="shared" si="94"/>
        <v>Yes</v>
      </c>
      <c r="AB462" t="str">
        <f t="shared" si="95"/>
        <v>Yes</v>
      </c>
      <c r="AC462" s="12">
        <v>62</v>
      </c>
      <c r="AD462" s="12">
        <f t="shared" si="96"/>
        <v>62</v>
      </c>
    </row>
    <row r="463" spans="1:30" x14ac:dyDescent="0.3">
      <c r="A463" t="s">
        <v>1016</v>
      </c>
      <c r="B463" t="s">
        <v>1017</v>
      </c>
      <c r="C463" t="s">
        <v>2424</v>
      </c>
      <c r="D463" t="s">
        <v>2641</v>
      </c>
      <c r="E463" t="str">
        <f t="shared" si="85"/>
        <v>Danny Morris</v>
      </c>
      <c r="F463" t="str">
        <f t="shared" si="86"/>
        <v>Danny Morris</v>
      </c>
      <c r="H463" t="s">
        <v>30</v>
      </c>
      <c r="I463" t="str">
        <f t="shared" si="87"/>
        <v>Male</v>
      </c>
      <c r="J463">
        <v>20</v>
      </c>
      <c r="K463">
        <f t="shared" si="88"/>
        <v>20</v>
      </c>
      <c r="L463" t="str">
        <f t="shared" si="89"/>
        <v>First level</v>
      </c>
      <c r="M463" t="s">
        <v>70</v>
      </c>
      <c r="N463" t="s">
        <v>71</v>
      </c>
      <c r="O463" t="s">
        <v>57</v>
      </c>
      <c r="P463">
        <v>1</v>
      </c>
      <c r="Q463">
        <f t="shared" si="90"/>
        <v>1</v>
      </c>
      <c r="R463" t="s">
        <v>34</v>
      </c>
      <c r="S463" s="8" t="s">
        <v>34</v>
      </c>
      <c r="T463" s="9">
        <v>50</v>
      </c>
      <c r="U463" s="9">
        <f t="shared" si="91"/>
        <v>50</v>
      </c>
      <c r="V463" s="10">
        <v>50</v>
      </c>
      <c r="W463">
        <v>2.9</v>
      </c>
      <c r="X463" s="11">
        <f t="shared" si="92"/>
        <v>2.9</v>
      </c>
      <c r="Y463" t="s">
        <v>170</v>
      </c>
      <c r="Z463" t="str">
        <f t="shared" si="93"/>
        <v>no</v>
      </c>
      <c r="AA463" t="str">
        <f t="shared" si="94"/>
        <v>no</v>
      </c>
      <c r="AB463" t="str">
        <f t="shared" si="95"/>
        <v>No</v>
      </c>
      <c r="AC463" s="12">
        <v>81</v>
      </c>
      <c r="AD463" s="12">
        <f t="shared" si="96"/>
        <v>81</v>
      </c>
    </row>
    <row r="464" spans="1:30" x14ac:dyDescent="0.3">
      <c r="A464" t="s">
        <v>1018</v>
      </c>
      <c r="B464" t="s">
        <v>1019</v>
      </c>
      <c r="C464" t="s">
        <v>2106</v>
      </c>
      <c r="D464" t="s">
        <v>2588</v>
      </c>
      <c r="E464" t="str">
        <f t="shared" si="85"/>
        <v>Nicole York</v>
      </c>
      <c r="F464" t="str">
        <f t="shared" si="86"/>
        <v>Nicole York</v>
      </c>
      <c r="H464" t="s">
        <v>43</v>
      </c>
      <c r="I464" t="str">
        <f t="shared" si="87"/>
        <v>Female</v>
      </c>
      <c r="K464">
        <f t="shared" si="88"/>
        <v>40</v>
      </c>
      <c r="L464" t="str">
        <f t="shared" si="89"/>
        <v>Second level</v>
      </c>
      <c r="M464" t="s">
        <v>95</v>
      </c>
      <c r="N464" t="s">
        <v>96</v>
      </c>
      <c r="O464" t="s">
        <v>99</v>
      </c>
      <c r="P464">
        <v>12</v>
      </c>
      <c r="Q464">
        <f t="shared" si="90"/>
        <v>12</v>
      </c>
      <c r="R464" t="s">
        <v>72</v>
      </c>
      <c r="S464" s="8" t="s">
        <v>72</v>
      </c>
      <c r="T464" s="9">
        <v>50</v>
      </c>
      <c r="U464" s="9">
        <f t="shared" si="91"/>
        <v>50</v>
      </c>
      <c r="V464" s="10">
        <v>50</v>
      </c>
      <c r="W464">
        <v>4.0999999999999996</v>
      </c>
      <c r="X464" s="11">
        <f t="shared" si="92"/>
        <v>4.0999999999999996</v>
      </c>
      <c r="Y464" t="s">
        <v>2103</v>
      </c>
      <c r="Z464" t="str">
        <f t="shared" si="93"/>
        <v>Yes</v>
      </c>
      <c r="AA464" t="str">
        <f t="shared" si="94"/>
        <v>Yes</v>
      </c>
      <c r="AB464" t="str">
        <f t="shared" si="95"/>
        <v>Yes</v>
      </c>
      <c r="AC464" s="12">
        <v>62</v>
      </c>
      <c r="AD464" s="12">
        <f t="shared" si="96"/>
        <v>62</v>
      </c>
    </row>
    <row r="465" spans="1:30" x14ac:dyDescent="0.3">
      <c r="A465" t="s">
        <v>1020</v>
      </c>
      <c r="B465" t="s">
        <v>1021</v>
      </c>
      <c r="C465" t="s">
        <v>2366</v>
      </c>
      <c r="D465" t="s">
        <v>2642</v>
      </c>
      <c r="E465" t="str">
        <f t="shared" si="85"/>
        <v>John Mathis</v>
      </c>
      <c r="F465" t="str">
        <f t="shared" si="86"/>
        <v>John Mathis</v>
      </c>
      <c r="H465" t="s">
        <v>30</v>
      </c>
      <c r="I465" t="str">
        <f t="shared" si="87"/>
        <v>Male</v>
      </c>
      <c r="J465">
        <v>26</v>
      </c>
      <c r="K465">
        <f t="shared" si="88"/>
        <v>26</v>
      </c>
      <c r="L465" t="str">
        <f t="shared" si="89"/>
        <v>First level</v>
      </c>
      <c r="M465" t="s">
        <v>190</v>
      </c>
      <c r="N465" t="s">
        <v>81</v>
      </c>
      <c r="O465" t="s">
        <v>39</v>
      </c>
      <c r="P465">
        <v>8</v>
      </c>
      <c r="Q465">
        <f t="shared" si="90"/>
        <v>8</v>
      </c>
      <c r="R465" t="s">
        <v>76</v>
      </c>
      <c r="S465" s="8" t="s">
        <v>76</v>
      </c>
      <c r="T465" s="9">
        <v>40</v>
      </c>
      <c r="U465" s="9">
        <f t="shared" si="91"/>
        <v>40</v>
      </c>
      <c r="V465" s="10">
        <v>40</v>
      </c>
      <c r="W465">
        <v>4.9000000000000004</v>
      </c>
      <c r="X465" s="11">
        <f t="shared" si="92"/>
        <v>4.9000000000000004</v>
      </c>
      <c r="Y465" t="s">
        <v>2102</v>
      </c>
      <c r="Z465" t="str">
        <f t="shared" si="93"/>
        <v>No</v>
      </c>
      <c r="AA465" t="str">
        <f t="shared" si="94"/>
        <v>No</v>
      </c>
      <c r="AB465" t="str">
        <f t="shared" si="95"/>
        <v>No</v>
      </c>
      <c r="AC465" s="12">
        <v>87</v>
      </c>
      <c r="AD465" s="12">
        <f t="shared" si="96"/>
        <v>87</v>
      </c>
    </row>
    <row r="466" spans="1:30" x14ac:dyDescent="0.3">
      <c r="A466" t="s">
        <v>1022</v>
      </c>
      <c r="B466" t="s">
        <v>1023</v>
      </c>
      <c r="C466" t="s">
        <v>2195</v>
      </c>
      <c r="D466" t="s">
        <v>2449</v>
      </c>
      <c r="E466" t="str">
        <f t="shared" si="85"/>
        <v>Julie Barnett</v>
      </c>
      <c r="F466" t="str">
        <f t="shared" si="86"/>
        <v>Julie Barnett</v>
      </c>
      <c r="H466" t="s">
        <v>43</v>
      </c>
      <c r="I466" t="str">
        <f t="shared" si="87"/>
        <v>Female</v>
      </c>
      <c r="J466">
        <v>49</v>
      </c>
      <c r="K466">
        <f t="shared" si="88"/>
        <v>49</v>
      </c>
      <c r="L466" t="str">
        <f t="shared" si="89"/>
        <v>Third level</v>
      </c>
      <c r="M466" t="s">
        <v>117</v>
      </c>
      <c r="N466" t="s">
        <v>118</v>
      </c>
      <c r="O466" t="s">
        <v>124</v>
      </c>
      <c r="P466">
        <v>13</v>
      </c>
      <c r="Q466">
        <f t="shared" si="90"/>
        <v>13</v>
      </c>
      <c r="R466" t="s">
        <v>240</v>
      </c>
      <c r="S466" s="8" t="s">
        <v>18</v>
      </c>
      <c r="T466" s="9">
        <v>100</v>
      </c>
      <c r="U466" s="9">
        <f t="shared" si="91"/>
        <v>100</v>
      </c>
      <c r="V466" s="10">
        <v>100</v>
      </c>
      <c r="W466">
        <v>2.5</v>
      </c>
      <c r="X466" s="11">
        <f t="shared" si="92"/>
        <v>2.5</v>
      </c>
      <c r="Y466" t="s">
        <v>2102</v>
      </c>
      <c r="Z466" t="str">
        <f t="shared" si="93"/>
        <v>No</v>
      </c>
      <c r="AA466" t="str">
        <f t="shared" si="94"/>
        <v>No</v>
      </c>
      <c r="AB466" t="str">
        <f t="shared" si="95"/>
        <v>No</v>
      </c>
      <c r="AC466" s="12"/>
      <c r="AD466" s="12">
        <f t="shared" si="96"/>
        <v>79.419282511210767</v>
      </c>
    </row>
    <row r="467" spans="1:30" x14ac:dyDescent="0.3">
      <c r="A467" t="s">
        <v>1024</v>
      </c>
      <c r="B467" t="s">
        <v>1025</v>
      </c>
      <c r="C467" t="s">
        <v>2643</v>
      </c>
      <c r="D467" t="s">
        <v>2238</v>
      </c>
      <c r="E467" t="str">
        <f t="shared" si="85"/>
        <v>Jasmine Harris</v>
      </c>
      <c r="F467" t="str">
        <f t="shared" si="86"/>
        <v>Jasmine Harris</v>
      </c>
      <c r="H467" t="s">
        <v>86</v>
      </c>
      <c r="I467" t="str">
        <f t="shared" si="87"/>
        <v>Female</v>
      </c>
      <c r="J467">
        <v>20</v>
      </c>
      <c r="K467">
        <f t="shared" si="88"/>
        <v>20</v>
      </c>
      <c r="L467" t="str">
        <f t="shared" si="89"/>
        <v>First level</v>
      </c>
      <c r="M467" t="s">
        <v>149</v>
      </c>
      <c r="N467" t="s">
        <v>150</v>
      </c>
      <c r="O467" t="s">
        <v>57</v>
      </c>
      <c r="P467">
        <v>0</v>
      </c>
      <c r="Q467">
        <f t="shared" si="90"/>
        <v>0</v>
      </c>
      <c r="R467" t="s">
        <v>119</v>
      </c>
      <c r="S467" s="8" t="s">
        <v>2096</v>
      </c>
      <c r="T467" s="9">
        <v>30</v>
      </c>
      <c r="U467" s="9">
        <f t="shared" si="91"/>
        <v>30</v>
      </c>
      <c r="V467" s="10">
        <v>30</v>
      </c>
      <c r="W467">
        <v>0</v>
      </c>
      <c r="X467" s="11">
        <f t="shared" si="92"/>
        <v>0</v>
      </c>
      <c r="Y467" t="s">
        <v>2103</v>
      </c>
      <c r="Z467" t="str">
        <f t="shared" si="93"/>
        <v>Yes</v>
      </c>
      <c r="AA467" t="str">
        <f t="shared" si="94"/>
        <v>Yes</v>
      </c>
      <c r="AB467" t="str">
        <f t="shared" si="95"/>
        <v>Yes</v>
      </c>
      <c r="AC467" s="12">
        <v>76</v>
      </c>
      <c r="AD467" s="12">
        <f t="shared" si="96"/>
        <v>76</v>
      </c>
    </row>
    <row r="468" spans="1:30" x14ac:dyDescent="0.3">
      <c r="A468" t="s">
        <v>1026</v>
      </c>
      <c r="B468" t="s">
        <v>1027</v>
      </c>
      <c r="C468" t="s">
        <v>2492</v>
      </c>
      <c r="D468" t="s">
        <v>2386</v>
      </c>
      <c r="E468" t="str">
        <f t="shared" si="85"/>
        <v>Mary Henry</v>
      </c>
      <c r="F468" t="str">
        <f t="shared" si="86"/>
        <v>Mary Henry</v>
      </c>
      <c r="H468" t="s">
        <v>43</v>
      </c>
      <c r="I468" t="str">
        <f t="shared" si="87"/>
        <v>Female</v>
      </c>
      <c r="J468">
        <v>39</v>
      </c>
      <c r="K468">
        <f t="shared" si="88"/>
        <v>39</v>
      </c>
      <c r="L468" t="str">
        <f t="shared" si="89"/>
        <v>Second level</v>
      </c>
      <c r="M468" t="s">
        <v>186</v>
      </c>
      <c r="N468" t="s">
        <v>187</v>
      </c>
      <c r="O468" t="s">
        <v>17</v>
      </c>
      <c r="P468">
        <v>11</v>
      </c>
      <c r="Q468">
        <f t="shared" si="90"/>
        <v>11</v>
      </c>
      <c r="R468" t="s">
        <v>18</v>
      </c>
      <c r="S468" s="8" t="s">
        <v>18</v>
      </c>
      <c r="T468" s="9">
        <v>100</v>
      </c>
      <c r="U468" s="9">
        <f t="shared" si="91"/>
        <v>100</v>
      </c>
      <c r="V468" s="10">
        <v>100</v>
      </c>
      <c r="W468">
        <v>2.8</v>
      </c>
      <c r="X468" s="11">
        <f t="shared" si="92"/>
        <v>2.8</v>
      </c>
      <c r="Y468" t="s">
        <v>65</v>
      </c>
      <c r="AA468" t="str">
        <f t="shared" si="94"/>
        <v>Unknown</v>
      </c>
      <c r="AB468" t="str">
        <f t="shared" si="95"/>
        <v>Unknown</v>
      </c>
      <c r="AC468" s="12">
        <v>70</v>
      </c>
      <c r="AD468" s="12">
        <f t="shared" si="96"/>
        <v>70</v>
      </c>
    </row>
    <row r="469" spans="1:30" x14ac:dyDescent="0.3">
      <c r="A469" t="s">
        <v>1028</v>
      </c>
      <c r="B469" t="s">
        <v>1029</v>
      </c>
      <c r="C469" t="s">
        <v>2644</v>
      </c>
      <c r="D469" t="s">
        <v>2525</v>
      </c>
      <c r="E469" t="str">
        <f t="shared" si="85"/>
        <v>Judith Riggs</v>
      </c>
      <c r="F469" t="str">
        <f t="shared" si="86"/>
        <v>Judith Riggs</v>
      </c>
      <c r="H469" t="s">
        <v>86</v>
      </c>
      <c r="I469" t="str">
        <f t="shared" si="87"/>
        <v>Female</v>
      </c>
      <c r="J469">
        <v>41</v>
      </c>
      <c r="K469">
        <f t="shared" si="88"/>
        <v>41</v>
      </c>
      <c r="L469" t="str">
        <f t="shared" si="89"/>
        <v>Third level</v>
      </c>
      <c r="M469" t="s">
        <v>186</v>
      </c>
      <c r="N469" t="s">
        <v>187</v>
      </c>
      <c r="O469" t="s">
        <v>124</v>
      </c>
      <c r="P469">
        <v>19</v>
      </c>
      <c r="Q469">
        <f t="shared" si="90"/>
        <v>19</v>
      </c>
      <c r="R469" t="s">
        <v>18</v>
      </c>
      <c r="S469" s="8" t="s">
        <v>18</v>
      </c>
      <c r="T469" s="9">
        <v>100</v>
      </c>
      <c r="U469" s="9">
        <f t="shared" si="91"/>
        <v>100</v>
      </c>
      <c r="V469" s="10">
        <v>100</v>
      </c>
      <c r="W469">
        <v>3.8</v>
      </c>
      <c r="X469" s="11">
        <f t="shared" si="92"/>
        <v>3.8</v>
      </c>
      <c r="Y469" t="s">
        <v>77</v>
      </c>
      <c r="Z469" t="str">
        <f t="shared" si="93"/>
        <v>yes</v>
      </c>
      <c r="AA469" t="str">
        <f t="shared" si="94"/>
        <v>yes</v>
      </c>
      <c r="AB469" t="str">
        <f t="shared" si="95"/>
        <v>Yes</v>
      </c>
      <c r="AC469" s="12">
        <v>71</v>
      </c>
      <c r="AD469" s="12">
        <f t="shared" si="96"/>
        <v>71</v>
      </c>
    </row>
    <row r="470" spans="1:30" x14ac:dyDescent="0.3">
      <c r="A470" t="s">
        <v>1030</v>
      </c>
      <c r="B470" t="s">
        <v>1031</v>
      </c>
      <c r="C470" t="s">
        <v>2384</v>
      </c>
      <c r="D470" t="s">
        <v>2421</v>
      </c>
      <c r="E470" t="str">
        <f t="shared" si="85"/>
        <v>Justin Ruiz</v>
      </c>
      <c r="F470" t="str">
        <f t="shared" si="86"/>
        <v>Justin Ruiz</v>
      </c>
      <c r="H470" t="s">
        <v>107</v>
      </c>
      <c r="I470" t="str">
        <f t="shared" si="87"/>
        <v>Male</v>
      </c>
      <c r="J470">
        <v>59</v>
      </c>
      <c r="K470">
        <f t="shared" si="88"/>
        <v>59</v>
      </c>
      <c r="L470" t="str">
        <f t="shared" si="89"/>
        <v>Fourth level</v>
      </c>
      <c r="M470" t="s">
        <v>138</v>
      </c>
      <c r="N470" t="s">
        <v>24</v>
      </c>
      <c r="O470" t="s">
        <v>25</v>
      </c>
      <c r="P470">
        <v>30</v>
      </c>
      <c r="Q470">
        <f t="shared" si="90"/>
        <v>30</v>
      </c>
      <c r="R470" t="s">
        <v>119</v>
      </c>
      <c r="S470" s="8" t="s">
        <v>2096</v>
      </c>
      <c r="T470" s="9">
        <v>30</v>
      </c>
      <c r="U470" s="9">
        <f t="shared" si="91"/>
        <v>30</v>
      </c>
      <c r="V470" s="10">
        <v>30</v>
      </c>
      <c r="W470">
        <v>4.3</v>
      </c>
      <c r="X470" s="11">
        <f t="shared" si="92"/>
        <v>4.3</v>
      </c>
      <c r="Y470" t="s">
        <v>2103</v>
      </c>
      <c r="Z470" t="str">
        <f t="shared" si="93"/>
        <v>Yes</v>
      </c>
      <c r="AA470" t="str">
        <f t="shared" si="94"/>
        <v>Yes</v>
      </c>
      <c r="AB470" t="str">
        <f t="shared" si="95"/>
        <v>Yes</v>
      </c>
      <c r="AC470" s="12">
        <v>83</v>
      </c>
      <c r="AD470" s="12">
        <f t="shared" si="96"/>
        <v>83</v>
      </c>
    </row>
    <row r="471" spans="1:30" x14ac:dyDescent="0.3">
      <c r="A471" t="s">
        <v>1032</v>
      </c>
      <c r="B471" t="s">
        <v>1033</v>
      </c>
      <c r="C471" t="s">
        <v>2151</v>
      </c>
      <c r="D471" t="s">
        <v>2599</v>
      </c>
      <c r="E471" t="str">
        <f t="shared" si="85"/>
        <v>Jennifer Sullivan</v>
      </c>
      <c r="F471" t="str">
        <f t="shared" si="86"/>
        <v>Jennifer Sullivan</v>
      </c>
      <c r="H471" t="s">
        <v>86</v>
      </c>
      <c r="I471" t="str">
        <f t="shared" si="87"/>
        <v>Female</v>
      </c>
      <c r="J471">
        <v>45</v>
      </c>
      <c r="K471">
        <f t="shared" si="88"/>
        <v>45</v>
      </c>
      <c r="L471" t="str">
        <f t="shared" si="89"/>
        <v>Third level</v>
      </c>
      <c r="M471" t="s">
        <v>23</v>
      </c>
      <c r="N471" t="s">
        <v>24</v>
      </c>
      <c r="O471" t="s">
        <v>17</v>
      </c>
      <c r="P471">
        <v>8</v>
      </c>
      <c r="Q471">
        <f t="shared" si="90"/>
        <v>8</v>
      </c>
      <c r="R471" t="s">
        <v>76</v>
      </c>
      <c r="S471" s="8" t="s">
        <v>76</v>
      </c>
      <c r="T471" s="9">
        <v>40</v>
      </c>
      <c r="U471" s="9">
        <f t="shared" si="91"/>
        <v>40</v>
      </c>
      <c r="V471" s="10">
        <v>40</v>
      </c>
      <c r="W471">
        <v>0</v>
      </c>
      <c r="X471" s="11">
        <f t="shared" si="92"/>
        <v>0</v>
      </c>
      <c r="Y471" t="s">
        <v>2102</v>
      </c>
      <c r="Z471" t="str">
        <f t="shared" si="93"/>
        <v>No</v>
      </c>
      <c r="AA471" t="str">
        <f t="shared" si="94"/>
        <v>No</v>
      </c>
      <c r="AB471" t="str">
        <f t="shared" si="95"/>
        <v>No</v>
      </c>
      <c r="AC471" s="12">
        <v>78</v>
      </c>
      <c r="AD471" s="12">
        <f t="shared" si="96"/>
        <v>78</v>
      </c>
    </row>
    <row r="472" spans="1:30" x14ac:dyDescent="0.3">
      <c r="A472" t="s">
        <v>1034</v>
      </c>
      <c r="B472" t="s">
        <v>1035</v>
      </c>
      <c r="C472" t="s">
        <v>2302</v>
      </c>
      <c r="D472" t="s">
        <v>2645</v>
      </c>
      <c r="E472" t="str">
        <f t="shared" si="85"/>
        <v>Jesse Moran</v>
      </c>
      <c r="F472" t="str">
        <f t="shared" si="86"/>
        <v>Jesse Moran</v>
      </c>
      <c r="H472" t="s">
        <v>69</v>
      </c>
      <c r="I472" t="str">
        <f t="shared" si="87"/>
        <v>Male</v>
      </c>
      <c r="J472">
        <v>22</v>
      </c>
      <c r="K472">
        <f t="shared" si="88"/>
        <v>22</v>
      </c>
      <c r="L472" t="str">
        <f t="shared" si="89"/>
        <v>First level</v>
      </c>
      <c r="M472" t="s">
        <v>55</v>
      </c>
      <c r="N472" t="s">
        <v>56</v>
      </c>
      <c r="O472" t="s">
        <v>87</v>
      </c>
      <c r="P472">
        <v>0</v>
      </c>
      <c r="Q472">
        <f t="shared" si="90"/>
        <v>0</v>
      </c>
      <c r="R472" t="s">
        <v>76</v>
      </c>
      <c r="S472" s="8" t="s">
        <v>76</v>
      </c>
      <c r="T472" s="9">
        <v>40</v>
      </c>
      <c r="U472" s="9">
        <f t="shared" si="91"/>
        <v>40</v>
      </c>
      <c r="V472" s="10">
        <v>40</v>
      </c>
      <c r="W472">
        <v>1.3</v>
      </c>
      <c r="X472" s="11">
        <f t="shared" si="92"/>
        <v>1.3</v>
      </c>
      <c r="Y472" t="s">
        <v>2103</v>
      </c>
      <c r="Z472" t="str">
        <f t="shared" si="93"/>
        <v>Yes</v>
      </c>
      <c r="AA472" t="str">
        <f t="shared" si="94"/>
        <v>Yes</v>
      </c>
      <c r="AB472" t="str">
        <f t="shared" si="95"/>
        <v>Yes</v>
      </c>
      <c r="AC472" s="12">
        <v>78</v>
      </c>
      <c r="AD472" s="12">
        <f t="shared" si="96"/>
        <v>78</v>
      </c>
    </row>
    <row r="473" spans="1:30" x14ac:dyDescent="0.3">
      <c r="A473" t="s">
        <v>1036</v>
      </c>
      <c r="B473" t="s">
        <v>1037</v>
      </c>
      <c r="C473" t="s">
        <v>2422</v>
      </c>
      <c r="D473" t="s">
        <v>2161</v>
      </c>
      <c r="E473" t="str">
        <f t="shared" si="85"/>
        <v>Monica Smith</v>
      </c>
      <c r="F473" t="str">
        <f t="shared" si="86"/>
        <v>Monica Smith</v>
      </c>
      <c r="H473" t="s">
        <v>86</v>
      </c>
      <c r="I473" t="str">
        <f t="shared" si="87"/>
        <v>Female</v>
      </c>
      <c r="J473">
        <v>48</v>
      </c>
      <c r="K473">
        <f t="shared" si="88"/>
        <v>48</v>
      </c>
      <c r="L473" t="str">
        <f t="shared" si="89"/>
        <v>Third level</v>
      </c>
      <c r="M473" t="s">
        <v>103</v>
      </c>
      <c r="N473" t="s">
        <v>104</v>
      </c>
      <c r="O473" t="s">
        <v>25</v>
      </c>
      <c r="P473">
        <v>7</v>
      </c>
      <c r="Q473">
        <f t="shared" si="90"/>
        <v>7</v>
      </c>
      <c r="R473" t="s">
        <v>34</v>
      </c>
      <c r="S473" s="8" t="s">
        <v>34</v>
      </c>
      <c r="T473" s="9">
        <v>50</v>
      </c>
      <c r="U473" s="9">
        <f t="shared" si="91"/>
        <v>50</v>
      </c>
      <c r="V473" s="10">
        <v>50</v>
      </c>
      <c r="W473">
        <v>4.7</v>
      </c>
      <c r="X473" s="11">
        <f t="shared" si="92"/>
        <v>4.7</v>
      </c>
      <c r="Y473" t="s">
        <v>2103</v>
      </c>
      <c r="Z473" t="str">
        <f t="shared" si="93"/>
        <v>Yes</v>
      </c>
      <c r="AA473" t="str">
        <f t="shared" si="94"/>
        <v>Yes</v>
      </c>
      <c r="AB473" t="str">
        <f t="shared" si="95"/>
        <v>Yes</v>
      </c>
      <c r="AC473" s="12">
        <v>60</v>
      </c>
      <c r="AD473" s="12">
        <f t="shared" si="96"/>
        <v>60</v>
      </c>
    </row>
    <row r="474" spans="1:30" x14ac:dyDescent="0.3">
      <c r="A474" t="s">
        <v>1038</v>
      </c>
      <c r="B474" t="s">
        <v>1039</v>
      </c>
      <c r="C474" t="s">
        <v>2646</v>
      </c>
      <c r="D474" t="s">
        <v>2647</v>
      </c>
      <c r="E474" t="str">
        <f t="shared" si="85"/>
        <v>Ian May</v>
      </c>
      <c r="F474" t="str">
        <f t="shared" si="86"/>
        <v>Ian May</v>
      </c>
      <c r="H474" t="s">
        <v>69</v>
      </c>
      <c r="I474" t="str">
        <f t="shared" si="87"/>
        <v>Male</v>
      </c>
      <c r="J474">
        <v>36</v>
      </c>
      <c r="K474">
        <f t="shared" si="88"/>
        <v>36</v>
      </c>
      <c r="L474" t="str">
        <f t="shared" si="89"/>
        <v>Second level</v>
      </c>
      <c r="M474" t="s">
        <v>145</v>
      </c>
      <c r="N474" t="s">
        <v>146</v>
      </c>
      <c r="O474" t="s">
        <v>17</v>
      </c>
      <c r="P474">
        <v>11</v>
      </c>
      <c r="Q474">
        <f t="shared" si="90"/>
        <v>11</v>
      </c>
      <c r="R474" t="s">
        <v>40</v>
      </c>
      <c r="S474" s="8" t="s">
        <v>40</v>
      </c>
      <c r="T474" s="9">
        <v>40</v>
      </c>
      <c r="U474" s="9">
        <f t="shared" si="91"/>
        <v>40</v>
      </c>
      <c r="V474" s="10">
        <v>40</v>
      </c>
      <c r="W474">
        <v>1.3</v>
      </c>
      <c r="X474" s="11">
        <f t="shared" si="92"/>
        <v>1.3</v>
      </c>
      <c r="Y474" t="s">
        <v>2103</v>
      </c>
      <c r="Z474" t="str">
        <f t="shared" si="93"/>
        <v>Yes</v>
      </c>
      <c r="AA474" t="str">
        <f t="shared" si="94"/>
        <v>Yes</v>
      </c>
      <c r="AB474" t="str">
        <f t="shared" si="95"/>
        <v>Yes</v>
      </c>
      <c r="AC474" s="12"/>
      <c r="AD474" s="12">
        <f t="shared" si="96"/>
        <v>79.510250569476085</v>
      </c>
    </row>
    <row r="475" spans="1:30" x14ac:dyDescent="0.3">
      <c r="A475" t="s">
        <v>1040</v>
      </c>
      <c r="B475" t="s">
        <v>1041</v>
      </c>
      <c r="C475" t="s">
        <v>2648</v>
      </c>
      <c r="D475" t="s">
        <v>2277</v>
      </c>
      <c r="E475" t="str">
        <f t="shared" si="85"/>
        <v>Kayla Meyers</v>
      </c>
      <c r="F475" t="str">
        <f t="shared" si="86"/>
        <v>Kayla Meyers</v>
      </c>
      <c r="H475" t="s">
        <v>22</v>
      </c>
      <c r="I475" t="str">
        <f t="shared" si="87"/>
        <v>Female</v>
      </c>
      <c r="J475">
        <v>57</v>
      </c>
      <c r="K475">
        <f t="shared" si="88"/>
        <v>57</v>
      </c>
      <c r="L475" t="str">
        <f t="shared" si="89"/>
        <v>Fourth level</v>
      </c>
      <c r="M475" t="s">
        <v>186</v>
      </c>
      <c r="N475" t="s">
        <v>187</v>
      </c>
      <c r="O475" t="s">
        <v>17</v>
      </c>
      <c r="Q475">
        <f t="shared" si="90"/>
        <v>19</v>
      </c>
      <c r="R475" t="s">
        <v>92</v>
      </c>
      <c r="S475" s="8" t="s">
        <v>92</v>
      </c>
      <c r="T475" s="9">
        <v>75</v>
      </c>
      <c r="U475" s="9">
        <f t="shared" si="91"/>
        <v>75</v>
      </c>
      <c r="V475" s="10">
        <v>75</v>
      </c>
      <c r="W475">
        <v>4.8</v>
      </c>
      <c r="X475" s="11">
        <f t="shared" si="92"/>
        <v>4.8</v>
      </c>
      <c r="Y475" t="s">
        <v>2103</v>
      </c>
      <c r="Z475" t="str">
        <f t="shared" si="93"/>
        <v>Yes</v>
      </c>
      <c r="AA475" t="str">
        <f t="shared" si="94"/>
        <v>Yes</v>
      </c>
      <c r="AB475" t="str">
        <f t="shared" si="95"/>
        <v>Yes</v>
      </c>
      <c r="AC475" s="12"/>
      <c r="AD475" s="12">
        <f t="shared" si="96"/>
        <v>79.510250569476085</v>
      </c>
    </row>
    <row r="476" spans="1:30" x14ac:dyDescent="0.3">
      <c r="A476" t="s">
        <v>1042</v>
      </c>
      <c r="B476" t="s">
        <v>1043</v>
      </c>
      <c r="C476" t="s">
        <v>2366</v>
      </c>
      <c r="D476" t="s">
        <v>2649</v>
      </c>
      <c r="E476" t="str">
        <f t="shared" si="85"/>
        <v>John Bray</v>
      </c>
      <c r="F476" t="str">
        <f t="shared" si="86"/>
        <v>John Bray</v>
      </c>
      <c r="H476" t="s">
        <v>69</v>
      </c>
      <c r="I476" t="str">
        <f t="shared" si="87"/>
        <v>Male</v>
      </c>
      <c r="J476">
        <v>42</v>
      </c>
      <c r="K476">
        <f t="shared" si="88"/>
        <v>42</v>
      </c>
      <c r="L476" t="str">
        <f t="shared" si="89"/>
        <v>Third level</v>
      </c>
      <c r="M476" t="s">
        <v>64</v>
      </c>
      <c r="N476" t="s">
        <v>24</v>
      </c>
      <c r="O476" t="s">
        <v>82</v>
      </c>
      <c r="P476">
        <v>14</v>
      </c>
      <c r="Q476">
        <f t="shared" si="90"/>
        <v>14</v>
      </c>
      <c r="R476" t="s">
        <v>50</v>
      </c>
      <c r="S476" s="8" t="s">
        <v>50</v>
      </c>
      <c r="T476" s="9">
        <v>30</v>
      </c>
      <c r="U476" s="9">
        <f t="shared" si="91"/>
        <v>30</v>
      </c>
      <c r="V476" s="10">
        <v>30</v>
      </c>
      <c r="W476">
        <v>1.3</v>
      </c>
      <c r="X476" s="11">
        <f t="shared" si="92"/>
        <v>1.3</v>
      </c>
      <c r="Y476" t="s">
        <v>2102</v>
      </c>
      <c r="Z476" t="str">
        <f t="shared" si="93"/>
        <v>No</v>
      </c>
      <c r="AA476" t="str">
        <f t="shared" si="94"/>
        <v>No</v>
      </c>
      <c r="AB476" t="str">
        <f t="shared" si="95"/>
        <v>No</v>
      </c>
      <c r="AC476" s="12">
        <v>94</v>
      </c>
      <c r="AD476" s="12">
        <f t="shared" si="96"/>
        <v>94</v>
      </c>
    </row>
    <row r="477" spans="1:30" x14ac:dyDescent="0.3">
      <c r="A477" t="s">
        <v>1044</v>
      </c>
      <c r="B477" t="s">
        <v>1045</v>
      </c>
      <c r="C477" t="s">
        <v>2143</v>
      </c>
      <c r="D477" t="s">
        <v>2161</v>
      </c>
      <c r="E477" t="str">
        <f t="shared" si="85"/>
        <v>James Smith</v>
      </c>
      <c r="F477" t="str">
        <f t="shared" si="86"/>
        <v>James Smith</v>
      </c>
      <c r="H477" t="s">
        <v>107</v>
      </c>
      <c r="I477" t="str">
        <f t="shared" si="87"/>
        <v>Male</v>
      </c>
      <c r="J477">
        <v>31</v>
      </c>
      <c r="K477">
        <f t="shared" si="88"/>
        <v>31</v>
      </c>
      <c r="L477" t="str">
        <f t="shared" si="89"/>
        <v>Second level</v>
      </c>
      <c r="M477" t="s">
        <v>55</v>
      </c>
      <c r="N477" t="s">
        <v>56</v>
      </c>
      <c r="O477" t="s">
        <v>87</v>
      </c>
      <c r="P477">
        <v>11</v>
      </c>
      <c r="Q477">
        <f t="shared" si="90"/>
        <v>11</v>
      </c>
      <c r="R477" t="s">
        <v>72</v>
      </c>
      <c r="S477" s="8" t="s">
        <v>72</v>
      </c>
      <c r="T477" s="9">
        <v>50</v>
      </c>
      <c r="U477" s="9">
        <f t="shared" si="91"/>
        <v>50</v>
      </c>
      <c r="V477" s="10">
        <v>50</v>
      </c>
      <c r="W477">
        <v>4.3</v>
      </c>
      <c r="X477" s="11">
        <f t="shared" si="92"/>
        <v>4.3</v>
      </c>
      <c r="Y477" t="s">
        <v>2102</v>
      </c>
      <c r="Z477" t="str">
        <f t="shared" si="93"/>
        <v>No</v>
      </c>
      <c r="AA477" t="str">
        <f t="shared" si="94"/>
        <v>No</v>
      </c>
      <c r="AB477" t="str">
        <f t="shared" si="95"/>
        <v>No</v>
      </c>
      <c r="AC477" s="12">
        <v>62</v>
      </c>
      <c r="AD477" s="12">
        <f t="shared" si="96"/>
        <v>62</v>
      </c>
    </row>
    <row r="478" spans="1:30" x14ac:dyDescent="0.3">
      <c r="A478" t="s">
        <v>1046</v>
      </c>
      <c r="B478" t="s">
        <v>1047</v>
      </c>
      <c r="C478" t="s">
        <v>2206</v>
      </c>
      <c r="D478" t="s">
        <v>2650</v>
      </c>
      <c r="E478" t="str">
        <f t="shared" si="85"/>
        <v>Mark Duncan</v>
      </c>
      <c r="F478" t="str">
        <f t="shared" si="86"/>
        <v>Mark Duncan</v>
      </c>
      <c r="H478" t="s">
        <v>107</v>
      </c>
      <c r="I478" t="str">
        <f t="shared" si="87"/>
        <v>Male</v>
      </c>
      <c r="J478">
        <v>52</v>
      </c>
      <c r="K478">
        <f t="shared" si="88"/>
        <v>52</v>
      </c>
      <c r="L478" t="str">
        <f t="shared" si="89"/>
        <v>Fourth level</v>
      </c>
      <c r="M478" t="s">
        <v>201</v>
      </c>
      <c r="N478" t="s">
        <v>81</v>
      </c>
      <c r="O478" t="s">
        <v>87</v>
      </c>
      <c r="P478">
        <v>31</v>
      </c>
      <c r="Q478">
        <f t="shared" si="90"/>
        <v>31</v>
      </c>
      <c r="R478" t="s">
        <v>44</v>
      </c>
      <c r="S478" s="8" t="s">
        <v>44</v>
      </c>
      <c r="T478" s="9">
        <v>30</v>
      </c>
      <c r="U478" s="9">
        <f t="shared" si="91"/>
        <v>30</v>
      </c>
      <c r="V478" s="10">
        <v>30</v>
      </c>
      <c r="X478" s="11">
        <f t="shared" si="92"/>
        <v>2.53661670235546</v>
      </c>
      <c r="Y478" t="s">
        <v>2103</v>
      </c>
      <c r="Z478" t="str">
        <f t="shared" si="93"/>
        <v>Yes</v>
      </c>
      <c r="AA478" t="str">
        <f t="shared" si="94"/>
        <v>Yes</v>
      </c>
      <c r="AB478" t="str">
        <f t="shared" si="95"/>
        <v>Yes</v>
      </c>
      <c r="AC478" s="12"/>
      <c r="AD478" s="12">
        <f t="shared" si="96"/>
        <v>79.517162471395878</v>
      </c>
    </row>
    <row r="479" spans="1:30" x14ac:dyDescent="0.3">
      <c r="A479" t="s">
        <v>1048</v>
      </c>
      <c r="B479" t="s">
        <v>1049</v>
      </c>
      <c r="C479" t="s">
        <v>2124</v>
      </c>
      <c r="D479" t="s">
        <v>2651</v>
      </c>
      <c r="E479" t="str">
        <f t="shared" si="85"/>
        <v>Matthew Gay</v>
      </c>
      <c r="F479" t="str">
        <f t="shared" si="86"/>
        <v>Matthew Gay</v>
      </c>
      <c r="H479" t="s">
        <v>107</v>
      </c>
      <c r="I479" t="str">
        <f t="shared" si="87"/>
        <v>Male</v>
      </c>
      <c r="J479">
        <v>56</v>
      </c>
      <c r="K479">
        <f t="shared" si="88"/>
        <v>56</v>
      </c>
      <c r="L479" t="str">
        <f t="shared" si="89"/>
        <v>Fourth level</v>
      </c>
      <c r="M479" t="s">
        <v>47</v>
      </c>
      <c r="N479" t="s">
        <v>48</v>
      </c>
      <c r="O479" t="s">
        <v>99</v>
      </c>
      <c r="P479">
        <v>16</v>
      </c>
      <c r="Q479">
        <f t="shared" si="90"/>
        <v>16</v>
      </c>
      <c r="R479" t="s">
        <v>119</v>
      </c>
      <c r="S479" s="8" t="s">
        <v>2096</v>
      </c>
      <c r="T479" s="9">
        <v>30</v>
      </c>
      <c r="U479" s="9">
        <f t="shared" si="91"/>
        <v>30</v>
      </c>
      <c r="V479" s="10">
        <v>30</v>
      </c>
      <c r="W479">
        <v>0</v>
      </c>
      <c r="X479" s="11">
        <f t="shared" si="92"/>
        <v>0</v>
      </c>
      <c r="Y479" t="s">
        <v>77</v>
      </c>
      <c r="Z479" t="str">
        <f t="shared" si="93"/>
        <v>yes</v>
      </c>
      <c r="AA479" t="str">
        <f t="shared" si="94"/>
        <v>yes</v>
      </c>
      <c r="AB479" t="str">
        <f t="shared" si="95"/>
        <v>Yes</v>
      </c>
      <c r="AC479" s="12"/>
      <c r="AD479" s="12">
        <f t="shared" si="96"/>
        <v>79.517162471395878</v>
      </c>
    </row>
    <row r="480" spans="1:30" x14ac:dyDescent="0.3">
      <c r="A480" t="s">
        <v>1050</v>
      </c>
      <c r="B480" t="s">
        <v>1051</v>
      </c>
      <c r="C480" t="s">
        <v>2652</v>
      </c>
      <c r="D480" t="s">
        <v>2653</v>
      </c>
      <c r="E480" t="str">
        <f t="shared" si="85"/>
        <v>Cheryl Freeman</v>
      </c>
      <c r="F480" t="str">
        <f t="shared" si="86"/>
        <v>Cheryl Freeman</v>
      </c>
      <c r="H480" t="s">
        <v>86</v>
      </c>
      <c r="I480" t="str">
        <f t="shared" si="87"/>
        <v>Female</v>
      </c>
      <c r="J480">
        <v>24</v>
      </c>
      <c r="K480">
        <f t="shared" si="88"/>
        <v>24</v>
      </c>
      <c r="L480" t="str">
        <f t="shared" si="89"/>
        <v>First level</v>
      </c>
      <c r="M480" t="s">
        <v>47</v>
      </c>
      <c r="N480" t="s">
        <v>48</v>
      </c>
      <c r="O480" t="s">
        <v>99</v>
      </c>
      <c r="P480">
        <v>6</v>
      </c>
      <c r="Q480">
        <f t="shared" si="90"/>
        <v>6</v>
      </c>
      <c r="R480" t="s">
        <v>44</v>
      </c>
      <c r="S480" s="8" t="s">
        <v>44</v>
      </c>
      <c r="T480" s="9">
        <v>30</v>
      </c>
      <c r="U480" s="9">
        <f t="shared" si="91"/>
        <v>30</v>
      </c>
      <c r="V480" s="10">
        <v>30</v>
      </c>
      <c r="W480">
        <v>0</v>
      </c>
      <c r="X480" s="11">
        <f t="shared" si="92"/>
        <v>0</v>
      </c>
      <c r="Y480" t="s">
        <v>77</v>
      </c>
      <c r="Z480" t="str">
        <f t="shared" si="93"/>
        <v>yes</v>
      </c>
      <c r="AA480" t="str">
        <f t="shared" si="94"/>
        <v>yes</v>
      </c>
      <c r="AB480" t="str">
        <f t="shared" si="95"/>
        <v>Yes</v>
      </c>
      <c r="AC480" s="12">
        <v>84</v>
      </c>
      <c r="AD480" s="12">
        <f t="shared" si="96"/>
        <v>84</v>
      </c>
    </row>
    <row r="481" spans="1:30" x14ac:dyDescent="0.3">
      <c r="A481" t="s">
        <v>1052</v>
      </c>
      <c r="B481" t="s">
        <v>1053</v>
      </c>
      <c r="C481" t="s">
        <v>2346</v>
      </c>
      <c r="D481" t="s">
        <v>2440</v>
      </c>
      <c r="E481" t="str">
        <f t="shared" si="85"/>
        <v>Patrick Welch</v>
      </c>
      <c r="F481" t="str">
        <f t="shared" si="86"/>
        <v>Patrick Welch</v>
      </c>
      <c r="H481" t="s">
        <v>30</v>
      </c>
      <c r="I481" t="str">
        <f t="shared" si="87"/>
        <v>Male</v>
      </c>
      <c r="J481">
        <v>48</v>
      </c>
      <c r="K481">
        <f t="shared" si="88"/>
        <v>48</v>
      </c>
      <c r="L481" t="str">
        <f t="shared" si="89"/>
        <v>Third level</v>
      </c>
      <c r="M481" t="s">
        <v>138</v>
      </c>
      <c r="N481" t="s">
        <v>24</v>
      </c>
      <c r="O481" t="s">
        <v>99</v>
      </c>
      <c r="P481">
        <v>21</v>
      </c>
      <c r="Q481">
        <f t="shared" si="90"/>
        <v>21</v>
      </c>
      <c r="R481" t="s">
        <v>92</v>
      </c>
      <c r="S481" s="8" t="s">
        <v>92</v>
      </c>
      <c r="T481" s="9">
        <v>75</v>
      </c>
      <c r="U481" s="9">
        <f t="shared" si="91"/>
        <v>75</v>
      </c>
      <c r="V481" s="10">
        <v>75</v>
      </c>
      <c r="W481">
        <v>2.7</v>
      </c>
      <c r="X481" s="11">
        <f t="shared" si="92"/>
        <v>2.7</v>
      </c>
      <c r="Y481" t="s">
        <v>2103</v>
      </c>
      <c r="Z481" t="str">
        <f t="shared" si="93"/>
        <v>Yes</v>
      </c>
      <c r="AA481" t="str">
        <f t="shared" si="94"/>
        <v>Yes</v>
      </c>
      <c r="AB481" t="str">
        <f t="shared" si="95"/>
        <v>Yes</v>
      </c>
      <c r="AC481" s="12"/>
      <c r="AD481" s="12">
        <f t="shared" si="96"/>
        <v>79.506880733944953</v>
      </c>
    </row>
    <row r="482" spans="1:30" x14ac:dyDescent="0.3">
      <c r="A482" t="s">
        <v>1054</v>
      </c>
      <c r="B482" t="s">
        <v>1055</v>
      </c>
      <c r="C482" t="s">
        <v>2654</v>
      </c>
      <c r="D482" t="s">
        <v>2655</v>
      </c>
      <c r="E482" t="str">
        <f t="shared" si="85"/>
        <v>Craig Levine</v>
      </c>
      <c r="F482" t="str">
        <f t="shared" si="86"/>
        <v>Craig Levine</v>
      </c>
      <c r="H482" t="s">
        <v>107</v>
      </c>
      <c r="I482" t="str">
        <f t="shared" si="87"/>
        <v>Male</v>
      </c>
      <c r="J482">
        <v>59</v>
      </c>
      <c r="K482">
        <f t="shared" si="88"/>
        <v>59</v>
      </c>
      <c r="L482" t="str">
        <f t="shared" si="89"/>
        <v>Fourth level</v>
      </c>
      <c r="M482" t="s">
        <v>145</v>
      </c>
      <c r="N482" t="s">
        <v>146</v>
      </c>
      <c r="O482" t="s">
        <v>87</v>
      </c>
      <c r="P482">
        <v>13</v>
      </c>
      <c r="Q482">
        <f t="shared" si="90"/>
        <v>13</v>
      </c>
      <c r="R482" t="s">
        <v>76</v>
      </c>
      <c r="S482" s="8" t="s">
        <v>76</v>
      </c>
      <c r="T482" s="9">
        <v>40</v>
      </c>
      <c r="U482" s="9">
        <f t="shared" si="91"/>
        <v>40</v>
      </c>
      <c r="V482" s="10">
        <v>40</v>
      </c>
      <c r="W482">
        <v>2.4</v>
      </c>
      <c r="X482" s="11">
        <f t="shared" si="92"/>
        <v>2.4</v>
      </c>
      <c r="Y482" t="s">
        <v>170</v>
      </c>
      <c r="Z482" t="str">
        <f t="shared" si="93"/>
        <v>no</v>
      </c>
      <c r="AA482" t="str">
        <f t="shared" si="94"/>
        <v>no</v>
      </c>
      <c r="AB482" t="str">
        <f t="shared" si="95"/>
        <v>No</v>
      </c>
      <c r="AC482" s="12">
        <v>65</v>
      </c>
      <c r="AD482" s="12">
        <f t="shared" si="96"/>
        <v>65</v>
      </c>
    </row>
    <row r="483" spans="1:30" x14ac:dyDescent="0.3">
      <c r="A483" t="s">
        <v>1056</v>
      </c>
      <c r="B483" t="s">
        <v>1057</v>
      </c>
      <c r="C483" t="s">
        <v>2428</v>
      </c>
      <c r="D483" t="s">
        <v>2656</v>
      </c>
      <c r="E483" t="str">
        <f t="shared" si="85"/>
        <v>Richard Harvey</v>
      </c>
      <c r="F483" t="str">
        <f t="shared" si="86"/>
        <v>Richard Harvey</v>
      </c>
      <c r="H483" t="s">
        <v>69</v>
      </c>
      <c r="I483" t="str">
        <f t="shared" si="87"/>
        <v>Male</v>
      </c>
      <c r="K483">
        <f t="shared" si="88"/>
        <v>41</v>
      </c>
      <c r="L483" t="str">
        <f t="shared" si="89"/>
        <v>Third level</v>
      </c>
      <c r="M483" t="s">
        <v>75</v>
      </c>
      <c r="N483" t="s">
        <v>24</v>
      </c>
      <c r="O483" t="s">
        <v>39</v>
      </c>
      <c r="Q483">
        <f t="shared" si="90"/>
        <v>13</v>
      </c>
      <c r="R483" t="s">
        <v>76</v>
      </c>
      <c r="S483" s="8" t="s">
        <v>76</v>
      </c>
      <c r="T483" s="9">
        <v>40</v>
      </c>
      <c r="U483" s="9">
        <f t="shared" si="91"/>
        <v>40</v>
      </c>
      <c r="V483" s="10">
        <v>40</v>
      </c>
      <c r="W483">
        <v>1.9</v>
      </c>
      <c r="X483" s="11">
        <f t="shared" si="92"/>
        <v>1.9</v>
      </c>
      <c r="Y483" t="s">
        <v>2103</v>
      </c>
      <c r="Z483" t="str">
        <f t="shared" si="93"/>
        <v>Yes</v>
      </c>
      <c r="AA483" t="str">
        <f t="shared" si="94"/>
        <v>Yes</v>
      </c>
      <c r="AB483" t="str">
        <f t="shared" si="95"/>
        <v>Yes</v>
      </c>
      <c r="AC483" s="12">
        <v>94</v>
      </c>
      <c r="AD483" s="12">
        <f t="shared" si="96"/>
        <v>94</v>
      </c>
    </row>
    <row r="484" spans="1:30" x14ac:dyDescent="0.3">
      <c r="A484" t="s">
        <v>1058</v>
      </c>
      <c r="B484" t="s">
        <v>1059</v>
      </c>
      <c r="C484" t="s">
        <v>2657</v>
      </c>
      <c r="D484" t="s">
        <v>2658</v>
      </c>
      <c r="E484" t="str">
        <f t="shared" si="85"/>
        <v>Bonnie Sherman</v>
      </c>
      <c r="F484" t="str">
        <f t="shared" si="86"/>
        <v>Bonnie Sherman</v>
      </c>
      <c r="H484" t="s">
        <v>43</v>
      </c>
      <c r="I484" t="str">
        <f t="shared" si="87"/>
        <v>Female</v>
      </c>
      <c r="K484">
        <f t="shared" si="88"/>
        <v>40</v>
      </c>
      <c r="L484" t="str">
        <f t="shared" si="89"/>
        <v>Second level</v>
      </c>
      <c r="M484" t="s">
        <v>47</v>
      </c>
      <c r="N484" t="s">
        <v>48</v>
      </c>
      <c r="O484" t="s">
        <v>25</v>
      </c>
      <c r="P484">
        <v>11</v>
      </c>
      <c r="Q484">
        <f t="shared" si="90"/>
        <v>11</v>
      </c>
      <c r="R484" t="s">
        <v>131</v>
      </c>
      <c r="S484" s="8" t="s">
        <v>131</v>
      </c>
      <c r="T484" s="9">
        <v>20</v>
      </c>
      <c r="U484" s="9">
        <f t="shared" si="91"/>
        <v>20</v>
      </c>
      <c r="V484" s="10">
        <v>20</v>
      </c>
      <c r="W484">
        <v>3.6</v>
      </c>
      <c r="X484" s="11">
        <f t="shared" si="92"/>
        <v>3.6</v>
      </c>
      <c r="Y484" t="s">
        <v>170</v>
      </c>
      <c r="Z484" t="str">
        <f t="shared" si="93"/>
        <v>no</v>
      </c>
      <c r="AA484" t="str">
        <f t="shared" si="94"/>
        <v>no</v>
      </c>
      <c r="AB484" t="str">
        <f t="shared" si="95"/>
        <v>No</v>
      </c>
      <c r="AC484" s="12">
        <v>69</v>
      </c>
      <c r="AD484" s="12">
        <f t="shared" si="96"/>
        <v>69</v>
      </c>
    </row>
    <row r="485" spans="1:30" x14ac:dyDescent="0.3">
      <c r="A485" t="s">
        <v>1060</v>
      </c>
      <c r="B485" t="s">
        <v>1061</v>
      </c>
      <c r="C485" t="s">
        <v>2472</v>
      </c>
      <c r="D485" t="s">
        <v>2659</v>
      </c>
      <c r="E485" t="str">
        <f t="shared" si="85"/>
        <v>Keith Trujillo</v>
      </c>
      <c r="F485" t="str">
        <f t="shared" si="86"/>
        <v>Keith Trujillo</v>
      </c>
      <c r="H485" t="s">
        <v>107</v>
      </c>
      <c r="I485" t="str">
        <f t="shared" si="87"/>
        <v>Male</v>
      </c>
      <c r="J485">
        <v>25</v>
      </c>
      <c r="K485">
        <f t="shared" si="88"/>
        <v>25</v>
      </c>
      <c r="L485" t="str">
        <f t="shared" si="89"/>
        <v>First level</v>
      </c>
      <c r="M485" t="s">
        <v>47</v>
      </c>
      <c r="N485" t="s">
        <v>48</v>
      </c>
      <c r="O485" t="s">
        <v>25</v>
      </c>
      <c r="P485">
        <v>0</v>
      </c>
      <c r="Q485">
        <f t="shared" si="90"/>
        <v>0</v>
      </c>
      <c r="R485" t="s">
        <v>34</v>
      </c>
      <c r="S485" s="8" t="s">
        <v>34</v>
      </c>
      <c r="T485" s="9">
        <v>50</v>
      </c>
      <c r="U485" s="9">
        <f t="shared" si="91"/>
        <v>50</v>
      </c>
      <c r="V485" s="10">
        <v>50</v>
      </c>
      <c r="W485">
        <v>2.9</v>
      </c>
      <c r="X485" s="11">
        <f t="shared" si="92"/>
        <v>2.9</v>
      </c>
      <c r="Y485" t="s">
        <v>77</v>
      </c>
      <c r="Z485" t="str">
        <f t="shared" si="93"/>
        <v>yes</v>
      </c>
      <c r="AA485" t="str">
        <f t="shared" si="94"/>
        <v>yes</v>
      </c>
      <c r="AB485" t="str">
        <f t="shared" si="95"/>
        <v>Yes</v>
      </c>
      <c r="AC485" s="12">
        <v>65</v>
      </c>
      <c r="AD485" s="12">
        <f t="shared" si="96"/>
        <v>65</v>
      </c>
    </row>
    <row r="486" spans="1:30" x14ac:dyDescent="0.3">
      <c r="A486" t="s">
        <v>1062</v>
      </c>
      <c r="B486" t="s">
        <v>1063</v>
      </c>
      <c r="C486" t="s">
        <v>2225</v>
      </c>
      <c r="D486" t="s">
        <v>2660</v>
      </c>
      <c r="E486" t="str">
        <f t="shared" si="85"/>
        <v>Corey Combs</v>
      </c>
      <c r="F486" t="str">
        <f t="shared" si="86"/>
        <v>Corey Combs</v>
      </c>
      <c r="H486" t="s">
        <v>30</v>
      </c>
      <c r="I486" t="str">
        <f t="shared" si="87"/>
        <v>Male</v>
      </c>
      <c r="J486">
        <v>31</v>
      </c>
      <c r="K486">
        <f t="shared" si="88"/>
        <v>31</v>
      </c>
      <c r="L486" t="str">
        <f t="shared" si="89"/>
        <v>Second level</v>
      </c>
      <c r="M486" t="s">
        <v>149</v>
      </c>
      <c r="N486" t="s">
        <v>150</v>
      </c>
      <c r="O486" t="s">
        <v>25</v>
      </c>
      <c r="P486">
        <v>2</v>
      </c>
      <c r="Q486">
        <f t="shared" si="90"/>
        <v>2</v>
      </c>
      <c r="R486" t="s">
        <v>181</v>
      </c>
      <c r="S486" s="8" t="s">
        <v>181</v>
      </c>
      <c r="T486" s="9">
        <v>75</v>
      </c>
      <c r="U486" s="9">
        <f t="shared" si="91"/>
        <v>75</v>
      </c>
      <c r="V486" s="10">
        <v>75</v>
      </c>
      <c r="W486">
        <v>2.8</v>
      </c>
      <c r="X486" s="11">
        <f t="shared" si="92"/>
        <v>2.8</v>
      </c>
      <c r="Y486" t="s">
        <v>2102</v>
      </c>
      <c r="Z486" t="str">
        <f t="shared" si="93"/>
        <v>No</v>
      </c>
      <c r="AA486" t="str">
        <f t="shared" si="94"/>
        <v>No</v>
      </c>
      <c r="AB486" t="str">
        <f t="shared" si="95"/>
        <v>No</v>
      </c>
      <c r="AC486" s="12">
        <v>60</v>
      </c>
      <c r="AD486" s="12">
        <f t="shared" si="96"/>
        <v>60</v>
      </c>
    </row>
    <row r="487" spans="1:30" x14ac:dyDescent="0.3">
      <c r="A487" t="s">
        <v>1064</v>
      </c>
      <c r="B487" t="s">
        <v>1065</v>
      </c>
      <c r="C487" t="s">
        <v>2661</v>
      </c>
      <c r="D487" t="s">
        <v>2662</v>
      </c>
      <c r="E487" t="str">
        <f t="shared" si="85"/>
        <v>Antonio King</v>
      </c>
      <c r="F487" t="str">
        <f t="shared" si="86"/>
        <v>Antonio King</v>
      </c>
      <c r="H487" t="s">
        <v>69</v>
      </c>
      <c r="I487" t="str">
        <f t="shared" si="87"/>
        <v>Male</v>
      </c>
      <c r="J487">
        <v>40</v>
      </c>
      <c r="K487">
        <f t="shared" si="88"/>
        <v>40</v>
      </c>
      <c r="L487" t="str">
        <f t="shared" si="89"/>
        <v>Second level</v>
      </c>
      <c r="M487" t="s">
        <v>70</v>
      </c>
      <c r="N487" t="s">
        <v>71</v>
      </c>
      <c r="O487" t="s">
        <v>99</v>
      </c>
      <c r="P487">
        <v>12</v>
      </c>
      <c r="Q487">
        <f t="shared" si="90"/>
        <v>12</v>
      </c>
      <c r="R487" t="s">
        <v>92</v>
      </c>
      <c r="S487" s="8" t="s">
        <v>92</v>
      </c>
      <c r="T487" s="9">
        <v>75</v>
      </c>
      <c r="U487" s="9">
        <f t="shared" si="91"/>
        <v>75</v>
      </c>
      <c r="V487" s="10">
        <v>75</v>
      </c>
      <c r="W487">
        <v>2.6</v>
      </c>
      <c r="X487" s="11">
        <f t="shared" si="92"/>
        <v>2.6</v>
      </c>
      <c r="Y487" t="s">
        <v>2102</v>
      </c>
      <c r="Z487" t="str">
        <f t="shared" si="93"/>
        <v>No</v>
      </c>
      <c r="AA487" t="str">
        <f t="shared" si="94"/>
        <v>No</v>
      </c>
      <c r="AB487" t="str">
        <f t="shared" si="95"/>
        <v>No</v>
      </c>
      <c r="AC487" s="12"/>
      <c r="AD487" s="12">
        <f t="shared" si="96"/>
        <v>79.610208816705338</v>
      </c>
    </row>
    <row r="488" spans="1:30" x14ac:dyDescent="0.3">
      <c r="A488" t="s">
        <v>1066</v>
      </c>
      <c r="B488" t="s">
        <v>686</v>
      </c>
      <c r="C488" t="s">
        <v>2173</v>
      </c>
      <c r="D488" t="s">
        <v>2241</v>
      </c>
      <c r="E488" t="str">
        <f t="shared" si="85"/>
        <v>Amy Lee</v>
      </c>
      <c r="F488" t="str">
        <f t="shared" si="86"/>
        <v>Amy Lee</v>
      </c>
      <c r="H488" t="s">
        <v>86</v>
      </c>
      <c r="I488" t="str">
        <f t="shared" si="87"/>
        <v>Female</v>
      </c>
      <c r="J488">
        <v>48</v>
      </c>
      <c r="K488">
        <f t="shared" si="88"/>
        <v>48</v>
      </c>
      <c r="L488" t="str">
        <f t="shared" si="89"/>
        <v>Third level</v>
      </c>
      <c r="M488" t="s">
        <v>134</v>
      </c>
      <c r="N488" t="s">
        <v>135</v>
      </c>
      <c r="O488" t="s">
        <v>17</v>
      </c>
      <c r="P488">
        <v>13</v>
      </c>
      <c r="Q488">
        <f t="shared" si="90"/>
        <v>13</v>
      </c>
      <c r="R488" t="s">
        <v>240</v>
      </c>
      <c r="S488" s="8" t="s">
        <v>18</v>
      </c>
      <c r="T488" s="9">
        <v>100</v>
      </c>
      <c r="U488" s="9">
        <f t="shared" si="91"/>
        <v>100</v>
      </c>
      <c r="V488" s="10">
        <v>100</v>
      </c>
      <c r="W488">
        <v>2.7</v>
      </c>
      <c r="X488" s="11">
        <f t="shared" si="92"/>
        <v>2.7</v>
      </c>
      <c r="Y488" t="s">
        <v>65</v>
      </c>
      <c r="AA488" t="str">
        <f t="shared" si="94"/>
        <v>Unknown</v>
      </c>
      <c r="AB488" t="str">
        <f t="shared" si="95"/>
        <v>Unknown</v>
      </c>
      <c r="AC488" s="12">
        <v>62</v>
      </c>
      <c r="AD488" s="12">
        <f t="shared" si="96"/>
        <v>62</v>
      </c>
    </row>
    <row r="489" spans="1:30" x14ac:dyDescent="0.3">
      <c r="A489" t="s">
        <v>1067</v>
      </c>
      <c r="B489" t="s">
        <v>1068</v>
      </c>
      <c r="C489" t="s">
        <v>2151</v>
      </c>
      <c r="D489" t="s">
        <v>2179</v>
      </c>
      <c r="E489" t="str">
        <f t="shared" si="85"/>
        <v>Jennifer Rogers</v>
      </c>
      <c r="F489" t="str">
        <f t="shared" si="86"/>
        <v>Jennifer Rogers</v>
      </c>
      <c r="H489" t="s">
        <v>86</v>
      </c>
      <c r="I489" t="str">
        <f t="shared" si="87"/>
        <v>Female</v>
      </c>
      <c r="J489">
        <v>24</v>
      </c>
      <c r="K489">
        <f t="shared" si="88"/>
        <v>24</v>
      </c>
      <c r="L489" t="str">
        <f t="shared" si="89"/>
        <v>First level</v>
      </c>
      <c r="M489" t="s">
        <v>164</v>
      </c>
      <c r="N489" t="s">
        <v>165</v>
      </c>
      <c r="O489" t="s">
        <v>25</v>
      </c>
      <c r="P489">
        <v>6</v>
      </c>
      <c r="Q489">
        <f t="shared" si="90"/>
        <v>6</v>
      </c>
      <c r="R489" t="s">
        <v>44</v>
      </c>
      <c r="S489" s="8" t="s">
        <v>44</v>
      </c>
      <c r="T489" s="9">
        <v>30</v>
      </c>
      <c r="U489" s="9">
        <f t="shared" si="91"/>
        <v>30</v>
      </c>
      <c r="V489" s="10">
        <v>30</v>
      </c>
      <c r="W489">
        <v>1.1000000000000001</v>
      </c>
      <c r="X489" s="11">
        <f t="shared" si="92"/>
        <v>1.1000000000000001</v>
      </c>
      <c r="Y489" t="s">
        <v>77</v>
      </c>
      <c r="Z489" t="str">
        <f t="shared" si="93"/>
        <v>yes</v>
      </c>
      <c r="AA489" t="str">
        <f t="shared" si="94"/>
        <v>yes</v>
      </c>
      <c r="AB489" t="str">
        <f t="shared" si="95"/>
        <v>Yes</v>
      </c>
      <c r="AC489" s="12"/>
      <c r="AD489" s="12">
        <f t="shared" si="96"/>
        <v>79.651162790697668</v>
      </c>
    </row>
    <row r="490" spans="1:30" x14ac:dyDescent="0.3">
      <c r="A490" t="s">
        <v>1069</v>
      </c>
      <c r="B490" t="s">
        <v>1070</v>
      </c>
      <c r="C490" t="s">
        <v>2505</v>
      </c>
      <c r="D490" t="s">
        <v>2663</v>
      </c>
      <c r="E490" t="str">
        <f t="shared" si="85"/>
        <v>Jeffrey Cooper</v>
      </c>
      <c r="F490" t="str">
        <f t="shared" si="86"/>
        <v>Jeffrey Cooper</v>
      </c>
      <c r="H490" t="s">
        <v>69</v>
      </c>
      <c r="I490" t="str">
        <f t="shared" si="87"/>
        <v>Male</v>
      </c>
      <c r="J490">
        <v>33</v>
      </c>
      <c r="K490">
        <f t="shared" si="88"/>
        <v>33</v>
      </c>
      <c r="L490" t="str">
        <f t="shared" si="89"/>
        <v>Second level</v>
      </c>
      <c r="M490" t="s">
        <v>55</v>
      </c>
      <c r="N490" t="s">
        <v>56</v>
      </c>
      <c r="O490" t="s">
        <v>39</v>
      </c>
      <c r="P490">
        <v>10</v>
      </c>
      <c r="Q490">
        <f t="shared" si="90"/>
        <v>10</v>
      </c>
      <c r="R490" t="s">
        <v>119</v>
      </c>
      <c r="S490" s="8" t="s">
        <v>2096</v>
      </c>
      <c r="T490" s="9">
        <v>30</v>
      </c>
      <c r="U490" s="9">
        <f t="shared" si="91"/>
        <v>30</v>
      </c>
      <c r="V490" s="10">
        <v>30</v>
      </c>
      <c r="W490">
        <v>0</v>
      </c>
      <c r="X490" s="11">
        <f t="shared" si="92"/>
        <v>0</v>
      </c>
      <c r="Y490" t="s">
        <v>77</v>
      </c>
      <c r="Z490" t="str">
        <f t="shared" si="93"/>
        <v>yes</v>
      </c>
      <c r="AA490" t="str">
        <f t="shared" si="94"/>
        <v>yes</v>
      </c>
      <c r="AB490" t="str">
        <f t="shared" si="95"/>
        <v>Yes</v>
      </c>
      <c r="AC490" s="12">
        <v>89</v>
      </c>
      <c r="AD490" s="12">
        <f t="shared" si="96"/>
        <v>89</v>
      </c>
    </row>
    <row r="491" spans="1:30" x14ac:dyDescent="0.3">
      <c r="A491" t="s">
        <v>1071</v>
      </c>
      <c r="B491" t="s">
        <v>1072</v>
      </c>
      <c r="C491" t="s">
        <v>2304</v>
      </c>
      <c r="D491" t="s">
        <v>2181</v>
      </c>
      <c r="E491" t="str">
        <f t="shared" si="85"/>
        <v>Allison Williams</v>
      </c>
      <c r="F491" t="str">
        <f t="shared" si="86"/>
        <v>Allison Williams</v>
      </c>
      <c r="H491" t="s">
        <v>86</v>
      </c>
      <c r="I491" t="str">
        <f t="shared" si="87"/>
        <v>Female</v>
      </c>
      <c r="J491">
        <v>43</v>
      </c>
      <c r="K491">
        <f t="shared" si="88"/>
        <v>43</v>
      </c>
      <c r="L491" t="str">
        <f t="shared" si="89"/>
        <v>Third level</v>
      </c>
      <c r="M491" t="s">
        <v>117</v>
      </c>
      <c r="N491" t="s">
        <v>118</v>
      </c>
      <c r="O491" t="s">
        <v>82</v>
      </c>
      <c r="P491">
        <v>2</v>
      </c>
      <c r="Q491">
        <f t="shared" si="90"/>
        <v>2</v>
      </c>
      <c r="R491" t="s">
        <v>40</v>
      </c>
      <c r="S491" s="8" t="s">
        <v>40</v>
      </c>
      <c r="T491" s="9">
        <v>40</v>
      </c>
      <c r="U491" s="9">
        <f t="shared" si="91"/>
        <v>40</v>
      </c>
      <c r="V491" s="10">
        <v>40</v>
      </c>
      <c r="W491">
        <v>0</v>
      </c>
      <c r="X491" s="11">
        <f t="shared" si="92"/>
        <v>0</v>
      </c>
      <c r="Y491" t="s">
        <v>77</v>
      </c>
      <c r="Z491" t="str">
        <f t="shared" si="93"/>
        <v>yes</v>
      </c>
      <c r="AA491" t="str">
        <f t="shared" si="94"/>
        <v>yes</v>
      </c>
      <c r="AB491" t="str">
        <f t="shared" si="95"/>
        <v>Yes</v>
      </c>
      <c r="AC491" s="12">
        <v>89</v>
      </c>
      <c r="AD491" s="12">
        <f t="shared" si="96"/>
        <v>89</v>
      </c>
    </row>
    <row r="492" spans="1:30" x14ac:dyDescent="0.3">
      <c r="A492" t="s">
        <v>1073</v>
      </c>
      <c r="B492" t="s">
        <v>1074</v>
      </c>
      <c r="C492" t="s">
        <v>2664</v>
      </c>
      <c r="D492" t="s">
        <v>2658</v>
      </c>
      <c r="E492" t="str">
        <f t="shared" si="85"/>
        <v>Raymond Sherman</v>
      </c>
      <c r="F492" t="str">
        <f t="shared" si="86"/>
        <v>Raymond Sherman</v>
      </c>
      <c r="H492" t="s">
        <v>107</v>
      </c>
      <c r="I492" t="str">
        <f t="shared" si="87"/>
        <v>Male</v>
      </c>
      <c r="J492">
        <v>43</v>
      </c>
      <c r="K492">
        <f t="shared" si="88"/>
        <v>43</v>
      </c>
      <c r="L492" t="str">
        <f t="shared" si="89"/>
        <v>Third level</v>
      </c>
      <c r="M492" t="s">
        <v>201</v>
      </c>
      <c r="N492" t="s">
        <v>81</v>
      </c>
      <c r="O492" t="s">
        <v>17</v>
      </c>
      <c r="P492">
        <v>4</v>
      </c>
      <c r="Q492">
        <f t="shared" si="90"/>
        <v>4</v>
      </c>
      <c r="R492" t="s">
        <v>34</v>
      </c>
      <c r="S492" s="8" t="s">
        <v>34</v>
      </c>
      <c r="T492" s="9">
        <v>50</v>
      </c>
      <c r="U492" s="9">
        <f t="shared" si="91"/>
        <v>50</v>
      </c>
      <c r="V492" s="10">
        <v>50</v>
      </c>
      <c r="W492">
        <v>0</v>
      </c>
      <c r="X492" s="11">
        <f t="shared" si="92"/>
        <v>0</v>
      </c>
      <c r="Y492" t="s">
        <v>2103</v>
      </c>
      <c r="Z492" t="str">
        <f t="shared" si="93"/>
        <v>Yes</v>
      </c>
      <c r="AA492" t="str">
        <f t="shared" si="94"/>
        <v>Yes</v>
      </c>
      <c r="AB492" t="str">
        <f t="shared" si="95"/>
        <v>Yes</v>
      </c>
      <c r="AC492" s="12">
        <v>100</v>
      </c>
      <c r="AD492" s="12">
        <f t="shared" si="96"/>
        <v>100</v>
      </c>
    </row>
    <row r="493" spans="1:30" x14ac:dyDescent="0.3">
      <c r="A493" t="s">
        <v>1075</v>
      </c>
      <c r="B493" t="s">
        <v>1076</v>
      </c>
      <c r="C493" t="s">
        <v>2151</v>
      </c>
      <c r="D493" t="s">
        <v>2111</v>
      </c>
      <c r="E493" t="str">
        <f t="shared" si="85"/>
        <v>Jennifer Nelson</v>
      </c>
      <c r="F493" t="str">
        <f t="shared" si="86"/>
        <v>Jennifer Nelson</v>
      </c>
      <c r="H493" t="s">
        <v>22</v>
      </c>
      <c r="I493" t="str">
        <f t="shared" si="87"/>
        <v>Female</v>
      </c>
      <c r="J493">
        <v>33</v>
      </c>
      <c r="K493">
        <f t="shared" si="88"/>
        <v>33</v>
      </c>
      <c r="L493" t="str">
        <f t="shared" si="89"/>
        <v>Second level</v>
      </c>
      <c r="M493" t="s">
        <v>23</v>
      </c>
      <c r="N493" t="s">
        <v>24</v>
      </c>
      <c r="O493" t="s">
        <v>39</v>
      </c>
      <c r="P493">
        <v>11</v>
      </c>
      <c r="Q493">
        <f t="shared" si="90"/>
        <v>11</v>
      </c>
      <c r="R493" t="s">
        <v>65</v>
      </c>
      <c r="S493" s="8" t="s">
        <v>65</v>
      </c>
      <c r="T493" s="9"/>
      <c r="U493" s="9">
        <f t="shared" si="91"/>
        <v>53.419913419913421</v>
      </c>
      <c r="V493" s="10">
        <v>53.419913419913421</v>
      </c>
      <c r="W493">
        <v>4.5999999999999996</v>
      </c>
      <c r="X493" s="11">
        <f t="shared" si="92"/>
        <v>4.5999999999999996</v>
      </c>
      <c r="Y493" t="s">
        <v>77</v>
      </c>
      <c r="Z493" t="str">
        <f t="shared" si="93"/>
        <v>yes</v>
      </c>
      <c r="AA493" t="str">
        <f t="shared" si="94"/>
        <v>yes</v>
      </c>
      <c r="AB493" t="str">
        <f t="shared" si="95"/>
        <v>Yes</v>
      </c>
      <c r="AC493" s="12"/>
      <c r="AD493" s="12">
        <f t="shared" si="96"/>
        <v>79.559718969555036</v>
      </c>
    </row>
    <row r="494" spans="1:30" x14ac:dyDescent="0.3">
      <c r="A494" t="s">
        <v>1077</v>
      </c>
      <c r="B494" t="s">
        <v>1078</v>
      </c>
      <c r="C494" t="s">
        <v>2151</v>
      </c>
      <c r="D494" t="s">
        <v>2150</v>
      </c>
      <c r="E494" t="str">
        <f t="shared" si="85"/>
        <v>Jennifer Carter</v>
      </c>
      <c r="F494" t="str">
        <f t="shared" si="86"/>
        <v>Jennifer Carter</v>
      </c>
      <c r="H494" t="s">
        <v>22</v>
      </c>
      <c r="I494" t="str">
        <f t="shared" si="87"/>
        <v>Female</v>
      </c>
      <c r="J494">
        <v>49</v>
      </c>
      <c r="K494">
        <f t="shared" si="88"/>
        <v>49</v>
      </c>
      <c r="L494" t="str">
        <f t="shared" si="89"/>
        <v>Third level</v>
      </c>
      <c r="M494" t="s">
        <v>134</v>
      </c>
      <c r="N494" t="s">
        <v>135</v>
      </c>
      <c r="O494" t="s">
        <v>82</v>
      </c>
      <c r="P494">
        <v>14</v>
      </c>
      <c r="Q494">
        <f t="shared" si="90"/>
        <v>14</v>
      </c>
      <c r="R494" t="s">
        <v>76</v>
      </c>
      <c r="S494" s="8" t="s">
        <v>76</v>
      </c>
      <c r="T494" s="9">
        <v>40</v>
      </c>
      <c r="U494" s="9">
        <f t="shared" si="91"/>
        <v>40</v>
      </c>
      <c r="V494" s="10">
        <v>40</v>
      </c>
      <c r="W494">
        <v>1.5</v>
      </c>
      <c r="X494" s="11">
        <f t="shared" si="92"/>
        <v>1.5</v>
      </c>
      <c r="Y494" t="s">
        <v>65</v>
      </c>
      <c r="AA494" t="str">
        <f t="shared" si="94"/>
        <v>Unknown</v>
      </c>
      <c r="AB494" t="str">
        <f t="shared" si="95"/>
        <v>Unknown</v>
      </c>
      <c r="AC494" s="12">
        <v>60</v>
      </c>
      <c r="AD494" s="12">
        <f t="shared" si="96"/>
        <v>60</v>
      </c>
    </row>
    <row r="495" spans="1:30" x14ac:dyDescent="0.3">
      <c r="A495" t="s">
        <v>1079</v>
      </c>
      <c r="B495" t="s">
        <v>1080</v>
      </c>
      <c r="C495" t="s">
        <v>2214</v>
      </c>
      <c r="D495" t="s">
        <v>2181</v>
      </c>
      <c r="E495" t="str">
        <f t="shared" si="85"/>
        <v>Todd Williams</v>
      </c>
      <c r="F495" t="str">
        <f t="shared" si="86"/>
        <v>Todd Williams</v>
      </c>
      <c r="H495" t="s">
        <v>107</v>
      </c>
      <c r="I495" t="str">
        <f t="shared" si="87"/>
        <v>Male</v>
      </c>
      <c r="J495">
        <v>55</v>
      </c>
      <c r="K495">
        <f t="shared" si="88"/>
        <v>55</v>
      </c>
      <c r="L495" t="str">
        <f t="shared" si="89"/>
        <v>Fourth level</v>
      </c>
      <c r="M495" t="s">
        <v>138</v>
      </c>
      <c r="N495" t="s">
        <v>24</v>
      </c>
      <c r="O495" t="s">
        <v>82</v>
      </c>
      <c r="P495">
        <v>10</v>
      </c>
      <c r="Q495">
        <f t="shared" si="90"/>
        <v>10</v>
      </c>
      <c r="R495" t="s">
        <v>76</v>
      </c>
      <c r="S495" s="8" t="s">
        <v>76</v>
      </c>
      <c r="T495" s="9">
        <v>40</v>
      </c>
      <c r="U495" s="9">
        <f t="shared" si="91"/>
        <v>40</v>
      </c>
      <c r="V495" s="10">
        <v>40</v>
      </c>
      <c r="W495">
        <v>2</v>
      </c>
      <c r="X495" s="11">
        <f t="shared" si="92"/>
        <v>2</v>
      </c>
      <c r="Y495" t="s">
        <v>170</v>
      </c>
      <c r="Z495" t="str">
        <f t="shared" si="93"/>
        <v>no</v>
      </c>
      <c r="AA495" t="str">
        <f t="shared" si="94"/>
        <v>no</v>
      </c>
      <c r="AB495" t="str">
        <f t="shared" si="95"/>
        <v>No</v>
      </c>
      <c r="AC495" s="12">
        <v>85</v>
      </c>
      <c r="AD495" s="12">
        <f t="shared" si="96"/>
        <v>85</v>
      </c>
    </row>
    <row r="496" spans="1:30" x14ac:dyDescent="0.3">
      <c r="A496" t="s">
        <v>1081</v>
      </c>
      <c r="B496" t="s">
        <v>1082</v>
      </c>
      <c r="C496" t="s">
        <v>2170</v>
      </c>
      <c r="D496" t="s">
        <v>2665</v>
      </c>
      <c r="E496" t="str">
        <f t="shared" si="85"/>
        <v>Emily Horton</v>
      </c>
      <c r="F496" t="str">
        <f t="shared" si="86"/>
        <v>Emily Horton</v>
      </c>
      <c r="H496" t="s">
        <v>86</v>
      </c>
      <c r="I496" t="str">
        <f t="shared" si="87"/>
        <v>Female</v>
      </c>
      <c r="J496">
        <v>33</v>
      </c>
      <c r="K496">
        <f t="shared" si="88"/>
        <v>33</v>
      </c>
      <c r="L496" t="str">
        <f t="shared" si="89"/>
        <v>Second level</v>
      </c>
      <c r="M496" t="s">
        <v>122</v>
      </c>
      <c r="N496" t="s">
        <v>123</v>
      </c>
      <c r="O496" t="s">
        <v>33</v>
      </c>
      <c r="P496">
        <v>3</v>
      </c>
      <c r="Q496">
        <f t="shared" si="90"/>
        <v>3</v>
      </c>
      <c r="R496" t="s">
        <v>40</v>
      </c>
      <c r="S496" s="8" t="s">
        <v>40</v>
      </c>
      <c r="T496" s="9">
        <v>40</v>
      </c>
      <c r="U496" s="9">
        <f t="shared" si="91"/>
        <v>40</v>
      </c>
      <c r="V496" s="10">
        <v>40</v>
      </c>
      <c r="W496">
        <v>1.6</v>
      </c>
      <c r="X496" s="11">
        <f t="shared" si="92"/>
        <v>1.6</v>
      </c>
      <c r="Y496" t="s">
        <v>65</v>
      </c>
      <c r="AA496" t="str">
        <f t="shared" si="94"/>
        <v>Unknown</v>
      </c>
      <c r="AB496" t="str">
        <f t="shared" si="95"/>
        <v>Unknown</v>
      </c>
      <c r="AC496" s="12">
        <v>83</v>
      </c>
      <c r="AD496" s="12">
        <f t="shared" si="96"/>
        <v>83</v>
      </c>
    </row>
    <row r="497" spans="1:30" x14ac:dyDescent="0.3">
      <c r="A497" t="s">
        <v>1083</v>
      </c>
      <c r="B497" t="s">
        <v>1084</v>
      </c>
      <c r="C497" t="s">
        <v>2193</v>
      </c>
      <c r="D497" t="s">
        <v>2288</v>
      </c>
      <c r="E497" t="str">
        <f t="shared" si="85"/>
        <v>Lance Lester</v>
      </c>
      <c r="F497" t="str">
        <f t="shared" si="86"/>
        <v>Lance Lester</v>
      </c>
      <c r="H497" t="s">
        <v>107</v>
      </c>
      <c r="I497" t="str">
        <f t="shared" si="87"/>
        <v>Male</v>
      </c>
      <c r="J497">
        <v>32</v>
      </c>
      <c r="K497">
        <f t="shared" si="88"/>
        <v>32</v>
      </c>
      <c r="L497" t="str">
        <f t="shared" si="89"/>
        <v>Second level</v>
      </c>
      <c r="M497" t="s">
        <v>80</v>
      </c>
      <c r="N497" t="s">
        <v>81</v>
      </c>
      <c r="O497" t="s">
        <v>49</v>
      </c>
      <c r="P497">
        <v>3</v>
      </c>
      <c r="Q497">
        <f t="shared" si="90"/>
        <v>3</v>
      </c>
      <c r="R497" t="s">
        <v>50</v>
      </c>
      <c r="S497" s="8" t="s">
        <v>50</v>
      </c>
      <c r="T497" s="9">
        <v>30</v>
      </c>
      <c r="U497" s="9">
        <f t="shared" si="91"/>
        <v>30</v>
      </c>
      <c r="V497" s="10">
        <v>30</v>
      </c>
      <c r="W497">
        <v>1.5</v>
      </c>
      <c r="X497" s="11">
        <f t="shared" si="92"/>
        <v>1.5</v>
      </c>
      <c r="Y497" t="s">
        <v>2102</v>
      </c>
      <c r="Z497" t="str">
        <f t="shared" si="93"/>
        <v>No</v>
      </c>
      <c r="AA497" t="str">
        <f t="shared" si="94"/>
        <v>No</v>
      </c>
      <c r="AB497" t="str">
        <f t="shared" si="95"/>
        <v>No</v>
      </c>
      <c r="AC497" s="12">
        <v>96</v>
      </c>
      <c r="AD497" s="12">
        <f t="shared" si="96"/>
        <v>96</v>
      </c>
    </row>
    <row r="498" spans="1:30" x14ac:dyDescent="0.3">
      <c r="A498" t="s">
        <v>1085</v>
      </c>
      <c r="B498" t="s">
        <v>1086</v>
      </c>
      <c r="C498" t="s">
        <v>2292</v>
      </c>
      <c r="D498" t="s">
        <v>2534</v>
      </c>
      <c r="E498" t="str">
        <f t="shared" si="85"/>
        <v>Kevin Flores</v>
      </c>
      <c r="F498" t="str">
        <f t="shared" si="86"/>
        <v>Kevin Flores</v>
      </c>
      <c r="H498" t="s">
        <v>107</v>
      </c>
      <c r="I498" t="str">
        <f t="shared" si="87"/>
        <v>Male</v>
      </c>
      <c r="J498">
        <v>58</v>
      </c>
      <c r="K498">
        <f t="shared" si="88"/>
        <v>58</v>
      </c>
      <c r="L498" t="str">
        <f t="shared" si="89"/>
        <v>Fourth level</v>
      </c>
      <c r="M498" t="s">
        <v>47</v>
      </c>
      <c r="N498" t="s">
        <v>48</v>
      </c>
      <c r="O498" t="s">
        <v>17</v>
      </c>
      <c r="P498">
        <v>33</v>
      </c>
      <c r="Q498">
        <f t="shared" si="90"/>
        <v>33</v>
      </c>
      <c r="R498" t="s">
        <v>65</v>
      </c>
      <c r="S498" s="8" t="s">
        <v>65</v>
      </c>
      <c r="T498" s="9"/>
      <c r="U498" s="9">
        <f t="shared" si="91"/>
        <v>53.515283842794759</v>
      </c>
      <c r="V498" s="10">
        <v>53.515283842794759</v>
      </c>
      <c r="W498">
        <v>4.0999999999999996</v>
      </c>
      <c r="X498" s="11">
        <f t="shared" si="92"/>
        <v>4.0999999999999996</v>
      </c>
      <c r="Y498" t="s">
        <v>2103</v>
      </c>
      <c r="Z498" t="str">
        <f t="shared" si="93"/>
        <v>Yes</v>
      </c>
      <c r="AA498" t="str">
        <f t="shared" si="94"/>
        <v>Yes</v>
      </c>
      <c r="AB498" t="str">
        <f t="shared" si="95"/>
        <v>Yes</v>
      </c>
      <c r="AC498" s="12">
        <v>83</v>
      </c>
      <c r="AD498" s="12">
        <f t="shared" si="96"/>
        <v>83</v>
      </c>
    </row>
    <row r="499" spans="1:30" x14ac:dyDescent="0.3">
      <c r="A499" t="s">
        <v>1087</v>
      </c>
      <c r="B499" t="s">
        <v>1088</v>
      </c>
      <c r="C499" t="s">
        <v>2539</v>
      </c>
      <c r="D499" t="s">
        <v>2666</v>
      </c>
      <c r="E499" t="str">
        <f t="shared" si="85"/>
        <v>Aaron Stewart</v>
      </c>
      <c r="F499" t="str">
        <f t="shared" si="86"/>
        <v>Aaron Stewart</v>
      </c>
      <c r="H499" t="s">
        <v>30</v>
      </c>
      <c r="I499" t="str">
        <f t="shared" si="87"/>
        <v>Male</v>
      </c>
      <c r="J499">
        <v>49</v>
      </c>
      <c r="K499">
        <f t="shared" si="88"/>
        <v>49</v>
      </c>
      <c r="L499" t="str">
        <f t="shared" si="89"/>
        <v>Third level</v>
      </c>
      <c r="M499" t="s">
        <v>55</v>
      </c>
      <c r="N499" t="s">
        <v>56</v>
      </c>
      <c r="O499" t="s">
        <v>57</v>
      </c>
      <c r="P499">
        <v>24</v>
      </c>
      <c r="Q499">
        <f t="shared" si="90"/>
        <v>24</v>
      </c>
      <c r="R499" t="s">
        <v>18</v>
      </c>
      <c r="S499" s="8" t="s">
        <v>18</v>
      </c>
      <c r="T499" s="9">
        <v>100</v>
      </c>
      <c r="U499" s="9">
        <f t="shared" si="91"/>
        <v>100</v>
      </c>
      <c r="V499" s="10">
        <v>100</v>
      </c>
      <c r="W499">
        <v>4.7</v>
      </c>
      <c r="X499" s="11">
        <f t="shared" si="92"/>
        <v>4.7</v>
      </c>
      <c r="Y499" t="s">
        <v>2102</v>
      </c>
      <c r="Z499" t="str">
        <f t="shared" si="93"/>
        <v>No</v>
      </c>
      <c r="AA499" t="str">
        <f t="shared" si="94"/>
        <v>No</v>
      </c>
      <c r="AB499" t="str">
        <f t="shared" si="95"/>
        <v>No</v>
      </c>
      <c r="AC499" s="12">
        <v>60</v>
      </c>
      <c r="AD499" s="12">
        <f t="shared" si="96"/>
        <v>60</v>
      </c>
    </row>
    <row r="500" spans="1:30" x14ac:dyDescent="0.3">
      <c r="A500" t="s">
        <v>1089</v>
      </c>
      <c r="B500" t="s">
        <v>1090</v>
      </c>
      <c r="C500" t="s">
        <v>2364</v>
      </c>
      <c r="D500" t="s">
        <v>2415</v>
      </c>
      <c r="E500" t="str">
        <f t="shared" si="85"/>
        <v>Robin Moore</v>
      </c>
      <c r="F500" t="str">
        <f t="shared" si="86"/>
        <v>Robin Moore</v>
      </c>
      <c r="H500" t="s">
        <v>86</v>
      </c>
      <c r="I500" t="str">
        <f t="shared" si="87"/>
        <v>Female</v>
      </c>
      <c r="J500">
        <v>22</v>
      </c>
      <c r="K500">
        <f t="shared" si="88"/>
        <v>22</v>
      </c>
      <c r="L500" t="str">
        <f t="shared" si="89"/>
        <v>First level</v>
      </c>
      <c r="M500" t="s">
        <v>134</v>
      </c>
      <c r="N500" t="s">
        <v>135</v>
      </c>
      <c r="O500" t="s">
        <v>82</v>
      </c>
      <c r="P500">
        <v>3</v>
      </c>
      <c r="Q500">
        <f t="shared" si="90"/>
        <v>3</v>
      </c>
      <c r="R500" t="s">
        <v>26</v>
      </c>
      <c r="S500" s="8" t="s">
        <v>18</v>
      </c>
      <c r="T500" s="9">
        <v>100</v>
      </c>
      <c r="U500" s="9">
        <f t="shared" si="91"/>
        <v>100</v>
      </c>
      <c r="V500" s="10">
        <v>100</v>
      </c>
      <c r="W500">
        <v>3.6</v>
      </c>
      <c r="X500" s="11">
        <f t="shared" si="92"/>
        <v>3.6</v>
      </c>
      <c r="Y500" t="s">
        <v>2103</v>
      </c>
      <c r="Z500" t="str">
        <f t="shared" si="93"/>
        <v>Yes</v>
      </c>
      <c r="AA500" t="str">
        <f t="shared" si="94"/>
        <v>Yes</v>
      </c>
      <c r="AB500" t="str">
        <f t="shared" si="95"/>
        <v>Yes</v>
      </c>
      <c r="AC500" s="12">
        <v>78</v>
      </c>
      <c r="AD500" s="12">
        <f t="shared" si="96"/>
        <v>78</v>
      </c>
    </row>
    <row r="501" spans="1:30" x14ac:dyDescent="0.3">
      <c r="A501" t="s">
        <v>1091</v>
      </c>
      <c r="B501" t="s">
        <v>1092</v>
      </c>
      <c r="C501" t="s">
        <v>2667</v>
      </c>
      <c r="D501" t="s">
        <v>2323</v>
      </c>
      <c r="E501" t="str">
        <f t="shared" si="85"/>
        <v>Suzanne Ingram</v>
      </c>
      <c r="F501" t="str">
        <f t="shared" si="86"/>
        <v>Suzanne Ingram</v>
      </c>
      <c r="H501" t="s">
        <v>86</v>
      </c>
      <c r="I501" t="str">
        <f t="shared" si="87"/>
        <v>Female</v>
      </c>
      <c r="J501">
        <v>40</v>
      </c>
      <c r="K501">
        <f t="shared" si="88"/>
        <v>40</v>
      </c>
      <c r="L501" t="str">
        <f t="shared" si="89"/>
        <v>Second level</v>
      </c>
      <c r="M501" t="s">
        <v>149</v>
      </c>
      <c r="N501" t="s">
        <v>150</v>
      </c>
      <c r="O501" t="s">
        <v>39</v>
      </c>
      <c r="P501">
        <v>11</v>
      </c>
      <c r="Q501">
        <f t="shared" si="90"/>
        <v>11</v>
      </c>
      <c r="R501" t="s">
        <v>131</v>
      </c>
      <c r="S501" s="8" t="s">
        <v>131</v>
      </c>
      <c r="T501" s="9">
        <v>20</v>
      </c>
      <c r="U501" s="9">
        <f t="shared" si="91"/>
        <v>20</v>
      </c>
      <c r="V501" s="10">
        <v>20</v>
      </c>
      <c r="W501">
        <v>1.8</v>
      </c>
      <c r="X501" s="11">
        <f t="shared" si="92"/>
        <v>1.8</v>
      </c>
      <c r="Y501" t="s">
        <v>2103</v>
      </c>
      <c r="Z501" t="str">
        <f t="shared" si="93"/>
        <v>Yes</v>
      </c>
      <c r="AA501" t="str">
        <f t="shared" si="94"/>
        <v>Yes</v>
      </c>
      <c r="AB501" t="str">
        <f t="shared" si="95"/>
        <v>Yes</v>
      </c>
      <c r="AC501" s="12">
        <v>90</v>
      </c>
      <c r="AD501" s="12">
        <f t="shared" si="96"/>
        <v>90</v>
      </c>
    </row>
    <row r="502" spans="1:30" x14ac:dyDescent="0.3">
      <c r="A502" t="s">
        <v>1093</v>
      </c>
      <c r="B502" t="s">
        <v>1094</v>
      </c>
      <c r="C502" t="s">
        <v>2418</v>
      </c>
      <c r="D502" t="s">
        <v>2668</v>
      </c>
      <c r="E502" t="str">
        <f t="shared" si="85"/>
        <v>Jacob Mclaughlin</v>
      </c>
      <c r="F502" t="str">
        <f t="shared" si="86"/>
        <v>Jacob Mclaughlin</v>
      </c>
      <c r="H502" t="s">
        <v>107</v>
      </c>
      <c r="I502" t="str">
        <f t="shared" si="87"/>
        <v>Male</v>
      </c>
      <c r="J502">
        <v>55</v>
      </c>
      <c r="K502">
        <f t="shared" si="88"/>
        <v>55</v>
      </c>
      <c r="L502" t="str">
        <f t="shared" si="89"/>
        <v>Fourth level</v>
      </c>
      <c r="M502" t="s">
        <v>23</v>
      </c>
      <c r="N502" t="s">
        <v>24</v>
      </c>
      <c r="O502" t="s">
        <v>57</v>
      </c>
      <c r="P502">
        <v>7</v>
      </c>
      <c r="Q502">
        <f t="shared" si="90"/>
        <v>7</v>
      </c>
      <c r="R502" t="s">
        <v>26</v>
      </c>
      <c r="S502" s="8" t="s">
        <v>18</v>
      </c>
      <c r="T502" s="9">
        <v>100</v>
      </c>
      <c r="U502" s="9">
        <f t="shared" si="91"/>
        <v>100</v>
      </c>
      <c r="V502" s="10">
        <v>100</v>
      </c>
      <c r="W502">
        <v>2.1</v>
      </c>
      <c r="X502" s="11">
        <f t="shared" si="92"/>
        <v>2.1</v>
      </c>
      <c r="Y502" t="s">
        <v>2102</v>
      </c>
      <c r="Z502" t="str">
        <f t="shared" si="93"/>
        <v>No</v>
      </c>
      <c r="AA502" t="str">
        <f t="shared" si="94"/>
        <v>No</v>
      </c>
      <c r="AB502" t="str">
        <f t="shared" si="95"/>
        <v>No</v>
      </c>
      <c r="AC502" s="12">
        <v>66</v>
      </c>
      <c r="AD502" s="12">
        <f t="shared" si="96"/>
        <v>66</v>
      </c>
    </row>
    <row r="503" spans="1:30" x14ac:dyDescent="0.3">
      <c r="A503" t="s">
        <v>1095</v>
      </c>
      <c r="B503" t="s">
        <v>1096</v>
      </c>
      <c r="C503" t="s">
        <v>2166</v>
      </c>
      <c r="D503" t="s">
        <v>2524</v>
      </c>
      <c r="E503" t="str">
        <f t="shared" si="85"/>
        <v>Michael Nunez</v>
      </c>
      <c r="F503" t="str">
        <f t="shared" si="86"/>
        <v>Michael Nunez</v>
      </c>
      <c r="H503" t="s">
        <v>107</v>
      </c>
      <c r="I503" t="str">
        <f t="shared" si="87"/>
        <v>Male</v>
      </c>
      <c r="J503">
        <v>32</v>
      </c>
      <c r="K503">
        <f t="shared" si="88"/>
        <v>32</v>
      </c>
      <c r="L503" t="str">
        <f t="shared" si="89"/>
        <v>Second level</v>
      </c>
      <c r="M503" t="s">
        <v>190</v>
      </c>
      <c r="N503" t="s">
        <v>81</v>
      </c>
      <c r="O503" t="s">
        <v>99</v>
      </c>
      <c r="P503">
        <v>1</v>
      </c>
      <c r="Q503">
        <f t="shared" si="90"/>
        <v>1</v>
      </c>
      <c r="R503" t="s">
        <v>72</v>
      </c>
      <c r="S503" s="8" t="s">
        <v>72</v>
      </c>
      <c r="T503" s="9">
        <v>50</v>
      </c>
      <c r="U503" s="9">
        <f t="shared" si="91"/>
        <v>50</v>
      </c>
      <c r="V503" s="10">
        <v>50</v>
      </c>
      <c r="X503" s="11">
        <f t="shared" si="92"/>
        <v>2.5607223476297976</v>
      </c>
      <c r="Y503" t="s">
        <v>77</v>
      </c>
      <c r="Z503" t="str">
        <f t="shared" si="93"/>
        <v>yes</v>
      </c>
      <c r="AA503" t="str">
        <f t="shared" si="94"/>
        <v>yes</v>
      </c>
      <c r="AB503" t="str">
        <f t="shared" si="95"/>
        <v>Yes</v>
      </c>
      <c r="AC503" s="12">
        <v>70</v>
      </c>
      <c r="AD503" s="12">
        <f t="shared" si="96"/>
        <v>70</v>
      </c>
    </row>
    <row r="504" spans="1:30" x14ac:dyDescent="0.3">
      <c r="A504" t="s">
        <v>1097</v>
      </c>
      <c r="B504" t="s">
        <v>1098</v>
      </c>
      <c r="C504" t="s">
        <v>2669</v>
      </c>
      <c r="D504" t="s">
        <v>2186</v>
      </c>
      <c r="E504" t="str">
        <f t="shared" si="85"/>
        <v>Isabel Brown</v>
      </c>
      <c r="F504" t="str">
        <f t="shared" si="86"/>
        <v>Isabel Brown</v>
      </c>
      <c r="H504" t="s">
        <v>22</v>
      </c>
      <c r="I504" t="str">
        <f t="shared" si="87"/>
        <v>Female</v>
      </c>
      <c r="J504">
        <v>21</v>
      </c>
      <c r="K504">
        <f t="shared" si="88"/>
        <v>21</v>
      </c>
      <c r="L504" t="str">
        <f t="shared" si="89"/>
        <v>First level</v>
      </c>
      <c r="M504" t="s">
        <v>95</v>
      </c>
      <c r="N504" t="s">
        <v>96</v>
      </c>
      <c r="O504" t="s">
        <v>82</v>
      </c>
      <c r="P504">
        <v>0</v>
      </c>
      <c r="Q504">
        <f t="shared" si="90"/>
        <v>0</v>
      </c>
      <c r="R504" t="s">
        <v>119</v>
      </c>
      <c r="S504" s="8" t="s">
        <v>2096</v>
      </c>
      <c r="T504" s="9">
        <v>30</v>
      </c>
      <c r="U504" s="9">
        <f t="shared" si="91"/>
        <v>30</v>
      </c>
      <c r="V504" s="10">
        <v>30</v>
      </c>
      <c r="W504">
        <v>4.2</v>
      </c>
      <c r="X504" s="11">
        <f t="shared" si="92"/>
        <v>4.2</v>
      </c>
      <c r="Y504" t="s">
        <v>77</v>
      </c>
      <c r="Z504" t="str">
        <f t="shared" si="93"/>
        <v>yes</v>
      </c>
      <c r="AA504" t="str">
        <f t="shared" si="94"/>
        <v>yes</v>
      </c>
      <c r="AB504" t="str">
        <f t="shared" si="95"/>
        <v>Yes</v>
      </c>
      <c r="AC504" s="12">
        <v>79</v>
      </c>
      <c r="AD504" s="12">
        <f t="shared" si="96"/>
        <v>79</v>
      </c>
    </row>
    <row r="505" spans="1:30" x14ac:dyDescent="0.3">
      <c r="A505" t="s">
        <v>1099</v>
      </c>
      <c r="B505" t="s">
        <v>1100</v>
      </c>
      <c r="C505" t="s">
        <v>2166</v>
      </c>
      <c r="D505" t="s">
        <v>2670</v>
      </c>
      <c r="E505" t="str">
        <f t="shared" si="85"/>
        <v>Michael Stein</v>
      </c>
      <c r="F505" t="str">
        <f t="shared" si="86"/>
        <v>Michael Stein</v>
      </c>
      <c r="H505" t="s">
        <v>107</v>
      </c>
      <c r="I505" t="str">
        <f t="shared" si="87"/>
        <v>Male</v>
      </c>
      <c r="J505">
        <v>23</v>
      </c>
      <c r="K505">
        <f t="shared" si="88"/>
        <v>23</v>
      </c>
      <c r="L505" t="str">
        <f t="shared" si="89"/>
        <v>First level</v>
      </c>
      <c r="M505" t="s">
        <v>122</v>
      </c>
      <c r="N505" t="s">
        <v>123</v>
      </c>
      <c r="O505" t="s">
        <v>17</v>
      </c>
      <c r="P505">
        <v>1</v>
      </c>
      <c r="Q505">
        <f t="shared" si="90"/>
        <v>1</v>
      </c>
      <c r="R505" t="s">
        <v>76</v>
      </c>
      <c r="S505" s="8" t="s">
        <v>76</v>
      </c>
      <c r="T505" s="9">
        <v>40</v>
      </c>
      <c r="U505" s="9">
        <f t="shared" si="91"/>
        <v>40</v>
      </c>
      <c r="V505" s="10">
        <v>40</v>
      </c>
      <c r="W505">
        <v>0</v>
      </c>
      <c r="X505" s="11">
        <f t="shared" si="92"/>
        <v>0</v>
      </c>
      <c r="Y505" t="s">
        <v>2102</v>
      </c>
      <c r="Z505" t="str">
        <f t="shared" si="93"/>
        <v>No</v>
      </c>
      <c r="AA505" t="str">
        <f t="shared" si="94"/>
        <v>No</v>
      </c>
      <c r="AB505" t="str">
        <f t="shared" si="95"/>
        <v>No</v>
      </c>
      <c r="AC505" s="12">
        <v>64</v>
      </c>
      <c r="AD505" s="12">
        <f t="shared" si="96"/>
        <v>64</v>
      </c>
    </row>
    <row r="506" spans="1:30" x14ac:dyDescent="0.3">
      <c r="A506" t="s">
        <v>1101</v>
      </c>
      <c r="B506" t="s">
        <v>1102</v>
      </c>
      <c r="C506" t="s">
        <v>2165</v>
      </c>
      <c r="D506" t="s">
        <v>2600</v>
      </c>
      <c r="E506" t="str">
        <f t="shared" si="85"/>
        <v>Robert Stone</v>
      </c>
      <c r="F506" t="str">
        <f t="shared" si="86"/>
        <v>Robert Stone</v>
      </c>
      <c r="H506" t="s">
        <v>107</v>
      </c>
      <c r="I506" t="str">
        <f t="shared" si="87"/>
        <v>Male</v>
      </c>
      <c r="J506">
        <v>21</v>
      </c>
      <c r="K506">
        <f t="shared" si="88"/>
        <v>21</v>
      </c>
      <c r="L506" t="str">
        <f t="shared" si="89"/>
        <v>First level</v>
      </c>
      <c r="M506" t="s">
        <v>75</v>
      </c>
      <c r="N506" t="s">
        <v>24</v>
      </c>
      <c r="O506" t="s">
        <v>25</v>
      </c>
      <c r="P506">
        <v>1</v>
      </c>
      <c r="Q506">
        <f t="shared" si="90"/>
        <v>1</v>
      </c>
      <c r="R506" t="s">
        <v>119</v>
      </c>
      <c r="S506" s="8" t="s">
        <v>2096</v>
      </c>
      <c r="T506" s="9">
        <v>30</v>
      </c>
      <c r="U506" s="9">
        <f t="shared" si="91"/>
        <v>30</v>
      </c>
      <c r="V506" s="10">
        <v>30</v>
      </c>
      <c r="W506">
        <v>1</v>
      </c>
      <c r="X506" s="11">
        <f t="shared" si="92"/>
        <v>1</v>
      </c>
      <c r="Y506" t="s">
        <v>2102</v>
      </c>
      <c r="Z506" t="str">
        <f t="shared" si="93"/>
        <v>No</v>
      </c>
      <c r="AA506" t="str">
        <f t="shared" si="94"/>
        <v>No</v>
      </c>
      <c r="AB506" t="str">
        <f t="shared" si="95"/>
        <v>No</v>
      </c>
      <c r="AC506" s="12">
        <v>81</v>
      </c>
      <c r="AD506" s="12">
        <f t="shared" si="96"/>
        <v>81</v>
      </c>
    </row>
    <row r="507" spans="1:30" x14ac:dyDescent="0.3">
      <c r="A507" t="s">
        <v>1103</v>
      </c>
      <c r="B507" t="s">
        <v>1104</v>
      </c>
      <c r="C507" t="s">
        <v>2671</v>
      </c>
      <c r="D507" t="s">
        <v>2386</v>
      </c>
      <c r="E507" t="str">
        <f t="shared" si="85"/>
        <v>Dillon Henry</v>
      </c>
      <c r="F507" t="str">
        <f t="shared" si="86"/>
        <v>Dillon Henry</v>
      </c>
      <c r="H507" t="s">
        <v>107</v>
      </c>
      <c r="I507" t="str">
        <f t="shared" si="87"/>
        <v>Male</v>
      </c>
      <c r="J507">
        <v>31</v>
      </c>
      <c r="K507">
        <f t="shared" si="88"/>
        <v>31</v>
      </c>
      <c r="L507" t="str">
        <f t="shared" si="89"/>
        <v>Second level</v>
      </c>
      <c r="M507" t="s">
        <v>80</v>
      </c>
      <c r="N507" t="s">
        <v>81</v>
      </c>
      <c r="O507" t="s">
        <v>49</v>
      </c>
      <c r="P507">
        <v>7</v>
      </c>
      <c r="Q507">
        <f t="shared" si="90"/>
        <v>7</v>
      </c>
      <c r="R507" t="s">
        <v>92</v>
      </c>
      <c r="S507" s="8" t="s">
        <v>92</v>
      </c>
      <c r="T507" s="9">
        <v>75</v>
      </c>
      <c r="U507" s="9">
        <f t="shared" si="91"/>
        <v>75</v>
      </c>
      <c r="V507" s="10">
        <v>75</v>
      </c>
      <c r="W507">
        <v>4.4000000000000004</v>
      </c>
      <c r="X507" s="11">
        <f t="shared" si="92"/>
        <v>4.4000000000000004</v>
      </c>
      <c r="Y507" t="s">
        <v>2102</v>
      </c>
      <c r="Z507" t="str">
        <f t="shared" si="93"/>
        <v>No</v>
      </c>
      <c r="AA507" t="str">
        <f t="shared" si="94"/>
        <v>No</v>
      </c>
      <c r="AB507" t="str">
        <f t="shared" si="95"/>
        <v>No</v>
      </c>
      <c r="AC507" s="12">
        <v>83</v>
      </c>
      <c r="AD507" s="12">
        <f t="shared" si="96"/>
        <v>83</v>
      </c>
    </row>
    <row r="508" spans="1:30" x14ac:dyDescent="0.3">
      <c r="A508" t="s">
        <v>1105</v>
      </c>
      <c r="B508" t="s">
        <v>1106</v>
      </c>
      <c r="C508" t="s">
        <v>2143</v>
      </c>
      <c r="D508" t="s">
        <v>2214</v>
      </c>
      <c r="E508" t="str">
        <f t="shared" si="85"/>
        <v>James Todd</v>
      </c>
      <c r="F508" t="str">
        <f t="shared" si="86"/>
        <v>James Todd</v>
      </c>
      <c r="H508" t="s">
        <v>107</v>
      </c>
      <c r="I508" t="str">
        <f t="shared" si="87"/>
        <v>Male</v>
      </c>
      <c r="J508">
        <v>21</v>
      </c>
      <c r="K508">
        <f t="shared" si="88"/>
        <v>21</v>
      </c>
      <c r="L508" t="str">
        <f t="shared" si="89"/>
        <v>First level</v>
      </c>
      <c r="M508" t="s">
        <v>190</v>
      </c>
      <c r="N508" t="s">
        <v>81</v>
      </c>
      <c r="O508" t="s">
        <v>17</v>
      </c>
      <c r="Q508">
        <f t="shared" si="90"/>
        <v>3</v>
      </c>
      <c r="R508" t="s">
        <v>76</v>
      </c>
      <c r="S508" s="8" t="s">
        <v>76</v>
      </c>
      <c r="T508" s="9">
        <v>40</v>
      </c>
      <c r="U508" s="9">
        <f t="shared" si="91"/>
        <v>40</v>
      </c>
      <c r="V508" s="10">
        <v>40</v>
      </c>
      <c r="W508">
        <v>4</v>
      </c>
      <c r="X508" s="11">
        <f t="shared" si="92"/>
        <v>4</v>
      </c>
      <c r="Y508" t="s">
        <v>2102</v>
      </c>
      <c r="Z508" t="str">
        <f t="shared" si="93"/>
        <v>No</v>
      </c>
      <c r="AA508" t="str">
        <f t="shared" si="94"/>
        <v>No</v>
      </c>
      <c r="AB508" t="str">
        <f t="shared" si="95"/>
        <v>No</v>
      </c>
      <c r="AC508" s="12">
        <v>91</v>
      </c>
      <c r="AD508" s="12">
        <f t="shared" si="96"/>
        <v>91</v>
      </c>
    </row>
    <row r="509" spans="1:30" x14ac:dyDescent="0.3">
      <c r="A509" t="s">
        <v>1107</v>
      </c>
      <c r="B509" t="s">
        <v>1108</v>
      </c>
      <c r="C509" t="s">
        <v>2672</v>
      </c>
      <c r="D509" t="s">
        <v>2415</v>
      </c>
      <c r="E509" t="str">
        <f t="shared" si="85"/>
        <v>Clifford Moore</v>
      </c>
      <c r="F509" t="str">
        <f t="shared" si="86"/>
        <v>Clifford Moore</v>
      </c>
      <c r="H509" t="s">
        <v>30</v>
      </c>
      <c r="I509" t="str">
        <f t="shared" si="87"/>
        <v>Male</v>
      </c>
      <c r="J509">
        <v>33</v>
      </c>
      <c r="K509">
        <f t="shared" si="88"/>
        <v>33</v>
      </c>
      <c r="L509" t="str">
        <f t="shared" si="89"/>
        <v>Second level</v>
      </c>
      <c r="M509" t="s">
        <v>75</v>
      </c>
      <c r="N509" t="s">
        <v>24</v>
      </c>
      <c r="O509" t="s">
        <v>87</v>
      </c>
      <c r="P509">
        <v>6</v>
      </c>
      <c r="Q509">
        <f t="shared" si="90"/>
        <v>6</v>
      </c>
      <c r="R509" t="s">
        <v>108</v>
      </c>
      <c r="S509" s="8" t="s">
        <v>2095</v>
      </c>
      <c r="T509" s="9">
        <v>50</v>
      </c>
      <c r="U509" s="9">
        <f t="shared" si="91"/>
        <v>50</v>
      </c>
      <c r="V509" s="10">
        <v>50</v>
      </c>
      <c r="W509">
        <v>3.1</v>
      </c>
      <c r="X509" s="11">
        <f t="shared" si="92"/>
        <v>3.1</v>
      </c>
      <c r="Y509" t="s">
        <v>2102</v>
      </c>
      <c r="Z509" t="str">
        <f t="shared" si="93"/>
        <v>No</v>
      </c>
      <c r="AA509" t="str">
        <f t="shared" si="94"/>
        <v>No</v>
      </c>
      <c r="AB509" t="str">
        <f t="shared" si="95"/>
        <v>No</v>
      </c>
      <c r="AC509" s="12"/>
      <c r="AD509" s="12">
        <f t="shared" si="96"/>
        <v>79.618932038834956</v>
      </c>
    </row>
    <row r="510" spans="1:30" x14ac:dyDescent="0.3">
      <c r="A510" t="s">
        <v>1109</v>
      </c>
      <c r="B510" t="s">
        <v>1110</v>
      </c>
      <c r="C510" t="s">
        <v>2366</v>
      </c>
      <c r="D510" t="s">
        <v>2673</v>
      </c>
      <c r="E510" t="str">
        <f t="shared" si="85"/>
        <v>John Rios</v>
      </c>
      <c r="F510" t="str">
        <f t="shared" si="86"/>
        <v>John Rios</v>
      </c>
      <c r="H510" t="s">
        <v>107</v>
      </c>
      <c r="I510" t="str">
        <f t="shared" si="87"/>
        <v>Male</v>
      </c>
      <c r="J510">
        <v>57</v>
      </c>
      <c r="K510">
        <f t="shared" si="88"/>
        <v>57</v>
      </c>
      <c r="L510" t="str">
        <f t="shared" si="89"/>
        <v>Fourth level</v>
      </c>
      <c r="M510" t="s">
        <v>117</v>
      </c>
      <c r="N510" t="s">
        <v>118</v>
      </c>
      <c r="O510" t="s">
        <v>39</v>
      </c>
      <c r="P510">
        <v>5</v>
      </c>
      <c r="Q510">
        <f t="shared" si="90"/>
        <v>5</v>
      </c>
      <c r="R510" t="s">
        <v>92</v>
      </c>
      <c r="S510" s="8" t="s">
        <v>92</v>
      </c>
      <c r="T510" s="9">
        <v>75</v>
      </c>
      <c r="U510" s="9">
        <f t="shared" si="91"/>
        <v>75</v>
      </c>
      <c r="V510" s="10">
        <v>75</v>
      </c>
      <c r="W510">
        <v>1.1000000000000001</v>
      </c>
      <c r="X510" s="11">
        <f t="shared" si="92"/>
        <v>1.1000000000000001</v>
      </c>
      <c r="Y510" t="s">
        <v>2103</v>
      </c>
      <c r="Z510" t="str">
        <f t="shared" si="93"/>
        <v>Yes</v>
      </c>
      <c r="AA510" t="str">
        <f t="shared" si="94"/>
        <v>Yes</v>
      </c>
      <c r="AB510" t="str">
        <f t="shared" si="95"/>
        <v>Yes</v>
      </c>
      <c r="AC510" s="12">
        <v>77</v>
      </c>
      <c r="AD510" s="12">
        <f t="shared" si="96"/>
        <v>77</v>
      </c>
    </row>
    <row r="511" spans="1:30" x14ac:dyDescent="0.3">
      <c r="A511" t="s">
        <v>1111</v>
      </c>
      <c r="B511" t="s">
        <v>1112</v>
      </c>
      <c r="C511" t="s">
        <v>2368</v>
      </c>
      <c r="D511" t="s">
        <v>2478</v>
      </c>
      <c r="E511" t="str">
        <f t="shared" si="85"/>
        <v>Anthony Gaines</v>
      </c>
      <c r="F511" t="str">
        <f t="shared" si="86"/>
        <v>Anthony Gaines</v>
      </c>
      <c r="H511" t="s">
        <v>107</v>
      </c>
      <c r="I511" t="str">
        <f t="shared" si="87"/>
        <v>Male</v>
      </c>
      <c r="J511">
        <v>52</v>
      </c>
      <c r="K511">
        <f t="shared" si="88"/>
        <v>52</v>
      </c>
      <c r="L511" t="str">
        <f t="shared" si="89"/>
        <v>Fourth level</v>
      </c>
      <c r="M511" t="s">
        <v>64</v>
      </c>
      <c r="N511" t="s">
        <v>24</v>
      </c>
      <c r="O511" t="s">
        <v>99</v>
      </c>
      <c r="P511">
        <v>17</v>
      </c>
      <c r="Q511">
        <f t="shared" si="90"/>
        <v>17</v>
      </c>
      <c r="R511" t="s">
        <v>58</v>
      </c>
      <c r="S511" s="8" t="s">
        <v>2093</v>
      </c>
      <c r="T511" s="9">
        <v>75</v>
      </c>
      <c r="U511" s="9">
        <f t="shared" si="91"/>
        <v>75</v>
      </c>
      <c r="V511" s="10">
        <v>75</v>
      </c>
      <c r="W511">
        <v>0</v>
      </c>
      <c r="X511" s="11">
        <f t="shared" si="92"/>
        <v>0</v>
      </c>
      <c r="Y511" t="s">
        <v>2102</v>
      </c>
      <c r="Z511" t="str">
        <f t="shared" si="93"/>
        <v>No</v>
      </c>
      <c r="AA511" t="str">
        <f t="shared" si="94"/>
        <v>No</v>
      </c>
      <c r="AB511" t="str">
        <f t="shared" si="95"/>
        <v>No</v>
      </c>
      <c r="AC511" s="12">
        <v>94</v>
      </c>
      <c r="AD511" s="12">
        <f t="shared" si="96"/>
        <v>94</v>
      </c>
    </row>
    <row r="512" spans="1:30" x14ac:dyDescent="0.3">
      <c r="A512" t="s">
        <v>1113</v>
      </c>
      <c r="B512" t="s">
        <v>1114</v>
      </c>
      <c r="C512" t="s">
        <v>2674</v>
      </c>
      <c r="D512" t="s">
        <v>2186</v>
      </c>
      <c r="E512" t="str">
        <f t="shared" si="85"/>
        <v>Kristi Brown</v>
      </c>
      <c r="F512" t="str">
        <f t="shared" si="86"/>
        <v>Kristi Brown</v>
      </c>
      <c r="H512" t="s">
        <v>86</v>
      </c>
      <c r="I512" t="str">
        <f t="shared" si="87"/>
        <v>Female</v>
      </c>
      <c r="J512">
        <v>21</v>
      </c>
      <c r="K512">
        <f t="shared" si="88"/>
        <v>21</v>
      </c>
      <c r="L512" t="str">
        <f t="shared" si="89"/>
        <v>First level</v>
      </c>
      <c r="M512" t="s">
        <v>31</v>
      </c>
      <c r="N512" t="s">
        <v>32</v>
      </c>
      <c r="O512" t="s">
        <v>39</v>
      </c>
      <c r="P512">
        <v>0</v>
      </c>
      <c r="Q512">
        <f t="shared" si="90"/>
        <v>0</v>
      </c>
      <c r="R512" t="s">
        <v>131</v>
      </c>
      <c r="S512" s="8" t="s">
        <v>131</v>
      </c>
      <c r="T512" s="9">
        <v>20</v>
      </c>
      <c r="U512" s="9">
        <f t="shared" si="91"/>
        <v>20</v>
      </c>
      <c r="V512" s="10">
        <v>20</v>
      </c>
      <c r="W512">
        <v>3.8</v>
      </c>
      <c r="X512" s="11">
        <f t="shared" si="92"/>
        <v>3.8</v>
      </c>
      <c r="Y512" t="s">
        <v>2103</v>
      </c>
      <c r="Z512" t="str">
        <f t="shared" si="93"/>
        <v>Yes</v>
      </c>
      <c r="AA512" t="str">
        <f t="shared" si="94"/>
        <v>Yes</v>
      </c>
      <c r="AB512" t="str">
        <f t="shared" si="95"/>
        <v>Yes</v>
      </c>
      <c r="AC512" s="12">
        <v>61</v>
      </c>
      <c r="AD512" s="12">
        <f t="shared" si="96"/>
        <v>61</v>
      </c>
    </row>
    <row r="513" spans="1:30" x14ac:dyDescent="0.3">
      <c r="A513" t="s">
        <v>1115</v>
      </c>
      <c r="B513" t="s">
        <v>1116</v>
      </c>
      <c r="C513" t="s">
        <v>2221</v>
      </c>
      <c r="D513" t="s">
        <v>2675</v>
      </c>
      <c r="E513" t="str">
        <f t="shared" si="85"/>
        <v>Ashley Odonnell</v>
      </c>
      <c r="F513" t="str">
        <f t="shared" si="86"/>
        <v>Ashley Odonnell</v>
      </c>
      <c r="H513" t="s">
        <v>22</v>
      </c>
      <c r="I513" t="str">
        <f t="shared" si="87"/>
        <v>Female</v>
      </c>
      <c r="J513">
        <v>36</v>
      </c>
      <c r="K513">
        <f t="shared" si="88"/>
        <v>36</v>
      </c>
      <c r="L513" t="str">
        <f t="shared" si="89"/>
        <v>Second level</v>
      </c>
      <c r="M513" t="s">
        <v>80</v>
      </c>
      <c r="N513" t="s">
        <v>81</v>
      </c>
      <c r="O513" t="s">
        <v>82</v>
      </c>
      <c r="P513">
        <v>8</v>
      </c>
      <c r="Q513">
        <f t="shared" si="90"/>
        <v>8</v>
      </c>
      <c r="R513" t="s">
        <v>18</v>
      </c>
      <c r="S513" s="8" t="s">
        <v>18</v>
      </c>
      <c r="T513" s="9">
        <v>100</v>
      </c>
      <c r="U513" s="9">
        <f t="shared" si="91"/>
        <v>100</v>
      </c>
      <c r="V513" s="10">
        <v>100</v>
      </c>
      <c r="W513">
        <v>1.7</v>
      </c>
      <c r="X513" s="11">
        <f t="shared" si="92"/>
        <v>1.7</v>
      </c>
      <c r="Y513" t="s">
        <v>2102</v>
      </c>
      <c r="Z513" t="str">
        <f t="shared" si="93"/>
        <v>No</v>
      </c>
      <c r="AA513" t="str">
        <f t="shared" si="94"/>
        <v>No</v>
      </c>
      <c r="AB513" t="str">
        <f t="shared" si="95"/>
        <v>No</v>
      </c>
      <c r="AC513" s="12">
        <v>68</v>
      </c>
      <c r="AD513" s="12">
        <f t="shared" si="96"/>
        <v>68</v>
      </c>
    </row>
    <row r="514" spans="1:30" x14ac:dyDescent="0.3">
      <c r="A514" t="s">
        <v>1117</v>
      </c>
      <c r="B514" t="s">
        <v>1118</v>
      </c>
      <c r="C514" t="s">
        <v>2260</v>
      </c>
      <c r="D514" t="s">
        <v>2676</v>
      </c>
      <c r="E514" t="str">
        <f t="shared" si="85"/>
        <v>Ronald Elliott</v>
      </c>
      <c r="F514" t="str">
        <f t="shared" si="86"/>
        <v>Ronald Elliott</v>
      </c>
      <c r="H514" t="s">
        <v>30</v>
      </c>
      <c r="I514" t="str">
        <f t="shared" si="87"/>
        <v>Male</v>
      </c>
      <c r="J514">
        <v>33</v>
      </c>
      <c r="K514">
        <f t="shared" si="88"/>
        <v>33</v>
      </c>
      <c r="L514" t="str">
        <f t="shared" si="89"/>
        <v>Second level</v>
      </c>
      <c r="M514" t="s">
        <v>201</v>
      </c>
      <c r="N514" t="s">
        <v>81</v>
      </c>
      <c r="O514" t="s">
        <v>124</v>
      </c>
      <c r="P514">
        <v>13</v>
      </c>
      <c r="Q514">
        <f t="shared" si="90"/>
        <v>13</v>
      </c>
      <c r="R514" t="s">
        <v>34</v>
      </c>
      <c r="S514" s="8" t="s">
        <v>34</v>
      </c>
      <c r="T514" s="9">
        <v>50</v>
      </c>
      <c r="U514" s="9">
        <f t="shared" si="91"/>
        <v>50</v>
      </c>
      <c r="V514" s="10">
        <v>50</v>
      </c>
      <c r="W514">
        <v>2.2000000000000002</v>
      </c>
      <c r="X514" s="11">
        <f t="shared" si="92"/>
        <v>2.2000000000000002</v>
      </c>
      <c r="Y514" t="s">
        <v>2102</v>
      </c>
      <c r="Z514" t="str">
        <f t="shared" si="93"/>
        <v>No</v>
      </c>
      <c r="AA514" t="str">
        <f t="shared" si="94"/>
        <v>No</v>
      </c>
      <c r="AB514" t="str">
        <f t="shared" si="95"/>
        <v>No</v>
      </c>
      <c r="AC514" s="12">
        <v>70</v>
      </c>
      <c r="AD514" s="12">
        <f t="shared" si="96"/>
        <v>70</v>
      </c>
    </row>
    <row r="515" spans="1:30" x14ac:dyDescent="0.3">
      <c r="A515" t="s">
        <v>1119</v>
      </c>
      <c r="B515" t="s">
        <v>1120</v>
      </c>
      <c r="C515" t="s">
        <v>2677</v>
      </c>
      <c r="D515" t="s">
        <v>2678</v>
      </c>
      <c r="E515" t="str">
        <f t="shared" ref="E515:E578" si="97">CONCATENATE(C515," ",D515)</f>
        <v>Lorraine Lowery</v>
      </c>
      <c r="F515" t="str">
        <f t="shared" ref="F515:F553" si="98">PROPER(E515)</f>
        <v>Lorraine Lowery</v>
      </c>
      <c r="H515" t="s">
        <v>86</v>
      </c>
      <c r="I515" t="str">
        <f t="shared" ref="I515:I578" si="99">PROPER(H515)</f>
        <v>Female</v>
      </c>
      <c r="J515">
        <v>54</v>
      </c>
      <c r="K515">
        <f t="shared" ref="K515:K578" si="100">IF(ISBLANK(J515),ROUND(AVERAGEIF($I$2:$I$1001,I515,$J$2:$J$1001),0),J515)</f>
        <v>54</v>
      </c>
      <c r="L515" t="str">
        <f t="shared" ref="L515:L578" si="101">IF(AND(K515&gt;=20,K515&lt;=30),"First level",IF(AND(K515&gt;30,K515&lt;=40),"Second level",IF(AND(K515&gt;40,K515&lt;=50),"Third level",IF(H522&gt;50,"Fourth level"))))</f>
        <v>Fourth level</v>
      </c>
      <c r="M515" t="s">
        <v>75</v>
      </c>
      <c r="N515" t="s">
        <v>24</v>
      </c>
      <c r="O515" t="s">
        <v>57</v>
      </c>
      <c r="P515">
        <v>15</v>
      </c>
      <c r="Q515">
        <f t="shared" ref="Q515:Q578" si="102">IF(ISBLANK(P515),ROUND(AVERAGEIF($L$2:$L$1001,L515,$P$2:$P$1001),0),P515)</f>
        <v>15</v>
      </c>
      <c r="R515" t="s">
        <v>76</v>
      </c>
      <c r="S515" s="8" t="s">
        <v>76</v>
      </c>
      <c r="T515" s="9">
        <v>40</v>
      </c>
      <c r="U515" s="9">
        <f t="shared" ref="U515:U578" si="103">IF(ISBLANK(T515),AVERAGE(T514:T1514),T515)</f>
        <v>40</v>
      </c>
      <c r="V515" s="10">
        <v>40</v>
      </c>
      <c r="W515">
        <v>4.0999999999999996</v>
      </c>
      <c r="X515" s="11">
        <f t="shared" ref="X515:X578" si="104">IF(ISBLANK(W515),AVERAGE(W515:W1514),W515)</f>
        <v>4.0999999999999996</v>
      </c>
      <c r="Y515" t="s">
        <v>2103</v>
      </c>
      <c r="Z515" t="str">
        <f t="shared" ref="Z515:Z578" si="105">CLEAN(Y515)</f>
        <v>Yes</v>
      </c>
      <c r="AA515" t="str">
        <f t="shared" ref="AA515:AA578" si="106">IF(ISBLANK(Z515),"Unknown",Z515)</f>
        <v>Yes</v>
      </c>
      <c r="AB515" t="str">
        <f t="shared" ref="AB515:AB578" si="107">PROPER(AA515)</f>
        <v>Yes</v>
      </c>
      <c r="AC515" s="12">
        <v>71</v>
      </c>
      <c r="AD515" s="12">
        <f t="shared" ref="AD515:AD578" si="108">IF(ISBLANK(AC515),AVERAGE(AC515:AC1514),AC515)</f>
        <v>71</v>
      </c>
    </row>
    <row r="516" spans="1:30" x14ac:dyDescent="0.3">
      <c r="A516" t="s">
        <v>1121</v>
      </c>
      <c r="B516" t="s">
        <v>1122</v>
      </c>
      <c r="C516" t="s">
        <v>2541</v>
      </c>
      <c r="D516" t="s">
        <v>2679</v>
      </c>
      <c r="E516" t="str">
        <f t="shared" si="97"/>
        <v>Victoria Chapman</v>
      </c>
      <c r="F516" t="str">
        <f t="shared" si="98"/>
        <v>Victoria Chapman</v>
      </c>
      <c r="H516" t="s">
        <v>43</v>
      </c>
      <c r="I516" t="str">
        <f t="shared" si="99"/>
        <v>Female</v>
      </c>
      <c r="J516">
        <v>33</v>
      </c>
      <c r="K516">
        <f t="shared" si="100"/>
        <v>33</v>
      </c>
      <c r="L516" t="str">
        <f t="shared" si="101"/>
        <v>Second level</v>
      </c>
      <c r="M516" t="s">
        <v>64</v>
      </c>
      <c r="N516" t="s">
        <v>24</v>
      </c>
      <c r="O516" t="s">
        <v>17</v>
      </c>
      <c r="P516">
        <v>2</v>
      </c>
      <c r="Q516">
        <f t="shared" si="102"/>
        <v>2</v>
      </c>
      <c r="R516" t="s">
        <v>26</v>
      </c>
      <c r="S516" s="8" t="s">
        <v>18</v>
      </c>
      <c r="T516" s="9">
        <v>100</v>
      </c>
      <c r="U516" s="9">
        <f t="shared" si="103"/>
        <v>100</v>
      </c>
      <c r="V516" s="10">
        <v>100</v>
      </c>
      <c r="W516">
        <v>3.8</v>
      </c>
      <c r="X516" s="11">
        <f t="shared" si="104"/>
        <v>3.8</v>
      </c>
      <c r="Y516" t="s">
        <v>2102</v>
      </c>
      <c r="Z516" t="str">
        <f t="shared" si="105"/>
        <v>No</v>
      </c>
      <c r="AA516" t="str">
        <f t="shared" si="106"/>
        <v>No</v>
      </c>
      <c r="AB516" t="str">
        <f t="shared" si="107"/>
        <v>No</v>
      </c>
      <c r="AC516" s="12"/>
      <c r="AD516" s="12">
        <f t="shared" si="108"/>
        <v>79.709359605911331</v>
      </c>
    </row>
    <row r="517" spans="1:30" x14ac:dyDescent="0.3">
      <c r="A517" t="s">
        <v>1123</v>
      </c>
      <c r="B517" t="s">
        <v>1124</v>
      </c>
      <c r="C517" t="s">
        <v>2473</v>
      </c>
      <c r="D517" t="s">
        <v>2319</v>
      </c>
      <c r="E517" t="str">
        <f t="shared" si="97"/>
        <v>Heather Davis</v>
      </c>
      <c r="F517" t="str">
        <f t="shared" si="98"/>
        <v>Heather Davis</v>
      </c>
      <c r="H517" t="s">
        <v>43</v>
      </c>
      <c r="I517" t="str">
        <f t="shared" si="99"/>
        <v>Female</v>
      </c>
      <c r="J517">
        <v>36</v>
      </c>
      <c r="K517">
        <f t="shared" si="100"/>
        <v>36</v>
      </c>
      <c r="L517" t="str">
        <f t="shared" si="101"/>
        <v>Second level</v>
      </c>
      <c r="M517" t="s">
        <v>95</v>
      </c>
      <c r="N517" t="s">
        <v>96</v>
      </c>
      <c r="O517" t="s">
        <v>124</v>
      </c>
      <c r="P517">
        <v>9</v>
      </c>
      <c r="Q517">
        <f t="shared" si="102"/>
        <v>9</v>
      </c>
      <c r="R517" t="s">
        <v>50</v>
      </c>
      <c r="S517" s="8" t="s">
        <v>50</v>
      </c>
      <c r="T517" s="9">
        <v>30</v>
      </c>
      <c r="U517" s="9">
        <f t="shared" si="103"/>
        <v>30</v>
      </c>
      <c r="V517" s="10">
        <v>30</v>
      </c>
      <c r="W517">
        <v>0</v>
      </c>
      <c r="X517" s="11">
        <f t="shared" si="104"/>
        <v>0</v>
      </c>
      <c r="Y517" t="s">
        <v>77</v>
      </c>
      <c r="Z517" t="str">
        <f t="shared" si="105"/>
        <v>yes</v>
      </c>
      <c r="AA517" t="str">
        <f t="shared" si="106"/>
        <v>yes</v>
      </c>
      <c r="AB517" t="str">
        <f t="shared" si="107"/>
        <v>Yes</v>
      </c>
      <c r="AC517" s="12">
        <v>78</v>
      </c>
      <c r="AD517" s="12">
        <f t="shared" si="108"/>
        <v>78</v>
      </c>
    </row>
    <row r="518" spans="1:30" x14ac:dyDescent="0.3">
      <c r="A518" t="s">
        <v>1125</v>
      </c>
      <c r="B518" t="s">
        <v>1126</v>
      </c>
      <c r="C518" t="s">
        <v>2242</v>
      </c>
      <c r="D518" t="s">
        <v>2189</v>
      </c>
      <c r="E518" t="str">
        <f t="shared" si="97"/>
        <v>Diana Chase</v>
      </c>
      <c r="F518" t="str">
        <f t="shared" si="98"/>
        <v>Diana Chase</v>
      </c>
      <c r="H518" t="s">
        <v>22</v>
      </c>
      <c r="I518" t="str">
        <f t="shared" si="99"/>
        <v>Female</v>
      </c>
      <c r="J518">
        <v>36</v>
      </c>
      <c r="K518">
        <f t="shared" si="100"/>
        <v>36</v>
      </c>
      <c r="L518" t="str">
        <f t="shared" si="101"/>
        <v>Second level</v>
      </c>
      <c r="M518" t="s">
        <v>70</v>
      </c>
      <c r="N518" t="s">
        <v>71</v>
      </c>
      <c r="O518" t="s">
        <v>49</v>
      </c>
      <c r="P518">
        <v>3</v>
      </c>
      <c r="Q518">
        <f t="shared" si="102"/>
        <v>3</v>
      </c>
      <c r="R518" t="s">
        <v>108</v>
      </c>
      <c r="S518" s="8" t="s">
        <v>2095</v>
      </c>
      <c r="T518" s="9">
        <v>50</v>
      </c>
      <c r="U518" s="9">
        <f t="shared" si="103"/>
        <v>50</v>
      </c>
      <c r="V518" s="10">
        <v>50</v>
      </c>
      <c r="W518">
        <v>0</v>
      </c>
      <c r="X518" s="11">
        <f t="shared" si="104"/>
        <v>0</v>
      </c>
      <c r="Y518" t="s">
        <v>170</v>
      </c>
      <c r="Z518" t="str">
        <f t="shared" si="105"/>
        <v>no</v>
      </c>
      <c r="AA518" t="str">
        <f t="shared" si="106"/>
        <v>no</v>
      </c>
      <c r="AB518" t="str">
        <f t="shared" si="107"/>
        <v>No</v>
      </c>
      <c r="AC518" s="12">
        <v>75</v>
      </c>
      <c r="AD518" s="12">
        <f t="shared" si="108"/>
        <v>75</v>
      </c>
    </row>
    <row r="519" spans="1:30" x14ac:dyDescent="0.3">
      <c r="A519" t="s">
        <v>1127</v>
      </c>
      <c r="B519" t="s">
        <v>1128</v>
      </c>
      <c r="C519" t="s">
        <v>2522</v>
      </c>
      <c r="D519" t="s">
        <v>2680</v>
      </c>
      <c r="E519" t="str">
        <f t="shared" si="97"/>
        <v>Danielle Adkins</v>
      </c>
      <c r="F519" t="str">
        <f t="shared" si="98"/>
        <v>Danielle Adkins</v>
      </c>
      <c r="H519" t="s">
        <v>86</v>
      </c>
      <c r="I519" t="str">
        <f t="shared" si="99"/>
        <v>Female</v>
      </c>
      <c r="J519">
        <v>43</v>
      </c>
      <c r="K519">
        <f t="shared" si="100"/>
        <v>43</v>
      </c>
      <c r="L519" t="str">
        <f t="shared" si="101"/>
        <v>Third level</v>
      </c>
      <c r="M519" t="s">
        <v>186</v>
      </c>
      <c r="N519" t="s">
        <v>187</v>
      </c>
      <c r="O519" t="s">
        <v>49</v>
      </c>
      <c r="P519">
        <v>15</v>
      </c>
      <c r="Q519">
        <f t="shared" si="102"/>
        <v>15</v>
      </c>
      <c r="R519" t="s">
        <v>131</v>
      </c>
      <c r="S519" s="8" t="s">
        <v>131</v>
      </c>
      <c r="T519" s="9">
        <v>20</v>
      </c>
      <c r="U519" s="9">
        <f t="shared" si="103"/>
        <v>20</v>
      </c>
      <c r="V519" s="10">
        <v>20</v>
      </c>
      <c r="W519">
        <v>4.2</v>
      </c>
      <c r="X519" s="11">
        <f t="shared" si="104"/>
        <v>4.2</v>
      </c>
      <c r="Y519" t="s">
        <v>2103</v>
      </c>
      <c r="Z519" t="str">
        <f t="shared" si="105"/>
        <v>Yes</v>
      </c>
      <c r="AA519" t="str">
        <f t="shared" si="106"/>
        <v>Yes</v>
      </c>
      <c r="AB519" t="str">
        <f t="shared" si="107"/>
        <v>Yes</v>
      </c>
      <c r="AC519" s="12">
        <v>91</v>
      </c>
      <c r="AD519" s="12">
        <f t="shared" si="108"/>
        <v>91</v>
      </c>
    </row>
    <row r="520" spans="1:30" x14ac:dyDescent="0.3">
      <c r="A520" t="s">
        <v>1129</v>
      </c>
      <c r="B520" t="s">
        <v>1130</v>
      </c>
      <c r="C520" t="s">
        <v>2681</v>
      </c>
      <c r="D520" t="s">
        <v>2682</v>
      </c>
      <c r="E520" t="str">
        <f t="shared" si="97"/>
        <v>Kenneth Arias</v>
      </c>
      <c r="F520" t="str">
        <f t="shared" si="98"/>
        <v>Kenneth Arias</v>
      </c>
      <c r="H520" t="s">
        <v>107</v>
      </c>
      <c r="I520" t="str">
        <f t="shared" si="99"/>
        <v>Male</v>
      </c>
      <c r="J520">
        <v>52</v>
      </c>
      <c r="K520">
        <f t="shared" si="100"/>
        <v>52</v>
      </c>
      <c r="L520" t="str">
        <f t="shared" si="101"/>
        <v>Fourth level</v>
      </c>
      <c r="M520" t="s">
        <v>75</v>
      </c>
      <c r="N520" t="s">
        <v>24</v>
      </c>
      <c r="O520" t="s">
        <v>57</v>
      </c>
      <c r="P520">
        <v>21</v>
      </c>
      <c r="Q520">
        <f t="shared" si="102"/>
        <v>21</v>
      </c>
      <c r="R520" t="s">
        <v>58</v>
      </c>
      <c r="S520" s="8" t="s">
        <v>2093</v>
      </c>
      <c r="T520" s="9">
        <v>75</v>
      </c>
      <c r="U520" s="9">
        <f t="shared" si="103"/>
        <v>75</v>
      </c>
      <c r="V520" s="10">
        <v>75</v>
      </c>
      <c r="W520">
        <v>2.2000000000000002</v>
      </c>
      <c r="X520" s="11">
        <f t="shared" si="104"/>
        <v>2.2000000000000002</v>
      </c>
      <c r="Y520" t="s">
        <v>2103</v>
      </c>
      <c r="Z520" t="str">
        <f t="shared" si="105"/>
        <v>Yes</v>
      </c>
      <c r="AA520" t="str">
        <f t="shared" si="106"/>
        <v>Yes</v>
      </c>
      <c r="AB520" t="str">
        <f t="shared" si="107"/>
        <v>Yes</v>
      </c>
      <c r="AC520" s="12">
        <v>66</v>
      </c>
      <c r="AD520" s="12">
        <f t="shared" si="108"/>
        <v>66</v>
      </c>
    </row>
    <row r="521" spans="1:30" x14ac:dyDescent="0.3">
      <c r="A521" t="s">
        <v>1131</v>
      </c>
      <c r="B521" t="s">
        <v>1132</v>
      </c>
      <c r="C521" t="s">
        <v>2541</v>
      </c>
      <c r="D521" t="s">
        <v>2683</v>
      </c>
      <c r="E521" t="str">
        <f t="shared" si="97"/>
        <v>Victoria Owen</v>
      </c>
      <c r="F521" t="str">
        <f t="shared" si="98"/>
        <v>Victoria Owen</v>
      </c>
      <c r="H521" t="s">
        <v>86</v>
      </c>
      <c r="I521" t="str">
        <f t="shared" si="99"/>
        <v>Female</v>
      </c>
      <c r="J521">
        <v>28</v>
      </c>
      <c r="K521">
        <f t="shared" si="100"/>
        <v>28</v>
      </c>
      <c r="L521" t="str">
        <f t="shared" si="101"/>
        <v>First level</v>
      </c>
      <c r="M521" t="s">
        <v>55</v>
      </c>
      <c r="N521" t="s">
        <v>56</v>
      </c>
      <c r="O521" t="s">
        <v>87</v>
      </c>
      <c r="P521">
        <v>2</v>
      </c>
      <c r="Q521">
        <f t="shared" si="102"/>
        <v>2</v>
      </c>
      <c r="R521" t="s">
        <v>58</v>
      </c>
      <c r="S521" s="8" t="s">
        <v>2093</v>
      </c>
      <c r="T521" s="9">
        <v>75</v>
      </c>
      <c r="U521" s="9">
        <f t="shared" si="103"/>
        <v>75</v>
      </c>
      <c r="V521" s="10">
        <v>75</v>
      </c>
      <c r="W521">
        <v>1.5</v>
      </c>
      <c r="X521" s="11">
        <f t="shared" si="104"/>
        <v>1.5</v>
      </c>
      <c r="Y521" t="s">
        <v>2103</v>
      </c>
      <c r="Z521" t="str">
        <f t="shared" si="105"/>
        <v>Yes</v>
      </c>
      <c r="AA521" t="str">
        <f t="shared" si="106"/>
        <v>Yes</v>
      </c>
      <c r="AB521" t="str">
        <f t="shared" si="107"/>
        <v>Yes</v>
      </c>
      <c r="AC521" s="12">
        <v>68</v>
      </c>
      <c r="AD521" s="12">
        <f t="shared" si="108"/>
        <v>68</v>
      </c>
    </row>
    <row r="522" spans="1:30" x14ac:dyDescent="0.3">
      <c r="A522" t="s">
        <v>1133</v>
      </c>
      <c r="B522" t="s">
        <v>1134</v>
      </c>
      <c r="C522" t="s">
        <v>2558</v>
      </c>
      <c r="D522" t="s">
        <v>2662</v>
      </c>
      <c r="E522" t="str">
        <f t="shared" si="97"/>
        <v>Christina King</v>
      </c>
      <c r="F522" t="str">
        <f t="shared" si="98"/>
        <v>Christina King</v>
      </c>
      <c r="H522" t="s">
        <v>86</v>
      </c>
      <c r="I522" t="str">
        <f t="shared" si="99"/>
        <v>Female</v>
      </c>
      <c r="J522">
        <v>47</v>
      </c>
      <c r="K522">
        <f t="shared" si="100"/>
        <v>47</v>
      </c>
      <c r="L522" t="str">
        <f t="shared" si="101"/>
        <v>Third level</v>
      </c>
      <c r="M522" t="s">
        <v>186</v>
      </c>
      <c r="N522" t="s">
        <v>187</v>
      </c>
      <c r="O522" t="s">
        <v>87</v>
      </c>
      <c r="P522">
        <v>21</v>
      </c>
      <c r="Q522">
        <f t="shared" si="102"/>
        <v>21</v>
      </c>
      <c r="R522" t="s">
        <v>240</v>
      </c>
      <c r="S522" s="8" t="s">
        <v>18</v>
      </c>
      <c r="T522" s="9">
        <v>100</v>
      </c>
      <c r="U522" s="9">
        <f t="shared" si="103"/>
        <v>100</v>
      </c>
      <c r="V522" s="10">
        <v>100</v>
      </c>
      <c r="W522">
        <v>0</v>
      </c>
      <c r="X522" s="11">
        <f t="shared" si="104"/>
        <v>0</v>
      </c>
      <c r="Y522" t="s">
        <v>2102</v>
      </c>
      <c r="Z522" t="str">
        <f t="shared" si="105"/>
        <v>No</v>
      </c>
      <c r="AA522" t="str">
        <f t="shared" si="106"/>
        <v>No</v>
      </c>
      <c r="AB522" t="str">
        <f t="shared" si="107"/>
        <v>No</v>
      </c>
      <c r="AC522" s="12"/>
      <c r="AD522" s="12">
        <f t="shared" si="108"/>
        <v>79.760598503740653</v>
      </c>
    </row>
    <row r="523" spans="1:30" x14ac:dyDescent="0.3">
      <c r="A523" t="s">
        <v>1135</v>
      </c>
      <c r="B523" t="s">
        <v>1136</v>
      </c>
      <c r="C523" t="s">
        <v>2187</v>
      </c>
      <c r="D523" t="s">
        <v>2662</v>
      </c>
      <c r="E523" t="str">
        <f t="shared" si="97"/>
        <v>Samantha King</v>
      </c>
      <c r="F523" t="str">
        <f t="shared" si="98"/>
        <v>Samantha King</v>
      </c>
      <c r="H523" t="s">
        <v>43</v>
      </c>
      <c r="I523" t="str">
        <f t="shared" si="99"/>
        <v>Female</v>
      </c>
      <c r="J523">
        <v>30</v>
      </c>
      <c r="K523">
        <f t="shared" si="100"/>
        <v>30</v>
      </c>
      <c r="L523" t="str">
        <f t="shared" si="101"/>
        <v>First level</v>
      </c>
      <c r="M523" t="s">
        <v>145</v>
      </c>
      <c r="N523" t="s">
        <v>146</v>
      </c>
      <c r="O523" t="s">
        <v>99</v>
      </c>
      <c r="P523">
        <v>0</v>
      </c>
      <c r="Q523">
        <f t="shared" si="102"/>
        <v>0</v>
      </c>
      <c r="R523" t="s">
        <v>26</v>
      </c>
      <c r="S523" s="8" t="s">
        <v>18</v>
      </c>
      <c r="T523" s="9">
        <v>100</v>
      </c>
      <c r="U523" s="9">
        <f t="shared" si="103"/>
        <v>100</v>
      </c>
      <c r="V523" s="10">
        <v>100</v>
      </c>
      <c r="W523">
        <v>4.0999999999999996</v>
      </c>
      <c r="X523" s="11">
        <f t="shared" si="104"/>
        <v>4.0999999999999996</v>
      </c>
      <c r="Y523" t="s">
        <v>2102</v>
      </c>
      <c r="Z523" t="str">
        <f t="shared" si="105"/>
        <v>No</v>
      </c>
      <c r="AA523" t="str">
        <f t="shared" si="106"/>
        <v>No</v>
      </c>
      <c r="AB523" t="str">
        <f t="shared" si="107"/>
        <v>No</v>
      </c>
      <c r="AC523" s="12">
        <v>62</v>
      </c>
      <c r="AD523" s="12">
        <f t="shared" si="108"/>
        <v>62</v>
      </c>
    </row>
    <row r="524" spans="1:30" x14ac:dyDescent="0.3">
      <c r="A524" t="s">
        <v>1137</v>
      </c>
      <c r="B524" t="s">
        <v>1138</v>
      </c>
      <c r="C524" t="s">
        <v>2138</v>
      </c>
      <c r="D524" t="s">
        <v>2684</v>
      </c>
      <c r="E524" t="str">
        <f t="shared" si="97"/>
        <v>Scott Compton</v>
      </c>
      <c r="F524" t="str">
        <f t="shared" si="98"/>
        <v>Scott Compton</v>
      </c>
      <c r="H524" t="s">
        <v>107</v>
      </c>
      <c r="I524" t="str">
        <f t="shared" si="99"/>
        <v>Male</v>
      </c>
      <c r="J524">
        <v>36</v>
      </c>
      <c r="K524">
        <f t="shared" si="100"/>
        <v>36</v>
      </c>
      <c r="L524" t="str">
        <f t="shared" si="101"/>
        <v>Second level</v>
      </c>
      <c r="M524" t="s">
        <v>149</v>
      </c>
      <c r="N524" t="s">
        <v>150</v>
      </c>
      <c r="O524" t="s">
        <v>17</v>
      </c>
      <c r="P524">
        <v>4</v>
      </c>
      <c r="Q524">
        <f t="shared" si="102"/>
        <v>4</v>
      </c>
      <c r="R524" t="s">
        <v>76</v>
      </c>
      <c r="S524" s="8" t="s">
        <v>76</v>
      </c>
      <c r="T524" s="9">
        <v>40</v>
      </c>
      <c r="U524" s="9">
        <f t="shared" si="103"/>
        <v>40</v>
      </c>
      <c r="V524" s="10">
        <v>40</v>
      </c>
      <c r="W524">
        <v>2.6</v>
      </c>
      <c r="X524" s="11">
        <f t="shared" si="104"/>
        <v>2.6</v>
      </c>
      <c r="Y524" t="s">
        <v>170</v>
      </c>
      <c r="Z524" t="str">
        <f t="shared" si="105"/>
        <v>no</v>
      </c>
      <c r="AA524" t="str">
        <f t="shared" si="106"/>
        <v>no</v>
      </c>
      <c r="AB524" t="str">
        <f t="shared" si="107"/>
        <v>No</v>
      </c>
      <c r="AC524" s="12">
        <v>90</v>
      </c>
      <c r="AD524" s="12">
        <f t="shared" si="108"/>
        <v>90</v>
      </c>
    </row>
    <row r="525" spans="1:30" x14ac:dyDescent="0.3">
      <c r="A525" t="s">
        <v>1139</v>
      </c>
      <c r="B525" t="s">
        <v>1140</v>
      </c>
      <c r="C525" t="s">
        <v>2422</v>
      </c>
      <c r="D525" t="s">
        <v>2685</v>
      </c>
      <c r="E525" t="str">
        <f t="shared" si="97"/>
        <v>Monica West</v>
      </c>
      <c r="F525" t="str">
        <f t="shared" si="98"/>
        <v>Monica West</v>
      </c>
      <c r="H525" t="s">
        <v>22</v>
      </c>
      <c r="I525" t="str">
        <f t="shared" si="99"/>
        <v>Female</v>
      </c>
      <c r="J525">
        <v>45</v>
      </c>
      <c r="K525">
        <f t="shared" si="100"/>
        <v>45</v>
      </c>
      <c r="L525" t="str">
        <f t="shared" si="101"/>
        <v>Third level</v>
      </c>
      <c r="M525" t="s">
        <v>64</v>
      </c>
      <c r="N525" t="s">
        <v>24</v>
      </c>
      <c r="O525" t="s">
        <v>82</v>
      </c>
      <c r="P525">
        <v>23</v>
      </c>
      <c r="Q525">
        <f t="shared" si="102"/>
        <v>23</v>
      </c>
      <c r="R525" t="s">
        <v>18</v>
      </c>
      <c r="S525" s="8" t="s">
        <v>18</v>
      </c>
      <c r="T525" s="9">
        <v>100</v>
      </c>
      <c r="U525" s="9">
        <f t="shared" si="103"/>
        <v>100</v>
      </c>
      <c r="V525" s="10">
        <v>100</v>
      </c>
      <c r="W525">
        <v>2.4</v>
      </c>
      <c r="X525" s="11">
        <f t="shared" si="104"/>
        <v>2.4</v>
      </c>
      <c r="Y525" t="s">
        <v>2102</v>
      </c>
      <c r="Z525" t="str">
        <f t="shared" si="105"/>
        <v>No</v>
      </c>
      <c r="AA525" t="str">
        <f t="shared" si="106"/>
        <v>No</v>
      </c>
      <c r="AB525" t="str">
        <f t="shared" si="107"/>
        <v>No</v>
      </c>
      <c r="AC525" s="12">
        <v>96</v>
      </c>
      <c r="AD525" s="12">
        <f t="shared" si="108"/>
        <v>96</v>
      </c>
    </row>
    <row r="526" spans="1:30" x14ac:dyDescent="0.3">
      <c r="A526" t="s">
        <v>1141</v>
      </c>
      <c r="B526" t="s">
        <v>1142</v>
      </c>
      <c r="C526" t="s">
        <v>2686</v>
      </c>
      <c r="D526" t="s">
        <v>2666</v>
      </c>
      <c r="E526" t="str">
        <f t="shared" si="97"/>
        <v>Theresa Stewart</v>
      </c>
      <c r="F526" t="str">
        <f t="shared" si="98"/>
        <v>Theresa Stewart</v>
      </c>
      <c r="H526" t="s">
        <v>86</v>
      </c>
      <c r="I526" t="str">
        <f t="shared" si="99"/>
        <v>Female</v>
      </c>
      <c r="J526">
        <v>51</v>
      </c>
      <c r="K526">
        <f t="shared" si="100"/>
        <v>51</v>
      </c>
      <c r="L526" t="str">
        <f t="shared" si="101"/>
        <v>Fourth level</v>
      </c>
      <c r="M526" t="s">
        <v>64</v>
      </c>
      <c r="N526" t="s">
        <v>24</v>
      </c>
      <c r="O526" t="s">
        <v>17</v>
      </c>
      <c r="P526">
        <v>25</v>
      </c>
      <c r="Q526">
        <f t="shared" si="102"/>
        <v>25</v>
      </c>
      <c r="R526" t="s">
        <v>34</v>
      </c>
      <c r="S526" s="8" t="s">
        <v>34</v>
      </c>
      <c r="T526" s="9">
        <v>50</v>
      </c>
      <c r="U526" s="9">
        <f t="shared" si="103"/>
        <v>50</v>
      </c>
      <c r="V526" s="10">
        <v>50</v>
      </c>
      <c r="W526">
        <v>1.4</v>
      </c>
      <c r="X526" s="11">
        <f t="shared" si="104"/>
        <v>1.4</v>
      </c>
      <c r="Y526" t="s">
        <v>2103</v>
      </c>
      <c r="Z526" t="str">
        <f t="shared" si="105"/>
        <v>Yes</v>
      </c>
      <c r="AA526" t="str">
        <f t="shared" si="106"/>
        <v>Yes</v>
      </c>
      <c r="AB526" t="str">
        <f t="shared" si="107"/>
        <v>Yes</v>
      </c>
      <c r="AC526" s="12">
        <v>60</v>
      </c>
      <c r="AD526" s="12">
        <f t="shared" si="108"/>
        <v>60</v>
      </c>
    </row>
    <row r="527" spans="1:30" x14ac:dyDescent="0.3">
      <c r="A527" t="s">
        <v>1143</v>
      </c>
      <c r="B527" t="s">
        <v>1144</v>
      </c>
      <c r="C527" t="s">
        <v>2336</v>
      </c>
      <c r="D527" t="s">
        <v>2297</v>
      </c>
      <c r="E527" t="str">
        <f t="shared" si="97"/>
        <v>Steven Kim</v>
      </c>
      <c r="F527" t="str">
        <f t="shared" si="98"/>
        <v>Steven Kim</v>
      </c>
      <c r="H527" t="s">
        <v>107</v>
      </c>
      <c r="I527" t="str">
        <f t="shared" si="99"/>
        <v>Male</v>
      </c>
      <c r="J527">
        <v>46</v>
      </c>
      <c r="K527">
        <f t="shared" si="100"/>
        <v>46</v>
      </c>
      <c r="L527" t="str">
        <f t="shared" si="101"/>
        <v>Third level</v>
      </c>
      <c r="M527" t="s">
        <v>70</v>
      </c>
      <c r="N527" t="s">
        <v>71</v>
      </c>
      <c r="O527" t="s">
        <v>25</v>
      </c>
      <c r="P527">
        <v>10</v>
      </c>
      <c r="Q527">
        <f t="shared" si="102"/>
        <v>10</v>
      </c>
      <c r="R527" t="s">
        <v>65</v>
      </c>
      <c r="S527" s="8" t="s">
        <v>65</v>
      </c>
      <c r="T527" s="9"/>
      <c r="U527" s="9">
        <f t="shared" si="103"/>
        <v>53.011627906976742</v>
      </c>
      <c r="V527" s="10">
        <v>53.011627906976742</v>
      </c>
      <c r="W527">
        <v>4.5999999999999996</v>
      </c>
      <c r="X527" s="11">
        <f t="shared" si="104"/>
        <v>4.5999999999999996</v>
      </c>
      <c r="Y527" t="s">
        <v>2103</v>
      </c>
      <c r="Z527" t="str">
        <f t="shared" si="105"/>
        <v>Yes</v>
      </c>
      <c r="AA527" t="str">
        <f t="shared" si="106"/>
        <v>Yes</v>
      </c>
      <c r="AB527" t="str">
        <f t="shared" si="107"/>
        <v>Yes</v>
      </c>
      <c r="AC527" s="12">
        <v>62</v>
      </c>
      <c r="AD527" s="12">
        <f t="shared" si="108"/>
        <v>62</v>
      </c>
    </row>
    <row r="528" spans="1:30" x14ac:dyDescent="0.3">
      <c r="A528" t="s">
        <v>1145</v>
      </c>
      <c r="B528" t="s">
        <v>1146</v>
      </c>
      <c r="C528" t="s">
        <v>2674</v>
      </c>
      <c r="D528" t="s">
        <v>2414</v>
      </c>
      <c r="E528" t="str">
        <f t="shared" si="97"/>
        <v>Kristi Knight</v>
      </c>
      <c r="F528" t="str">
        <f t="shared" si="98"/>
        <v>Kristi Knight</v>
      </c>
      <c r="H528" t="s">
        <v>22</v>
      </c>
      <c r="I528" t="str">
        <f t="shared" si="99"/>
        <v>Female</v>
      </c>
      <c r="J528">
        <v>38</v>
      </c>
      <c r="K528">
        <f t="shared" si="100"/>
        <v>38</v>
      </c>
      <c r="L528" t="str">
        <f t="shared" si="101"/>
        <v>Second level</v>
      </c>
      <c r="M528" t="s">
        <v>15</v>
      </c>
      <c r="N528" t="s">
        <v>16</v>
      </c>
      <c r="O528" t="s">
        <v>57</v>
      </c>
      <c r="P528">
        <v>18</v>
      </c>
      <c r="Q528">
        <f t="shared" si="102"/>
        <v>18</v>
      </c>
      <c r="R528" t="s">
        <v>61</v>
      </c>
      <c r="S528" s="8" t="s">
        <v>2094</v>
      </c>
      <c r="T528" s="9">
        <v>40</v>
      </c>
      <c r="U528" s="9">
        <f t="shared" si="103"/>
        <v>40</v>
      </c>
      <c r="V528" s="10">
        <v>40</v>
      </c>
      <c r="W528">
        <v>4.9000000000000004</v>
      </c>
      <c r="X528" s="11">
        <f t="shared" si="104"/>
        <v>4.9000000000000004</v>
      </c>
      <c r="Y528" t="s">
        <v>2102</v>
      </c>
      <c r="Z528" t="str">
        <f t="shared" si="105"/>
        <v>No</v>
      </c>
      <c r="AA528" t="str">
        <f t="shared" si="106"/>
        <v>No</v>
      </c>
      <c r="AB528" t="str">
        <f t="shared" si="107"/>
        <v>No</v>
      </c>
      <c r="AC528" s="12">
        <v>74</v>
      </c>
      <c r="AD528" s="12">
        <f t="shared" si="108"/>
        <v>74</v>
      </c>
    </row>
    <row r="529" spans="1:30" x14ac:dyDescent="0.3">
      <c r="A529" t="s">
        <v>1147</v>
      </c>
      <c r="B529" t="s">
        <v>1148</v>
      </c>
      <c r="C529" t="s">
        <v>2184</v>
      </c>
      <c r="D529" t="s">
        <v>2687</v>
      </c>
      <c r="E529" t="str">
        <f t="shared" si="97"/>
        <v>Jason Bryant</v>
      </c>
      <c r="F529" t="str">
        <f t="shared" si="98"/>
        <v>Jason Bryant</v>
      </c>
      <c r="H529" t="s">
        <v>107</v>
      </c>
      <c r="I529" t="str">
        <f t="shared" si="99"/>
        <v>Male</v>
      </c>
      <c r="J529">
        <v>26</v>
      </c>
      <c r="K529">
        <f t="shared" si="100"/>
        <v>26</v>
      </c>
      <c r="L529" t="str">
        <f t="shared" si="101"/>
        <v>First level</v>
      </c>
      <c r="M529" t="s">
        <v>201</v>
      </c>
      <c r="N529" t="s">
        <v>81</v>
      </c>
      <c r="O529" t="s">
        <v>17</v>
      </c>
      <c r="P529">
        <v>1</v>
      </c>
      <c r="Q529">
        <f t="shared" si="102"/>
        <v>1</v>
      </c>
      <c r="R529" t="s">
        <v>131</v>
      </c>
      <c r="S529" s="8" t="s">
        <v>131</v>
      </c>
      <c r="T529" s="9">
        <v>20</v>
      </c>
      <c r="U529" s="9">
        <f t="shared" si="103"/>
        <v>20</v>
      </c>
      <c r="V529" s="10">
        <v>20</v>
      </c>
      <c r="W529">
        <v>0</v>
      </c>
      <c r="X529" s="11">
        <f t="shared" si="104"/>
        <v>0</v>
      </c>
      <c r="Y529" t="s">
        <v>2103</v>
      </c>
      <c r="Z529" t="str">
        <f t="shared" si="105"/>
        <v>Yes</v>
      </c>
      <c r="AA529" t="str">
        <f t="shared" si="106"/>
        <v>Yes</v>
      </c>
      <c r="AB529" t="str">
        <f t="shared" si="107"/>
        <v>Yes</v>
      </c>
      <c r="AC529" s="12"/>
      <c r="AD529" s="12">
        <f t="shared" si="108"/>
        <v>79.848101265822791</v>
      </c>
    </row>
    <row r="530" spans="1:30" x14ac:dyDescent="0.3">
      <c r="A530" t="s">
        <v>1149</v>
      </c>
      <c r="B530" t="s">
        <v>1150</v>
      </c>
      <c r="C530" t="s">
        <v>2688</v>
      </c>
      <c r="D530" t="s">
        <v>2472</v>
      </c>
      <c r="E530" t="str">
        <f t="shared" si="97"/>
        <v>Maureen Keith</v>
      </c>
      <c r="F530" t="str">
        <f t="shared" si="98"/>
        <v>Maureen Keith</v>
      </c>
      <c r="H530" t="s">
        <v>86</v>
      </c>
      <c r="I530" t="str">
        <f t="shared" si="99"/>
        <v>Female</v>
      </c>
      <c r="J530">
        <v>40</v>
      </c>
      <c r="K530">
        <f t="shared" si="100"/>
        <v>40</v>
      </c>
      <c r="L530" t="str">
        <f t="shared" si="101"/>
        <v>Second level</v>
      </c>
      <c r="M530" t="s">
        <v>75</v>
      </c>
      <c r="N530" t="s">
        <v>24</v>
      </c>
      <c r="O530" t="s">
        <v>99</v>
      </c>
      <c r="P530">
        <v>12</v>
      </c>
      <c r="Q530">
        <f t="shared" si="102"/>
        <v>12</v>
      </c>
      <c r="R530" t="s">
        <v>44</v>
      </c>
      <c r="S530" s="8" t="s">
        <v>44</v>
      </c>
      <c r="T530" s="9">
        <v>30</v>
      </c>
      <c r="U530" s="9">
        <f t="shared" si="103"/>
        <v>30</v>
      </c>
      <c r="V530" s="10">
        <v>30</v>
      </c>
      <c r="W530">
        <v>3.5</v>
      </c>
      <c r="X530" s="11">
        <f t="shared" si="104"/>
        <v>3.5</v>
      </c>
      <c r="Y530" t="s">
        <v>65</v>
      </c>
      <c r="AA530" t="str">
        <f t="shared" si="106"/>
        <v>Unknown</v>
      </c>
      <c r="AB530" t="str">
        <f t="shared" si="107"/>
        <v>Unknown</v>
      </c>
      <c r="AC530" s="12">
        <v>98</v>
      </c>
      <c r="AD530" s="12">
        <f t="shared" si="108"/>
        <v>98</v>
      </c>
    </row>
    <row r="531" spans="1:30" x14ac:dyDescent="0.3">
      <c r="A531" t="s">
        <v>1151</v>
      </c>
      <c r="B531" t="s">
        <v>1152</v>
      </c>
      <c r="C531" t="s">
        <v>2689</v>
      </c>
      <c r="D531" t="s">
        <v>2201</v>
      </c>
      <c r="E531" t="str">
        <f t="shared" si="97"/>
        <v>Shawn Hogan</v>
      </c>
      <c r="F531" t="str">
        <f t="shared" si="98"/>
        <v>Shawn Hogan</v>
      </c>
      <c r="H531" t="s">
        <v>107</v>
      </c>
      <c r="I531" t="str">
        <f t="shared" si="99"/>
        <v>Male</v>
      </c>
      <c r="J531">
        <v>37</v>
      </c>
      <c r="K531">
        <f t="shared" si="100"/>
        <v>37</v>
      </c>
      <c r="L531" t="str">
        <f t="shared" si="101"/>
        <v>Second level</v>
      </c>
      <c r="M531" t="s">
        <v>31</v>
      </c>
      <c r="N531" t="s">
        <v>32</v>
      </c>
      <c r="O531" t="s">
        <v>124</v>
      </c>
      <c r="Q531">
        <f t="shared" si="102"/>
        <v>9</v>
      </c>
      <c r="R531" t="s">
        <v>65</v>
      </c>
      <c r="S531" s="8" t="s">
        <v>65</v>
      </c>
      <c r="T531" s="9"/>
      <c r="U531" s="9">
        <f t="shared" si="103"/>
        <v>53.12646370023419</v>
      </c>
      <c r="V531" s="10">
        <v>53.12646370023419</v>
      </c>
      <c r="W531">
        <v>1.7</v>
      </c>
      <c r="X531" s="11">
        <f t="shared" si="104"/>
        <v>1.7</v>
      </c>
      <c r="Y531" t="s">
        <v>77</v>
      </c>
      <c r="Z531" t="str">
        <f t="shared" si="105"/>
        <v>yes</v>
      </c>
      <c r="AA531" t="str">
        <f t="shared" si="106"/>
        <v>yes</v>
      </c>
      <c r="AB531" t="str">
        <f t="shared" si="107"/>
        <v>Yes</v>
      </c>
      <c r="AC531" s="12">
        <v>63</v>
      </c>
      <c r="AD531" s="12">
        <f t="shared" si="108"/>
        <v>63</v>
      </c>
    </row>
    <row r="532" spans="1:30" x14ac:dyDescent="0.3">
      <c r="A532" t="s">
        <v>1153</v>
      </c>
      <c r="B532" t="s">
        <v>1154</v>
      </c>
      <c r="C532" t="s">
        <v>2371</v>
      </c>
      <c r="D532" t="s">
        <v>2319</v>
      </c>
      <c r="E532" t="str">
        <f t="shared" si="97"/>
        <v>William Davis</v>
      </c>
      <c r="F532" t="str">
        <f t="shared" si="98"/>
        <v>William Davis</v>
      </c>
      <c r="H532" t="s">
        <v>107</v>
      </c>
      <c r="I532" t="str">
        <f t="shared" si="99"/>
        <v>Male</v>
      </c>
      <c r="J532">
        <v>28</v>
      </c>
      <c r="K532">
        <f t="shared" si="100"/>
        <v>28</v>
      </c>
      <c r="L532" t="str">
        <f t="shared" si="101"/>
        <v>First level</v>
      </c>
      <c r="M532" t="s">
        <v>138</v>
      </c>
      <c r="N532" t="s">
        <v>24</v>
      </c>
      <c r="O532" t="s">
        <v>17</v>
      </c>
      <c r="P532">
        <v>5</v>
      </c>
      <c r="Q532">
        <f t="shared" si="102"/>
        <v>5</v>
      </c>
      <c r="R532" t="s">
        <v>72</v>
      </c>
      <c r="S532" s="8" t="s">
        <v>72</v>
      </c>
      <c r="T532" s="9">
        <v>50</v>
      </c>
      <c r="U532" s="9">
        <f t="shared" si="103"/>
        <v>50</v>
      </c>
      <c r="V532" s="10">
        <v>50</v>
      </c>
      <c r="W532">
        <v>0</v>
      </c>
      <c r="X532" s="11">
        <f t="shared" si="104"/>
        <v>0</v>
      </c>
      <c r="Y532" t="s">
        <v>77</v>
      </c>
      <c r="Z532" t="str">
        <f t="shared" si="105"/>
        <v>yes</v>
      </c>
      <c r="AA532" t="str">
        <f t="shared" si="106"/>
        <v>yes</v>
      </c>
      <c r="AB532" t="str">
        <f t="shared" si="107"/>
        <v>Yes</v>
      </c>
      <c r="AC532" s="12">
        <v>96</v>
      </c>
      <c r="AD532" s="12">
        <f t="shared" si="108"/>
        <v>96</v>
      </c>
    </row>
    <row r="533" spans="1:30" x14ac:dyDescent="0.3">
      <c r="A533" t="s">
        <v>1155</v>
      </c>
      <c r="B533" t="s">
        <v>1156</v>
      </c>
      <c r="C533" t="s">
        <v>2279</v>
      </c>
      <c r="D533" t="s">
        <v>2326</v>
      </c>
      <c r="E533" t="str">
        <f t="shared" si="97"/>
        <v>Stacy Bailey</v>
      </c>
      <c r="F533" t="str">
        <f t="shared" si="98"/>
        <v>Stacy Bailey</v>
      </c>
      <c r="H533" t="s">
        <v>43</v>
      </c>
      <c r="I533" t="str">
        <f t="shared" si="99"/>
        <v>Female</v>
      </c>
      <c r="J533">
        <v>48</v>
      </c>
      <c r="K533">
        <f t="shared" si="100"/>
        <v>48</v>
      </c>
      <c r="L533" t="str">
        <f t="shared" si="101"/>
        <v>Third level</v>
      </c>
      <c r="M533" t="s">
        <v>103</v>
      </c>
      <c r="N533" t="s">
        <v>104</v>
      </c>
      <c r="O533" t="s">
        <v>25</v>
      </c>
      <c r="P533">
        <v>28</v>
      </c>
      <c r="Q533">
        <f t="shared" si="102"/>
        <v>28</v>
      </c>
      <c r="R533" t="s">
        <v>325</v>
      </c>
      <c r="S533" s="8" t="s">
        <v>2097</v>
      </c>
      <c r="T533" s="9">
        <v>20</v>
      </c>
      <c r="U533" s="9">
        <f t="shared" si="103"/>
        <v>20</v>
      </c>
      <c r="V533" s="10">
        <v>20</v>
      </c>
      <c r="W533">
        <v>0</v>
      </c>
      <c r="X533" s="11">
        <f t="shared" si="104"/>
        <v>0</v>
      </c>
      <c r="Y533" t="s">
        <v>2102</v>
      </c>
      <c r="Z533" t="str">
        <f t="shared" si="105"/>
        <v>No</v>
      </c>
      <c r="AA533" t="str">
        <f t="shared" si="106"/>
        <v>No</v>
      </c>
      <c r="AB533" t="str">
        <f t="shared" si="107"/>
        <v>No</v>
      </c>
      <c r="AC533" s="12">
        <v>88</v>
      </c>
      <c r="AD533" s="12">
        <f t="shared" si="108"/>
        <v>88</v>
      </c>
    </row>
    <row r="534" spans="1:30" x14ac:dyDescent="0.3">
      <c r="A534" t="s">
        <v>1157</v>
      </c>
      <c r="B534" t="s">
        <v>1158</v>
      </c>
      <c r="C534" t="s">
        <v>2231</v>
      </c>
      <c r="D534" t="s">
        <v>2606</v>
      </c>
      <c r="E534" t="str">
        <f t="shared" si="97"/>
        <v>Thomas Dixon</v>
      </c>
      <c r="F534" t="str">
        <f t="shared" si="98"/>
        <v>Thomas Dixon</v>
      </c>
      <c r="H534" t="s">
        <v>69</v>
      </c>
      <c r="I534" t="str">
        <f t="shared" si="99"/>
        <v>Male</v>
      </c>
      <c r="J534">
        <v>22</v>
      </c>
      <c r="K534">
        <f t="shared" si="100"/>
        <v>22</v>
      </c>
      <c r="L534" t="str">
        <f t="shared" si="101"/>
        <v>First level</v>
      </c>
      <c r="M534" t="s">
        <v>103</v>
      </c>
      <c r="N534" t="s">
        <v>104</v>
      </c>
      <c r="O534" t="s">
        <v>49</v>
      </c>
      <c r="P534">
        <v>0</v>
      </c>
      <c r="Q534">
        <f t="shared" si="102"/>
        <v>0</v>
      </c>
      <c r="R534" t="s">
        <v>65</v>
      </c>
      <c r="S534" s="8" t="s">
        <v>65</v>
      </c>
      <c r="T534" s="9"/>
      <c r="U534" s="9">
        <f t="shared" si="103"/>
        <v>53.188235294117646</v>
      </c>
      <c r="V534" s="10">
        <v>53.188235294117646</v>
      </c>
      <c r="W534">
        <v>4.5999999999999996</v>
      </c>
      <c r="X534" s="11">
        <f t="shared" si="104"/>
        <v>4.5999999999999996</v>
      </c>
      <c r="Y534" t="s">
        <v>2102</v>
      </c>
      <c r="Z534" t="str">
        <f t="shared" si="105"/>
        <v>No</v>
      </c>
      <c r="AA534" t="str">
        <f t="shared" si="106"/>
        <v>No</v>
      </c>
      <c r="AB534" t="str">
        <f t="shared" si="107"/>
        <v>No</v>
      </c>
      <c r="AC534" s="12"/>
      <c r="AD534" s="12">
        <f t="shared" si="108"/>
        <v>79.782608695652172</v>
      </c>
    </row>
    <row r="535" spans="1:30" x14ac:dyDescent="0.3">
      <c r="A535" t="s">
        <v>1159</v>
      </c>
      <c r="B535" t="s">
        <v>1160</v>
      </c>
      <c r="C535" t="s">
        <v>2343</v>
      </c>
      <c r="D535" t="s">
        <v>2616</v>
      </c>
      <c r="E535" t="str">
        <f t="shared" si="97"/>
        <v>Maria Hall</v>
      </c>
      <c r="F535" t="str">
        <f t="shared" si="98"/>
        <v>Maria Hall</v>
      </c>
      <c r="H535" t="s">
        <v>43</v>
      </c>
      <c r="I535" t="str">
        <f t="shared" si="99"/>
        <v>Female</v>
      </c>
      <c r="J535">
        <v>41</v>
      </c>
      <c r="K535">
        <f t="shared" si="100"/>
        <v>41</v>
      </c>
      <c r="L535" t="str">
        <f t="shared" si="101"/>
        <v>Third level</v>
      </c>
      <c r="M535" t="s">
        <v>31</v>
      </c>
      <c r="N535" t="s">
        <v>32</v>
      </c>
      <c r="O535" t="s">
        <v>39</v>
      </c>
      <c r="P535">
        <v>14</v>
      </c>
      <c r="Q535">
        <f t="shared" si="102"/>
        <v>14</v>
      </c>
      <c r="R535" t="s">
        <v>76</v>
      </c>
      <c r="S535" s="8" t="s">
        <v>76</v>
      </c>
      <c r="T535" s="9">
        <v>40</v>
      </c>
      <c r="U535" s="9">
        <f t="shared" si="103"/>
        <v>40</v>
      </c>
      <c r="V535" s="10">
        <v>40</v>
      </c>
      <c r="W535">
        <v>1.1000000000000001</v>
      </c>
      <c r="X535" s="11">
        <f t="shared" si="104"/>
        <v>1.1000000000000001</v>
      </c>
      <c r="Y535" t="s">
        <v>2103</v>
      </c>
      <c r="Z535" t="str">
        <f t="shared" si="105"/>
        <v>Yes</v>
      </c>
      <c r="AA535" t="str">
        <f t="shared" si="106"/>
        <v>Yes</v>
      </c>
      <c r="AB535" t="str">
        <f t="shared" si="107"/>
        <v>Yes</v>
      </c>
      <c r="AC535" s="12">
        <v>73</v>
      </c>
      <c r="AD535" s="12">
        <f t="shared" si="108"/>
        <v>73</v>
      </c>
    </row>
    <row r="536" spans="1:30" x14ac:dyDescent="0.3">
      <c r="A536" t="s">
        <v>1161</v>
      </c>
      <c r="B536" t="s">
        <v>1162</v>
      </c>
      <c r="C536" t="s">
        <v>2624</v>
      </c>
      <c r="D536" t="s">
        <v>2241</v>
      </c>
      <c r="E536" t="str">
        <f t="shared" si="97"/>
        <v>Tony Lee</v>
      </c>
      <c r="F536" t="str">
        <f t="shared" si="98"/>
        <v>Tony Lee</v>
      </c>
      <c r="H536" t="s">
        <v>69</v>
      </c>
      <c r="I536" t="str">
        <f t="shared" si="99"/>
        <v>Male</v>
      </c>
      <c r="J536">
        <v>38</v>
      </c>
      <c r="K536">
        <f t="shared" si="100"/>
        <v>38</v>
      </c>
      <c r="L536" t="str">
        <f t="shared" si="101"/>
        <v>Second level</v>
      </c>
      <c r="M536" t="s">
        <v>64</v>
      </c>
      <c r="N536" t="s">
        <v>24</v>
      </c>
      <c r="O536" t="s">
        <v>33</v>
      </c>
      <c r="P536">
        <v>15</v>
      </c>
      <c r="Q536">
        <f t="shared" si="102"/>
        <v>15</v>
      </c>
      <c r="R536" t="s">
        <v>65</v>
      </c>
      <c r="S536" s="8" t="s">
        <v>65</v>
      </c>
      <c r="T536" s="9"/>
      <c r="U536" s="9">
        <f t="shared" si="103"/>
        <v>53.266509433962263</v>
      </c>
      <c r="V536" s="10">
        <v>53.266509433962263</v>
      </c>
      <c r="W536">
        <v>4.2</v>
      </c>
      <c r="X536" s="11">
        <f t="shared" si="104"/>
        <v>4.2</v>
      </c>
      <c r="Y536" t="s">
        <v>2102</v>
      </c>
      <c r="Z536" t="str">
        <f t="shared" si="105"/>
        <v>No</v>
      </c>
      <c r="AA536" t="str">
        <f t="shared" si="106"/>
        <v>No</v>
      </c>
      <c r="AB536" t="str">
        <f t="shared" si="107"/>
        <v>No</v>
      </c>
      <c r="AC536" s="12">
        <v>88</v>
      </c>
      <c r="AD536" s="12">
        <f t="shared" si="108"/>
        <v>88</v>
      </c>
    </row>
    <row r="537" spans="1:30" x14ac:dyDescent="0.3">
      <c r="A537" t="s">
        <v>1163</v>
      </c>
      <c r="B537" t="s">
        <v>1164</v>
      </c>
      <c r="C537" t="s">
        <v>2690</v>
      </c>
      <c r="D537" t="s">
        <v>2691</v>
      </c>
      <c r="E537" t="str">
        <f t="shared" si="97"/>
        <v>Catherine Mccoy</v>
      </c>
      <c r="F537" t="str">
        <f t="shared" si="98"/>
        <v>Catherine Mccoy</v>
      </c>
      <c r="H537" t="s">
        <v>22</v>
      </c>
      <c r="I537" t="str">
        <f t="shared" si="99"/>
        <v>Female</v>
      </c>
      <c r="J537">
        <v>31</v>
      </c>
      <c r="K537">
        <f t="shared" si="100"/>
        <v>31</v>
      </c>
      <c r="L537" t="str">
        <f t="shared" si="101"/>
        <v>Second level</v>
      </c>
      <c r="M537" t="s">
        <v>164</v>
      </c>
      <c r="N537" t="s">
        <v>165</v>
      </c>
      <c r="O537" t="s">
        <v>82</v>
      </c>
      <c r="P537">
        <v>9</v>
      </c>
      <c r="Q537">
        <f t="shared" si="102"/>
        <v>9</v>
      </c>
      <c r="R537" t="s">
        <v>65</v>
      </c>
      <c r="S537" s="8" t="s">
        <v>65</v>
      </c>
      <c r="T537" s="9"/>
      <c r="U537" s="9">
        <f t="shared" si="103"/>
        <v>53.297872340425535</v>
      </c>
      <c r="V537" s="10">
        <v>53.297872340425535</v>
      </c>
      <c r="W537">
        <v>0</v>
      </c>
      <c r="X537" s="11">
        <f t="shared" si="104"/>
        <v>0</v>
      </c>
      <c r="Y537" t="s">
        <v>2102</v>
      </c>
      <c r="Z537" t="str">
        <f t="shared" si="105"/>
        <v>No</v>
      </c>
      <c r="AA537" t="str">
        <f t="shared" si="106"/>
        <v>No</v>
      </c>
      <c r="AB537" t="str">
        <f t="shared" si="107"/>
        <v>No</v>
      </c>
      <c r="AC537" s="12">
        <v>91</v>
      </c>
      <c r="AD537" s="12">
        <f t="shared" si="108"/>
        <v>91</v>
      </c>
    </row>
    <row r="538" spans="1:30" x14ac:dyDescent="0.3">
      <c r="A538" t="s">
        <v>1165</v>
      </c>
      <c r="B538" t="s">
        <v>1166</v>
      </c>
      <c r="C538" t="s">
        <v>2343</v>
      </c>
      <c r="D538" t="s">
        <v>2692</v>
      </c>
      <c r="E538" t="str">
        <f t="shared" si="97"/>
        <v>Maria Benitez</v>
      </c>
      <c r="F538" t="str">
        <f t="shared" si="98"/>
        <v>Maria Benitez</v>
      </c>
      <c r="H538" t="s">
        <v>86</v>
      </c>
      <c r="I538" t="str">
        <f t="shared" si="99"/>
        <v>Female</v>
      </c>
      <c r="J538">
        <v>30</v>
      </c>
      <c r="K538">
        <f t="shared" si="100"/>
        <v>30</v>
      </c>
      <c r="L538" t="str">
        <f t="shared" si="101"/>
        <v>First level</v>
      </c>
      <c r="M538" t="s">
        <v>186</v>
      </c>
      <c r="N538" t="s">
        <v>187</v>
      </c>
      <c r="O538" t="s">
        <v>25</v>
      </c>
      <c r="P538">
        <v>9</v>
      </c>
      <c r="Q538">
        <f t="shared" si="102"/>
        <v>9</v>
      </c>
      <c r="R538" t="s">
        <v>50</v>
      </c>
      <c r="S538" s="8" t="s">
        <v>50</v>
      </c>
      <c r="T538" s="9">
        <v>30</v>
      </c>
      <c r="U538" s="9">
        <f t="shared" si="103"/>
        <v>30</v>
      </c>
      <c r="V538" s="10">
        <v>30</v>
      </c>
      <c r="W538">
        <v>3.9</v>
      </c>
      <c r="X538" s="11">
        <f t="shared" si="104"/>
        <v>3.9</v>
      </c>
      <c r="Y538" t="s">
        <v>170</v>
      </c>
      <c r="Z538" t="str">
        <f t="shared" si="105"/>
        <v>no</v>
      </c>
      <c r="AA538" t="str">
        <f t="shared" si="106"/>
        <v>no</v>
      </c>
      <c r="AB538" t="str">
        <f t="shared" si="107"/>
        <v>No</v>
      </c>
      <c r="AC538" s="12">
        <v>65</v>
      </c>
      <c r="AD538" s="12">
        <f t="shared" si="108"/>
        <v>65</v>
      </c>
    </row>
    <row r="539" spans="1:30" x14ac:dyDescent="0.3">
      <c r="A539" t="s">
        <v>1167</v>
      </c>
      <c r="B539" t="s">
        <v>1168</v>
      </c>
      <c r="C539" t="s">
        <v>2327</v>
      </c>
      <c r="D539" t="s">
        <v>2693</v>
      </c>
      <c r="E539" t="str">
        <f t="shared" si="97"/>
        <v>Joshua Chambers</v>
      </c>
      <c r="F539" t="str">
        <f t="shared" si="98"/>
        <v>Joshua Chambers</v>
      </c>
      <c r="H539" t="s">
        <v>69</v>
      </c>
      <c r="I539" t="str">
        <f t="shared" si="99"/>
        <v>Male</v>
      </c>
      <c r="J539">
        <v>51</v>
      </c>
      <c r="K539">
        <f t="shared" si="100"/>
        <v>51</v>
      </c>
      <c r="L539" t="str">
        <f t="shared" si="101"/>
        <v>Fourth level</v>
      </c>
      <c r="M539" t="s">
        <v>190</v>
      </c>
      <c r="N539" t="s">
        <v>81</v>
      </c>
      <c r="O539" t="s">
        <v>82</v>
      </c>
      <c r="P539">
        <v>22</v>
      </c>
      <c r="Q539">
        <f t="shared" si="102"/>
        <v>22</v>
      </c>
      <c r="R539" t="s">
        <v>151</v>
      </c>
      <c r="S539" s="8" t="s">
        <v>151</v>
      </c>
      <c r="T539" s="9">
        <v>20</v>
      </c>
      <c r="U539" s="9">
        <f t="shared" si="103"/>
        <v>20</v>
      </c>
      <c r="V539" s="10">
        <v>20</v>
      </c>
      <c r="W539">
        <v>3.4</v>
      </c>
      <c r="X539" s="11">
        <f t="shared" si="104"/>
        <v>3.4</v>
      </c>
      <c r="Y539" t="s">
        <v>2103</v>
      </c>
      <c r="Z539" t="str">
        <f t="shared" si="105"/>
        <v>Yes</v>
      </c>
      <c r="AA539" t="str">
        <f t="shared" si="106"/>
        <v>Yes</v>
      </c>
      <c r="AB539" t="str">
        <f t="shared" si="107"/>
        <v>Yes</v>
      </c>
      <c r="AC539" s="12">
        <v>90</v>
      </c>
      <c r="AD539" s="12">
        <f t="shared" si="108"/>
        <v>90</v>
      </c>
    </row>
    <row r="540" spans="1:30" x14ac:dyDescent="0.3">
      <c r="A540" t="s">
        <v>1169</v>
      </c>
      <c r="B540" t="s">
        <v>1170</v>
      </c>
      <c r="C540" t="s">
        <v>2694</v>
      </c>
      <c r="D540" t="s">
        <v>2164</v>
      </c>
      <c r="E540" t="str">
        <f t="shared" si="97"/>
        <v>Janice Daniels</v>
      </c>
      <c r="F540" t="str">
        <f t="shared" si="98"/>
        <v>Janice Daniels</v>
      </c>
      <c r="H540" t="s">
        <v>86</v>
      </c>
      <c r="I540" t="str">
        <f t="shared" si="99"/>
        <v>Female</v>
      </c>
      <c r="J540">
        <v>21</v>
      </c>
      <c r="K540">
        <f t="shared" si="100"/>
        <v>21</v>
      </c>
      <c r="L540" t="str">
        <f t="shared" si="101"/>
        <v>First level</v>
      </c>
      <c r="M540" t="s">
        <v>31</v>
      </c>
      <c r="N540" t="s">
        <v>32</v>
      </c>
      <c r="O540" t="s">
        <v>99</v>
      </c>
      <c r="P540">
        <v>0</v>
      </c>
      <c r="Q540">
        <f t="shared" si="102"/>
        <v>0</v>
      </c>
      <c r="R540" t="s">
        <v>131</v>
      </c>
      <c r="S540" s="8" t="s">
        <v>131</v>
      </c>
      <c r="T540" s="9">
        <v>20</v>
      </c>
      <c r="U540" s="9">
        <f t="shared" si="103"/>
        <v>20</v>
      </c>
      <c r="V540" s="10">
        <v>20</v>
      </c>
      <c r="W540">
        <v>2.6</v>
      </c>
      <c r="X540" s="11">
        <f t="shared" si="104"/>
        <v>2.6</v>
      </c>
      <c r="Y540" t="s">
        <v>2102</v>
      </c>
      <c r="Z540" t="str">
        <f t="shared" si="105"/>
        <v>No</v>
      </c>
      <c r="AA540" t="str">
        <f t="shared" si="106"/>
        <v>No</v>
      </c>
      <c r="AB540" t="str">
        <f t="shared" si="107"/>
        <v>No</v>
      </c>
      <c r="AC540" s="12">
        <v>72</v>
      </c>
      <c r="AD540" s="12">
        <f t="shared" si="108"/>
        <v>72</v>
      </c>
    </row>
    <row r="541" spans="1:30" x14ac:dyDescent="0.3">
      <c r="A541" t="s">
        <v>1171</v>
      </c>
      <c r="B541" t="s">
        <v>1172</v>
      </c>
      <c r="C541" t="s">
        <v>2695</v>
      </c>
      <c r="D541" t="s">
        <v>2696</v>
      </c>
      <c r="E541" t="str">
        <f t="shared" si="97"/>
        <v>Carla Wood</v>
      </c>
      <c r="F541" t="str">
        <f t="shared" si="98"/>
        <v>Carla Wood</v>
      </c>
      <c r="H541" t="s">
        <v>22</v>
      </c>
      <c r="I541" t="str">
        <f t="shared" si="99"/>
        <v>Female</v>
      </c>
      <c r="J541">
        <v>20</v>
      </c>
      <c r="K541">
        <f t="shared" si="100"/>
        <v>20</v>
      </c>
      <c r="L541" t="str">
        <f t="shared" si="101"/>
        <v>First level</v>
      </c>
      <c r="M541" t="s">
        <v>15</v>
      </c>
      <c r="N541" t="s">
        <v>16</v>
      </c>
      <c r="O541" t="s">
        <v>99</v>
      </c>
      <c r="P541">
        <v>1</v>
      </c>
      <c r="Q541">
        <f t="shared" si="102"/>
        <v>1</v>
      </c>
      <c r="R541" t="s">
        <v>61</v>
      </c>
      <c r="S541" s="8" t="s">
        <v>2094</v>
      </c>
      <c r="T541" s="9">
        <v>40</v>
      </c>
      <c r="U541" s="9">
        <f t="shared" si="103"/>
        <v>40</v>
      </c>
      <c r="V541" s="10">
        <v>40</v>
      </c>
      <c r="W541">
        <v>2.2999999999999998</v>
      </c>
      <c r="X541" s="11">
        <f t="shared" si="104"/>
        <v>2.2999999999999998</v>
      </c>
      <c r="Y541" t="s">
        <v>2103</v>
      </c>
      <c r="Z541" t="str">
        <f t="shared" si="105"/>
        <v>Yes</v>
      </c>
      <c r="AA541" t="str">
        <f t="shared" si="106"/>
        <v>Yes</v>
      </c>
      <c r="AB541" t="str">
        <f t="shared" si="107"/>
        <v>Yes</v>
      </c>
      <c r="AC541" s="12">
        <v>72</v>
      </c>
      <c r="AD541" s="12">
        <f t="shared" si="108"/>
        <v>72</v>
      </c>
    </row>
    <row r="542" spans="1:30" x14ac:dyDescent="0.3">
      <c r="A542" t="s">
        <v>1173</v>
      </c>
      <c r="B542" t="s">
        <v>1174</v>
      </c>
      <c r="C542" t="s">
        <v>2681</v>
      </c>
      <c r="D542" t="s">
        <v>2563</v>
      </c>
      <c r="E542" t="str">
        <f t="shared" si="97"/>
        <v>Kenneth Vasquez</v>
      </c>
      <c r="F542" t="str">
        <f t="shared" si="98"/>
        <v>Kenneth Vasquez</v>
      </c>
      <c r="H542" t="s">
        <v>107</v>
      </c>
      <c r="I542" t="str">
        <f t="shared" si="99"/>
        <v>Male</v>
      </c>
      <c r="J542">
        <v>30</v>
      </c>
      <c r="K542">
        <f t="shared" si="100"/>
        <v>30</v>
      </c>
      <c r="L542" t="str">
        <f t="shared" si="101"/>
        <v>First level</v>
      </c>
      <c r="M542" t="s">
        <v>95</v>
      </c>
      <c r="N542" t="s">
        <v>96</v>
      </c>
      <c r="O542" t="s">
        <v>17</v>
      </c>
      <c r="P542">
        <v>5</v>
      </c>
      <c r="Q542">
        <f t="shared" si="102"/>
        <v>5</v>
      </c>
      <c r="R542" t="s">
        <v>50</v>
      </c>
      <c r="S542" s="8" t="s">
        <v>50</v>
      </c>
      <c r="T542" s="9">
        <v>30</v>
      </c>
      <c r="U542" s="9">
        <f t="shared" si="103"/>
        <v>30</v>
      </c>
      <c r="V542" s="10">
        <v>30</v>
      </c>
      <c r="W542">
        <v>4.8</v>
      </c>
      <c r="X542" s="11">
        <f t="shared" si="104"/>
        <v>4.8</v>
      </c>
      <c r="Y542" t="s">
        <v>2102</v>
      </c>
      <c r="Z542" t="str">
        <f t="shared" si="105"/>
        <v>No</v>
      </c>
      <c r="AA542" t="str">
        <f t="shared" si="106"/>
        <v>No</v>
      </c>
      <c r="AB542" t="str">
        <f t="shared" si="107"/>
        <v>No</v>
      </c>
      <c r="AC542" s="12"/>
      <c r="AD542" s="12">
        <f t="shared" si="108"/>
        <v>79.802083333333329</v>
      </c>
    </row>
    <row r="543" spans="1:30" x14ac:dyDescent="0.3">
      <c r="A543" t="s">
        <v>1175</v>
      </c>
      <c r="B543" t="s">
        <v>1176</v>
      </c>
      <c r="C543" t="s">
        <v>2292</v>
      </c>
      <c r="D543" t="s">
        <v>2161</v>
      </c>
      <c r="E543" t="str">
        <f t="shared" si="97"/>
        <v>Kevin Smith</v>
      </c>
      <c r="F543" t="str">
        <f t="shared" si="98"/>
        <v>Kevin Smith</v>
      </c>
      <c r="H543" t="s">
        <v>69</v>
      </c>
      <c r="I543" t="str">
        <f t="shared" si="99"/>
        <v>Male</v>
      </c>
      <c r="J543">
        <v>41</v>
      </c>
      <c r="K543">
        <f t="shared" si="100"/>
        <v>41</v>
      </c>
      <c r="L543" t="str">
        <f t="shared" si="101"/>
        <v>Third level</v>
      </c>
      <c r="M543" t="s">
        <v>186</v>
      </c>
      <c r="N543" t="s">
        <v>187</v>
      </c>
      <c r="O543" t="s">
        <v>57</v>
      </c>
      <c r="P543">
        <v>0</v>
      </c>
      <c r="Q543">
        <f t="shared" si="102"/>
        <v>0</v>
      </c>
      <c r="R543" t="s">
        <v>61</v>
      </c>
      <c r="S543" s="8" t="s">
        <v>2094</v>
      </c>
      <c r="T543" s="9">
        <v>40</v>
      </c>
      <c r="U543" s="9">
        <f t="shared" si="103"/>
        <v>40</v>
      </c>
      <c r="V543" s="10">
        <v>40</v>
      </c>
      <c r="W543">
        <v>4.5</v>
      </c>
      <c r="X543" s="11">
        <f t="shared" si="104"/>
        <v>4.5</v>
      </c>
      <c r="Y543" t="s">
        <v>2102</v>
      </c>
      <c r="Z543" t="str">
        <f t="shared" si="105"/>
        <v>No</v>
      </c>
      <c r="AA543" t="str">
        <f t="shared" si="106"/>
        <v>No</v>
      </c>
      <c r="AB543" t="str">
        <f t="shared" si="107"/>
        <v>No</v>
      </c>
      <c r="AC543" s="12">
        <v>68</v>
      </c>
      <c r="AD543" s="12">
        <f t="shared" si="108"/>
        <v>68</v>
      </c>
    </row>
    <row r="544" spans="1:30" x14ac:dyDescent="0.3">
      <c r="A544" t="s">
        <v>1177</v>
      </c>
      <c r="B544" t="s">
        <v>1178</v>
      </c>
      <c r="C544" t="s">
        <v>2231</v>
      </c>
      <c r="D544" t="s">
        <v>2297</v>
      </c>
      <c r="E544" t="str">
        <f t="shared" si="97"/>
        <v>Thomas Kim</v>
      </c>
      <c r="F544" t="str">
        <f t="shared" si="98"/>
        <v>Thomas Kim</v>
      </c>
      <c r="H544" t="s">
        <v>107</v>
      </c>
      <c r="I544" t="str">
        <f t="shared" si="99"/>
        <v>Male</v>
      </c>
      <c r="J544">
        <v>22</v>
      </c>
      <c r="K544">
        <f t="shared" si="100"/>
        <v>22</v>
      </c>
      <c r="L544" t="str">
        <f t="shared" si="101"/>
        <v>First level</v>
      </c>
      <c r="M544" t="s">
        <v>201</v>
      </c>
      <c r="N544" t="s">
        <v>81</v>
      </c>
      <c r="O544" t="s">
        <v>17</v>
      </c>
      <c r="P544">
        <v>0</v>
      </c>
      <c r="Q544">
        <f t="shared" si="102"/>
        <v>0</v>
      </c>
      <c r="R544" t="s">
        <v>50</v>
      </c>
      <c r="S544" s="8" t="s">
        <v>50</v>
      </c>
      <c r="T544" s="9">
        <v>30</v>
      </c>
      <c r="U544" s="9">
        <f t="shared" si="103"/>
        <v>30</v>
      </c>
      <c r="V544" s="10">
        <v>30</v>
      </c>
      <c r="W544">
        <v>0</v>
      </c>
      <c r="X544" s="11">
        <f t="shared" si="104"/>
        <v>0</v>
      </c>
      <c r="Y544" t="s">
        <v>2102</v>
      </c>
      <c r="Z544" t="str">
        <f t="shared" si="105"/>
        <v>No</v>
      </c>
      <c r="AA544" t="str">
        <f t="shared" si="106"/>
        <v>No</v>
      </c>
      <c r="AB544" t="str">
        <f t="shared" si="107"/>
        <v>No</v>
      </c>
      <c r="AC544" s="12">
        <v>87</v>
      </c>
      <c r="AD544" s="12">
        <f t="shared" si="108"/>
        <v>87</v>
      </c>
    </row>
    <row r="545" spans="1:30" x14ac:dyDescent="0.3">
      <c r="A545" t="s">
        <v>1179</v>
      </c>
      <c r="B545" t="s">
        <v>1180</v>
      </c>
      <c r="C545" t="s">
        <v>2122</v>
      </c>
      <c r="D545" t="s">
        <v>2697</v>
      </c>
      <c r="E545" t="str">
        <f t="shared" si="97"/>
        <v>Sean Park</v>
      </c>
      <c r="F545" t="str">
        <f t="shared" si="98"/>
        <v>Sean Park</v>
      </c>
      <c r="H545" t="s">
        <v>69</v>
      </c>
      <c r="I545" t="str">
        <f t="shared" si="99"/>
        <v>Male</v>
      </c>
      <c r="J545">
        <v>45</v>
      </c>
      <c r="K545">
        <f t="shared" si="100"/>
        <v>45</v>
      </c>
      <c r="L545" t="str">
        <f t="shared" si="101"/>
        <v>Third level</v>
      </c>
      <c r="M545" t="s">
        <v>190</v>
      </c>
      <c r="N545" t="s">
        <v>81</v>
      </c>
      <c r="O545" t="s">
        <v>87</v>
      </c>
      <c r="P545">
        <v>19</v>
      </c>
      <c r="Q545">
        <f t="shared" si="102"/>
        <v>19</v>
      </c>
      <c r="R545" t="s">
        <v>92</v>
      </c>
      <c r="S545" s="8" t="s">
        <v>92</v>
      </c>
      <c r="T545" s="9">
        <v>75</v>
      </c>
      <c r="U545" s="9">
        <f t="shared" si="103"/>
        <v>75</v>
      </c>
      <c r="V545" s="10">
        <v>75</v>
      </c>
      <c r="W545">
        <v>0</v>
      </c>
      <c r="X545" s="11">
        <f t="shared" si="104"/>
        <v>0</v>
      </c>
      <c r="Y545" t="s">
        <v>170</v>
      </c>
      <c r="Z545" t="str">
        <f t="shared" si="105"/>
        <v>no</v>
      </c>
      <c r="AA545" t="str">
        <f t="shared" si="106"/>
        <v>no</v>
      </c>
      <c r="AB545" t="str">
        <f t="shared" si="107"/>
        <v>No</v>
      </c>
      <c r="AC545" s="12">
        <v>72</v>
      </c>
      <c r="AD545" s="12">
        <f t="shared" si="108"/>
        <v>72</v>
      </c>
    </row>
    <row r="546" spans="1:30" x14ac:dyDescent="0.3">
      <c r="A546" t="s">
        <v>1181</v>
      </c>
      <c r="B546" t="s">
        <v>1182</v>
      </c>
      <c r="C546" t="s">
        <v>2644</v>
      </c>
      <c r="D546" t="s">
        <v>2427</v>
      </c>
      <c r="E546" t="str">
        <f t="shared" si="97"/>
        <v>Judith Poole</v>
      </c>
      <c r="F546" t="str">
        <f t="shared" si="98"/>
        <v>Judith Poole</v>
      </c>
      <c r="H546" t="s">
        <v>86</v>
      </c>
      <c r="I546" t="str">
        <f t="shared" si="99"/>
        <v>Female</v>
      </c>
      <c r="J546">
        <v>22</v>
      </c>
      <c r="K546">
        <f t="shared" si="100"/>
        <v>22</v>
      </c>
      <c r="L546" t="str">
        <f t="shared" si="101"/>
        <v>First level</v>
      </c>
      <c r="M546" t="s">
        <v>23</v>
      </c>
      <c r="N546" t="s">
        <v>24</v>
      </c>
      <c r="O546" t="s">
        <v>57</v>
      </c>
      <c r="P546">
        <v>2</v>
      </c>
      <c r="Q546">
        <f t="shared" si="102"/>
        <v>2</v>
      </c>
      <c r="R546" t="s">
        <v>76</v>
      </c>
      <c r="S546" s="8" t="s">
        <v>76</v>
      </c>
      <c r="T546" s="9">
        <v>40</v>
      </c>
      <c r="U546" s="9">
        <f t="shared" si="103"/>
        <v>40</v>
      </c>
      <c r="V546" s="10">
        <v>40</v>
      </c>
      <c r="W546">
        <v>1.1000000000000001</v>
      </c>
      <c r="X546" s="11">
        <f t="shared" si="104"/>
        <v>1.1000000000000001</v>
      </c>
      <c r="Y546" t="s">
        <v>170</v>
      </c>
      <c r="Z546" t="str">
        <f t="shared" si="105"/>
        <v>no</v>
      </c>
      <c r="AA546" t="str">
        <f t="shared" si="106"/>
        <v>no</v>
      </c>
      <c r="AB546" t="str">
        <f t="shared" si="107"/>
        <v>No</v>
      </c>
      <c r="AC546" s="12">
        <v>76</v>
      </c>
      <c r="AD546" s="12">
        <f t="shared" si="108"/>
        <v>76</v>
      </c>
    </row>
    <row r="547" spans="1:30" x14ac:dyDescent="0.3">
      <c r="A547" t="s">
        <v>1183</v>
      </c>
      <c r="B547" t="s">
        <v>1184</v>
      </c>
      <c r="C547" t="s">
        <v>2149</v>
      </c>
      <c r="D547" t="s">
        <v>2698</v>
      </c>
      <c r="E547" t="str">
        <f t="shared" si="97"/>
        <v>Melanie Baird</v>
      </c>
      <c r="F547" t="str">
        <f t="shared" si="98"/>
        <v>Melanie Baird</v>
      </c>
      <c r="H547" t="s">
        <v>86</v>
      </c>
      <c r="I547" t="str">
        <f t="shared" si="99"/>
        <v>Female</v>
      </c>
      <c r="J547">
        <v>20</v>
      </c>
      <c r="K547">
        <f t="shared" si="100"/>
        <v>20</v>
      </c>
      <c r="L547" t="str">
        <f t="shared" si="101"/>
        <v>First level</v>
      </c>
      <c r="M547" t="s">
        <v>70</v>
      </c>
      <c r="N547" t="s">
        <v>71</v>
      </c>
      <c r="O547" t="s">
        <v>25</v>
      </c>
      <c r="P547">
        <v>0</v>
      </c>
      <c r="Q547">
        <f t="shared" si="102"/>
        <v>0</v>
      </c>
      <c r="R547" t="s">
        <v>18</v>
      </c>
      <c r="S547" s="8" t="s">
        <v>18</v>
      </c>
      <c r="T547" s="9">
        <v>100</v>
      </c>
      <c r="U547" s="9">
        <f t="shared" si="103"/>
        <v>100</v>
      </c>
      <c r="V547" s="10">
        <v>100</v>
      </c>
      <c r="W547">
        <v>0</v>
      </c>
      <c r="X547" s="11">
        <f t="shared" si="104"/>
        <v>0</v>
      </c>
      <c r="Y547" t="s">
        <v>2102</v>
      </c>
      <c r="Z547" t="str">
        <f t="shared" si="105"/>
        <v>No</v>
      </c>
      <c r="AA547" t="str">
        <f t="shared" si="106"/>
        <v>No</v>
      </c>
      <c r="AB547" t="str">
        <f t="shared" si="107"/>
        <v>No</v>
      </c>
      <c r="AC547" s="12">
        <v>63</v>
      </c>
      <c r="AD547" s="12">
        <f t="shared" si="108"/>
        <v>63</v>
      </c>
    </row>
    <row r="548" spans="1:30" x14ac:dyDescent="0.3">
      <c r="A548" t="s">
        <v>1185</v>
      </c>
      <c r="B548" t="s">
        <v>1186</v>
      </c>
      <c r="C548" t="s">
        <v>2699</v>
      </c>
      <c r="D548" t="s">
        <v>2350</v>
      </c>
      <c r="E548" t="str">
        <f t="shared" si="97"/>
        <v>Erika Mitchell</v>
      </c>
      <c r="F548" t="str">
        <f t="shared" si="98"/>
        <v>Erika Mitchell</v>
      </c>
      <c r="H548" t="s">
        <v>22</v>
      </c>
      <c r="I548" t="str">
        <f t="shared" si="99"/>
        <v>Female</v>
      </c>
      <c r="J548">
        <v>20</v>
      </c>
      <c r="K548">
        <f t="shared" si="100"/>
        <v>20</v>
      </c>
      <c r="L548" t="str">
        <f t="shared" si="101"/>
        <v>First level</v>
      </c>
      <c r="M548" t="s">
        <v>138</v>
      </c>
      <c r="N548" t="s">
        <v>24</v>
      </c>
      <c r="O548" t="s">
        <v>57</v>
      </c>
      <c r="P548">
        <v>2</v>
      </c>
      <c r="Q548">
        <f t="shared" si="102"/>
        <v>2</v>
      </c>
      <c r="R548" t="s">
        <v>76</v>
      </c>
      <c r="S548" s="8" t="s">
        <v>76</v>
      </c>
      <c r="T548" s="9">
        <v>40</v>
      </c>
      <c r="U548" s="9">
        <f t="shared" si="103"/>
        <v>40</v>
      </c>
      <c r="V548" s="10">
        <v>40</v>
      </c>
      <c r="X548" s="11">
        <f t="shared" si="104"/>
        <v>2.5949874686716807</v>
      </c>
      <c r="Y548" t="s">
        <v>2103</v>
      </c>
      <c r="Z548" t="str">
        <f t="shared" si="105"/>
        <v>Yes</v>
      </c>
      <c r="AA548" t="str">
        <f t="shared" si="106"/>
        <v>Yes</v>
      </c>
      <c r="AB548" t="str">
        <f t="shared" si="107"/>
        <v>Yes</v>
      </c>
      <c r="AC548" s="12">
        <v>91</v>
      </c>
      <c r="AD548" s="12">
        <f t="shared" si="108"/>
        <v>91</v>
      </c>
    </row>
    <row r="549" spans="1:30" x14ac:dyDescent="0.3">
      <c r="A549" t="s">
        <v>1187</v>
      </c>
      <c r="B549" t="s">
        <v>1188</v>
      </c>
      <c r="C549" t="s">
        <v>2120</v>
      </c>
      <c r="D549" t="s">
        <v>2405</v>
      </c>
      <c r="E549" t="str">
        <f t="shared" si="97"/>
        <v>Ricky Martinez</v>
      </c>
      <c r="F549" t="str">
        <f t="shared" si="98"/>
        <v>Ricky Martinez</v>
      </c>
      <c r="H549" t="s">
        <v>107</v>
      </c>
      <c r="I549" t="str">
        <f t="shared" si="99"/>
        <v>Male</v>
      </c>
      <c r="J549">
        <v>21</v>
      </c>
      <c r="K549">
        <f t="shared" si="100"/>
        <v>21</v>
      </c>
      <c r="L549" t="str">
        <f t="shared" si="101"/>
        <v>First level</v>
      </c>
      <c r="M549" t="s">
        <v>75</v>
      </c>
      <c r="N549" t="s">
        <v>24</v>
      </c>
      <c r="O549" t="s">
        <v>49</v>
      </c>
      <c r="P549">
        <v>0</v>
      </c>
      <c r="Q549">
        <f t="shared" si="102"/>
        <v>0</v>
      </c>
      <c r="R549" t="s">
        <v>18</v>
      </c>
      <c r="S549" s="8" t="s">
        <v>18</v>
      </c>
      <c r="T549" s="9">
        <v>100</v>
      </c>
      <c r="U549" s="9">
        <f t="shared" si="103"/>
        <v>100</v>
      </c>
      <c r="V549" s="10">
        <v>100</v>
      </c>
      <c r="X549" s="11">
        <f t="shared" si="104"/>
        <v>2.5949874686716807</v>
      </c>
      <c r="Y549" t="s">
        <v>2102</v>
      </c>
      <c r="Z549" t="str">
        <f t="shared" si="105"/>
        <v>No</v>
      </c>
      <c r="AA549" t="str">
        <f t="shared" si="106"/>
        <v>No</v>
      </c>
      <c r="AB549" t="str">
        <f t="shared" si="107"/>
        <v>No</v>
      </c>
      <c r="AC549" s="12">
        <v>73</v>
      </c>
      <c r="AD549" s="12">
        <f t="shared" si="108"/>
        <v>73</v>
      </c>
    </row>
    <row r="550" spans="1:30" x14ac:dyDescent="0.3">
      <c r="A550" t="s">
        <v>1189</v>
      </c>
      <c r="B550" t="s">
        <v>1190</v>
      </c>
      <c r="C550" t="s">
        <v>2366</v>
      </c>
      <c r="D550" t="s">
        <v>2353</v>
      </c>
      <c r="E550" t="str">
        <f t="shared" si="97"/>
        <v>John Christian</v>
      </c>
      <c r="F550" t="str">
        <f t="shared" si="98"/>
        <v>John Christian</v>
      </c>
      <c r="H550" t="s">
        <v>107</v>
      </c>
      <c r="I550" t="str">
        <f t="shared" si="99"/>
        <v>Male</v>
      </c>
      <c r="J550">
        <v>22</v>
      </c>
      <c r="K550">
        <f t="shared" si="100"/>
        <v>22</v>
      </c>
      <c r="L550" t="str">
        <f t="shared" si="101"/>
        <v>First level</v>
      </c>
      <c r="M550" t="s">
        <v>47</v>
      </c>
      <c r="N550" t="s">
        <v>48</v>
      </c>
      <c r="O550" t="s">
        <v>87</v>
      </c>
      <c r="P550">
        <v>1</v>
      </c>
      <c r="Q550">
        <f t="shared" si="102"/>
        <v>1</v>
      </c>
      <c r="R550" t="s">
        <v>76</v>
      </c>
      <c r="S550" s="8" t="s">
        <v>76</v>
      </c>
      <c r="T550" s="9">
        <v>40</v>
      </c>
      <c r="U550" s="9">
        <f t="shared" si="103"/>
        <v>40</v>
      </c>
      <c r="V550" s="10">
        <v>40</v>
      </c>
      <c r="W550">
        <v>0</v>
      </c>
      <c r="X550" s="11">
        <f t="shared" si="104"/>
        <v>0</v>
      </c>
      <c r="Y550" t="s">
        <v>2102</v>
      </c>
      <c r="Z550" t="str">
        <f t="shared" si="105"/>
        <v>No</v>
      </c>
      <c r="AA550" t="str">
        <f t="shared" si="106"/>
        <v>No</v>
      </c>
      <c r="AB550" t="str">
        <f t="shared" si="107"/>
        <v>No</v>
      </c>
      <c r="AC550" s="12">
        <v>63</v>
      </c>
      <c r="AD550" s="12">
        <f t="shared" si="108"/>
        <v>63</v>
      </c>
    </row>
    <row r="551" spans="1:30" x14ac:dyDescent="0.3">
      <c r="A551" t="s">
        <v>1191</v>
      </c>
      <c r="B551" t="s">
        <v>1192</v>
      </c>
      <c r="C551" t="s">
        <v>2476</v>
      </c>
      <c r="D551" t="s">
        <v>2161</v>
      </c>
      <c r="E551" t="str">
        <f t="shared" si="97"/>
        <v>Nancy Smith</v>
      </c>
      <c r="F551" t="str">
        <f t="shared" si="98"/>
        <v>Nancy Smith</v>
      </c>
      <c r="H551" t="s">
        <v>86</v>
      </c>
      <c r="I551" t="str">
        <f t="shared" si="99"/>
        <v>Female</v>
      </c>
      <c r="J551">
        <v>28</v>
      </c>
      <c r="K551">
        <f t="shared" si="100"/>
        <v>28</v>
      </c>
      <c r="L551" t="str">
        <f t="shared" si="101"/>
        <v>First level</v>
      </c>
      <c r="M551" t="s">
        <v>75</v>
      </c>
      <c r="N551" t="s">
        <v>24</v>
      </c>
      <c r="O551" t="s">
        <v>99</v>
      </c>
      <c r="P551">
        <v>3</v>
      </c>
      <c r="Q551">
        <f t="shared" si="102"/>
        <v>3</v>
      </c>
      <c r="R551" t="s">
        <v>325</v>
      </c>
      <c r="S551" s="8" t="s">
        <v>2097</v>
      </c>
      <c r="T551" s="9">
        <v>20</v>
      </c>
      <c r="U551" s="9">
        <f t="shared" si="103"/>
        <v>20</v>
      </c>
      <c r="V551" s="10">
        <v>20</v>
      </c>
      <c r="X551" s="11">
        <f t="shared" si="104"/>
        <v>2.6015075376884438</v>
      </c>
      <c r="Y551" t="s">
        <v>2103</v>
      </c>
      <c r="Z551" t="str">
        <f t="shared" si="105"/>
        <v>Yes</v>
      </c>
      <c r="AA551" t="str">
        <f t="shared" si="106"/>
        <v>Yes</v>
      </c>
      <c r="AB551" t="str">
        <f t="shared" si="107"/>
        <v>Yes</v>
      </c>
      <c r="AC551" s="12">
        <v>79</v>
      </c>
      <c r="AD551" s="12">
        <f t="shared" si="108"/>
        <v>79</v>
      </c>
    </row>
    <row r="552" spans="1:30" x14ac:dyDescent="0.3">
      <c r="A552" t="s">
        <v>1193</v>
      </c>
      <c r="B552" t="s">
        <v>1194</v>
      </c>
      <c r="C552" t="s">
        <v>2700</v>
      </c>
      <c r="D552" t="s">
        <v>2402</v>
      </c>
      <c r="E552" t="str">
        <f t="shared" si="97"/>
        <v>Cassandra Stephens</v>
      </c>
      <c r="F552" t="str">
        <f t="shared" si="98"/>
        <v>Cassandra Stephens</v>
      </c>
      <c r="H552" t="s">
        <v>86</v>
      </c>
      <c r="I552" t="str">
        <f t="shared" si="99"/>
        <v>Female</v>
      </c>
      <c r="J552">
        <v>59</v>
      </c>
      <c r="K552">
        <f t="shared" si="100"/>
        <v>59</v>
      </c>
      <c r="L552" t="str">
        <f t="shared" si="101"/>
        <v>Fourth level</v>
      </c>
      <c r="M552" t="s">
        <v>80</v>
      </c>
      <c r="N552" t="s">
        <v>81</v>
      </c>
      <c r="O552" t="s">
        <v>49</v>
      </c>
      <c r="Q552">
        <f t="shared" si="102"/>
        <v>19</v>
      </c>
      <c r="R552" t="s">
        <v>151</v>
      </c>
      <c r="S552" s="8" t="s">
        <v>151</v>
      </c>
      <c r="T552" s="9">
        <v>20</v>
      </c>
      <c r="U552" s="9">
        <f t="shared" si="103"/>
        <v>20</v>
      </c>
      <c r="V552" s="10">
        <v>20</v>
      </c>
      <c r="W552">
        <v>4.0999999999999996</v>
      </c>
      <c r="X552" s="11">
        <f t="shared" si="104"/>
        <v>4.0999999999999996</v>
      </c>
      <c r="Y552" t="s">
        <v>2102</v>
      </c>
      <c r="Z552" t="str">
        <f t="shared" si="105"/>
        <v>No</v>
      </c>
      <c r="AA552" t="str">
        <f t="shared" si="106"/>
        <v>No</v>
      </c>
      <c r="AB552" t="str">
        <f t="shared" si="107"/>
        <v>No</v>
      </c>
      <c r="AC552" s="12">
        <v>75</v>
      </c>
      <c r="AD552" s="12">
        <f t="shared" si="108"/>
        <v>75</v>
      </c>
    </row>
    <row r="553" spans="1:30" x14ac:dyDescent="0.3">
      <c r="A553" t="s">
        <v>1195</v>
      </c>
      <c r="B553" t="s">
        <v>1196</v>
      </c>
      <c r="C553" t="s">
        <v>2701</v>
      </c>
      <c r="D553" t="s">
        <v>2702</v>
      </c>
      <c r="E553" t="str">
        <f t="shared" si="97"/>
        <v>Miss Janet</v>
      </c>
      <c r="F553" t="str">
        <f t="shared" si="98"/>
        <v>Miss Janet</v>
      </c>
      <c r="H553" t="s">
        <v>43</v>
      </c>
      <c r="I553" t="str">
        <f t="shared" si="99"/>
        <v>Female</v>
      </c>
      <c r="J553">
        <v>28</v>
      </c>
      <c r="K553">
        <f t="shared" si="100"/>
        <v>28</v>
      </c>
      <c r="L553" t="str">
        <f t="shared" si="101"/>
        <v>First level</v>
      </c>
      <c r="M553" t="s">
        <v>145</v>
      </c>
      <c r="N553" t="s">
        <v>146</v>
      </c>
      <c r="O553" t="s">
        <v>39</v>
      </c>
      <c r="P553">
        <v>1</v>
      </c>
      <c r="Q553">
        <f t="shared" si="102"/>
        <v>1</v>
      </c>
      <c r="R553" t="s">
        <v>65</v>
      </c>
      <c r="S553" s="8" t="s">
        <v>65</v>
      </c>
      <c r="T553" s="9"/>
      <c r="U553" s="9">
        <f t="shared" si="103"/>
        <v>53.594132029339853</v>
      </c>
      <c r="V553" s="10">
        <v>53.594132029339853</v>
      </c>
      <c r="W553">
        <v>0</v>
      </c>
      <c r="X553" s="11">
        <f t="shared" si="104"/>
        <v>0</v>
      </c>
      <c r="Y553" t="s">
        <v>2102</v>
      </c>
      <c r="Z553" t="str">
        <f t="shared" si="105"/>
        <v>No</v>
      </c>
      <c r="AA553" t="str">
        <f t="shared" si="106"/>
        <v>No</v>
      </c>
      <c r="AB553" t="str">
        <f t="shared" si="107"/>
        <v>No</v>
      </c>
      <c r="AC553" s="12">
        <v>70</v>
      </c>
      <c r="AD553" s="12">
        <f t="shared" si="108"/>
        <v>70</v>
      </c>
    </row>
    <row r="554" spans="1:30" x14ac:dyDescent="0.3">
      <c r="A554" t="s">
        <v>1197</v>
      </c>
      <c r="B554" t="s">
        <v>1198</v>
      </c>
      <c r="C554" t="s">
        <v>2703</v>
      </c>
      <c r="D554" t="s">
        <v>2181</v>
      </c>
      <c r="E554" t="str">
        <f t="shared" si="97"/>
        <v>Kristina Williams</v>
      </c>
      <c r="H554" t="s">
        <v>86</v>
      </c>
      <c r="I554" t="str">
        <f t="shared" si="99"/>
        <v>Female</v>
      </c>
      <c r="J554">
        <v>40</v>
      </c>
      <c r="K554">
        <f t="shared" si="100"/>
        <v>40</v>
      </c>
      <c r="L554" t="str">
        <f t="shared" si="101"/>
        <v>Second level</v>
      </c>
      <c r="M554" t="s">
        <v>23</v>
      </c>
      <c r="N554" t="s">
        <v>24</v>
      </c>
      <c r="O554" t="s">
        <v>99</v>
      </c>
      <c r="P554">
        <v>0</v>
      </c>
      <c r="Q554">
        <f t="shared" si="102"/>
        <v>0</v>
      </c>
      <c r="R554" t="s">
        <v>240</v>
      </c>
      <c r="S554" s="8" t="s">
        <v>18</v>
      </c>
      <c r="T554" s="9">
        <v>100</v>
      </c>
      <c r="U554" s="9">
        <f t="shared" si="103"/>
        <v>100</v>
      </c>
      <c r="V554" s="10">
        <v>100</v>
      </c>
      <c r="W554">
        <v>1.2</v>
      </c>
      <c r="X554" s="11">
        <f t="shared" si="104"/>
        <v>1.2</v>
      </c>
      <c r="Y554" t="s">
        <v>65</v>
      </c>
      <c r="AA554" t="str">
        <f t="shared" si="106"/>
        <v>Unknown</v>
      </c>
      <c r="AB554" t="str">
        <f t="shared" si="107"/>
        <v>Unknown</v>
      </c>
      <c r="AC554" s="12">
        <v>87</v>
      </c>
      <c r="AD554" s="12">
        <f t="shared" si="108"/>
        <v>87</v>
      </c>
    </row>
    <row r="555" spans="1:30" x14ac:dyDescent="0.3">
      <c r="A555" t="s">
        <v>1199</v>
      </c>
      <c r="B555" t="s">
        <v>1200</v>
      </c>
      <c r="C555" t="s">
        <v>2339</v>
      </c>
      <c r="D555" t="s">
        <v>2704</v>
      </c>
      <c r="E555" t="str">
        <f t="shared" si="97"/>
        <v>Wayne Barnes</v>
      </c>
      <c r="H555" t="s">
        <v>107</v>
      </c>
      <c r="I555" t="str">
        <f t="shared" si="99"/>
        <v>Male</v>
      </c>
      <c r="J555">
        <v>57</v>
      </c>
      <c r="K555">
        <f t="shared" si="100"/>
        <v>57</v>
      </c>
      <c r="L555" t="str">
        <f t="shared" si="101"/>
        <v>Fourth level</v>
      </c>
      <c r="M555" t="s">
        <v>15</v>
      </c>
      <c r="N555" t="s">
        <v>16</v>
      </c>
      <c r="O555" t="s">
        <v>17</v>
      </c>
      <c r="P555">
        <v>7</v>
      </c>
      <c r="Q555">
        <f t="shared" si="102"/>
        <v>7</v>
      </c>
      <c r="R555" t="s">
        <v>44</v>
      </c>
      <c r="S555" s="8" t="s">
        <v>44</v>
      </c>
      <c r="T555" s="9">
        <v>30</v>
      </c>
      <c r="U555" s="9">
        <f t="shared" si="103"/>
        <v>30</v>
      </c>
      <c r="V555" s="10">
        <v>30</v>
      </c>
      <c r="W555">
        <v>1.6</v>
      </c>
      <c r="X555" s="11">
        <f t="shared" si="104"/>
        <v>1.6</v>
      </c>
      <c r="Y555" t="s">
        <v>170</v>
      </c>
      <c r="Z555" t="str">
        <f t="shared" si="105"/>
        <v>no</v>
      </c>
      <c r="AA555" t="str">
        <f t="shared" si="106"/>
        <v>no</v>
      </c>
      <c r="AB555" t="str">
        <f t="shared" si="107"/>
        <v>No</v>
      </c>
      <c r="AC555" s="12"/>
      <c r="AD555" s="12">
        <f t="shared" si="108"/>
        <v>79.946236559139791</v>
      </c>
    </row>
    <row r="556" spans="1:30" x14ac:dyDescent="0.3">
      <c r="A556" t="s">
        <v>1201</v>
      </c>
      <c r="B556" t="s">
        <v>1202</v>
      </c>
      <c r="C556" t="s">
        <v>2143</v>
      </c>
      <c r="D556" t="s">
        <v>2705</v>
      </c>
      <c r="E556" t="str">
        <f t="shared" si="97"/>
        <v>James Hinton</v>
      </c>
      <c r="H556" t="s">
        <v>69</v>
      </c>
      <c r="I556" t="str">
        <f t="shared" si="99"/>
        <v>Male</v>
      </c>
      <c r="J556">
        <v>47</v>
      </c>
      <c r="K556">
        <f t="shared" si="100"/>
        <v>47</v>
      </c>
      <c r="L556" t="str">
        <f t="shared" si="101"/>
        <v>Third level</v>
      </c>
      <c r="M556" t="s">
        <v>70</v>
      </c>
      <c r="N556" t="s">
        <v>71</v>
      </c>
      <c r="O556" t="s">
        <v>99</v>
      </c>
      <c r="P556">
        <v>1</v>
      </c>
      <c r="Q556">
        <f t="shared" si="102"/>
        <v>1</v>
      </c>
      <c r="R556" t="s">
        <v>34</v>
      </c>
      <c r="S556" s="8" t="s">
        <v>34</v>
      </c>
      <c r="T556" s="9">
        <v>50</v>
      </c>
      <c r="U556" s="9">
        <f t="shared" si="103"/>
        <v>50</v>
      </c>
      <c r="V556" s="10">
        <v>50</v>
      </c>
      <c r="W556">
        <v>3.9</v>
      </c>
      <c r="X556" s="11">
        <f t="shared" si="104"/>
        <v>3.9</v>
      </c>
      <c r="Y556" t="s">
        <v>2103</v>
      </c>
      <c r="Z556" t="str">
        <f t="shared" si="105"/>
        <v>Yes</v>
      </c>
      <c r="AA556" t="str">
        <f t="shared" si="106"/>
        <v>Yes</v>
      </c>
      <c r="AB556" t="str">
        <f t="shared" si="107"/>
        <v>Yes</v>
      </c>
      <c r="AC556" s="12">
        <v>88</v>
      </c>
      <c r="AD556" s="12">
        <f t="shared" si="108"/>
        <v>88</v>
      </c>
    </row>
    <row r="557" spans="1:30" x14ac:dyDescent="0.3">
      <c r="A557" t="s">
        <v>1203</v>
      </c>
      <c r="B557" t="s">
        <v>1204</v>
      </c>
      <c r="C557" t="s">
        <v>2273</v>
      </c>
      <c r="D557" t="s">
        <v>2706</v>
      </c>
      <c r="E557" t="str">
        <f t="shared" si="97"/>
        <v>David Spence</v>
      </c>
      <c r="H557" t="s">
        <v>30</v>
      </c>
      <c r="I557" t="str">
        <f t="shared" si="99"/>
        <v>Male</v>
      </c>
      <c r="J557">
        <v>48</v>
      </c>
      <c r="K557">
        <f t="shared" si="100"/>
        <v>48</v>
      </c>
      <c r="L557" t="str">
        <f t="shared" si="101"/>
        <v>Third level</v>
      </c>
      <c r="M557" t="s">
        <v>122</v>
      </c>
      <c r="N557" t="s">
        <v>123</v>
      </c>
      <c r="O557" t="s">
        <v>87</v>
      </c>
      <c r="P557">
        <v>21</v>
      </c>
      <c r="Q557">
        <f t="shared" si="102"/>
        <v>21</v>
      </c>
      <c r="R557" t="s">
        <v>76</v>
      </c>
      <c r="S557" s="8" t="s">
        <v>76</v>
      </c>
      <c r="T557" s="9">
        <v>40</v>
      </c>
      <c r="U557" s="9">
        <f t="shared" si="103"/>
        <v>40</v>
      </c>
      <c r="V557" s="10">
        <v>40</v>
      </c>
      <c r="W557">
        <v>0</v>
      </c>
      <c r="X557" s="11">
        <f t="shared" si="104"/>
        <v>0</v>
      </c>
      <c r="Y557" t="s">
        <v>2103</v>
      </c>
      <c r="Z557" t="str">
        <f t="shared" si="105"/>
        <v>Yes</v>
      </c>
      <c r="AA557" t="str">
        <f t="shared" si="106"/>
        <v>Yes</v>
      </c>
      <c r="AB557" t="str">
        <f t="shared" si="107"/>
        <v>Yes</v>
      </c>
      <c r="AC557" s="12"/>
      <c r="AD557" s="12">
        <f t="shared" si="108"/>
        <v>79.924528301886795</v>
      </c>
    </row>
    <row r="558" spans="1:30" x14ac:dyDescent="0.3">
      <c r="A558" t="s">
        <v>1205</v>
      </c>
      <c r="B558" t="s">
        <v>1206</v>
      </c>
      <c r="C558" t="s">
        <v>2140</v>
      </c>
      <c r="D558" t="s">
        <v>2663</v>
      </c>
      <c r="E558" t="str">
        <f t="shared" si="97"/>
        <v>Tyler Cooper</v>
      </c>
      <c r="H558" t="s">
        <v>107</v>
      </c>
      <c r="I558" t="str">
        <f t="shared" si="99"/>
        <v>Male</v>
      </c>
      <c r="J558">
        <v>28</v>
      </c>
      <c r="K558">
        <f t="shared" si="100"/>
        <v>28</v>
      </c>
      <c r="L558" t="str">
        <f t="shared" si="101"/>
        <v>First level</v>
      </c>
      <c r="M558" t="s">
        <v>64</v>
      </c>
      <c r="N558" t="s">
        <v>24</v>
      </c>
      <c r="O558" t="s">
        <v>82</v>
      </c>
      <c r="P558">
        <v>1</v>
      </c>
      <c r="Q558">
        <f t="shared" si="102"/>
        <v>1</v>
      </c>
      <c r="R558" t="s">
        <v>325</v>
      </c>
      <c r="S558" s="8" t="s">
        <v>2097</v>
      </c>
      <c r="T558" s="9">
        <v>20</v>
      </c>
      <c r="U558" s="9">
        <f t="shared" si="103"/>
        <v>20</v>
      </c>
      <c r="V558" s="10">
        <v>20</v>
      </c>
      <c r="W558">
        <v>4.7</v>
      </c>
      <c r="X558" s="11">
        <f t="shared" si="104"/>
        <v>4.7</v>
      </c>
      <c r="Y558" t="s">
        <v>2102</v>
      </c>
      <c r="Z558" t="str">
        <f t="shared" si="105"/>
        <v>No</v>
      </c>
      <c r="AA558" t="str">
        <f t="shared" si="106"/>
        <v>No</v>
      </c>
      <c r="AB558" t="str">
        <f t="shared" si="107"/>
        <v>No</v>
      </c>
      <c r="AC558" s="12">
        <v>93</v>
      </c>
      <c r="AD558" s="12">
        <f t="shared" si="108"/>
        <v>93</v>
      </c>
    </row>
    <row r="559" spans="1:30" x14ac:dyDescent="0.3">
      <c r="A559" t="s">
        <v>1207</v>
      </c>
      <c r="B559" t="s">
        <v>1208</v>
      </c>
      <c r="C559" t="s">
        <v>2122</v>
      </c>
      <c r="D559" t="s">
        <v>2405</v>
      </c>
      <c r="E559" t="str">
        <f t="shared" si="97"/>
        <v>Sean Martinez</v>
      </c>
      <c r="H559" t="s">
        <v>107</v>
      </c>
      <c r="I559" t="str">
        <f t="shared" si="99"/>
        <v>Male</v>
      </c>
      <c r="J559">
        <v>41</v>
      </c>
      <c r="K559">
        <f t="shared" si="100"/>
        <v>41</v>
      </c>
      <c r="L559" t="str">
        <f t="shared" si="101"/>
        <v>Third level</v>
      </c>
      <c r="M559" t="s">
        <v>70</v>
      </c>
      <c r="N559" t="s">
        <v>71</v>
      </c>
      <c r="O559" t="s">
        <v>33</v>
      </c>
      <c r="P559">
        <v>15</v>
      </c>
      <c r="Q559">
        <f t="shared" si="102"/>
        <v>15</v>
      </c>
      <c r="R559" t="s">
        <v>65</v>
      </c>
      <c r="S559" s="8" t="s">
        <v>65</v>
      </c>
      <c r="T559" s="9"/>
      <c r="U559" s="9">
        <f t="shared" si="103"/>
        <v>53.663366336633665</v>
      </c>
      <c r="V559" s="10">
        <v>53.663366336633665</v>
      </c>
      <c r="W559">
        <v>3.8</v>
      </c>
      <c r="X559" s="11">
        <f t="shared" si="104"/>
        <v>3.8</v>
      </c>
      <c r="Y559" t="s">
        <v>2103</v>
      </c>
      <c r="Z559" t="str">
        <f t="shared" si="105"/>
        <v>Yes</v>
      </c>
      <c r="AA559" t="str">
        <f t="shared" si="106"/>
        <v>Yes</v>
      </c>
      <c r="AB559" t="str">
        <f t="shared" si="107"/>
        <v>Yes</v>
      </c>
      <c r="AC559" s="12"/>
      <c r="AD559" s="12">
        <f t="shared" si="108"/>
        <v>79.889189189189196</v>
      </c>
    </row>
    <row r="560" spans="1:30" x14ac:dyDescent="0.3">
      <c r="A560" t="s">
        <v>1209</v>
      </c>
      <c r="B560" t="s">
        <v>1210</v>
      </c>
      <c r="C560" t="s">
        <v>2702</v>
      </c>
      <c r="D560" t="s">
        <v>2707</v>
      </c>
      <c r="E560" t="str">
        <f t="shared" si="97"/>
        <v>Janet Barron</v>
      </c>
      <c r="H560" t="s">
        <v>86</v>
      </c>
      <c r="I560" t="str">
        <f t="shared" si="99"/>
        <v>Female</v>
      </c>
      <c r="J560">
        <v>57</v>
      </c>
      <c r="K560">
        <f t="shared" si="100"/>
        <v>57</v>
      </c>
      <c r="L560" t="str">
        <f t="shared" si="101"/>
        <v>Fourth level</v>
      </c>
      <c r="M560" t="s">
        <v>164</v>
      </c>
      <c r="N560" t="s">
        <v>165</v>
      </c>
      <c r="O560" t="s">
        <v>87</v>
      </c>
      <c r="P560">
        <v>33</v>
      </c>
      <c r="Q560">
        <f t="shared" si="102"/>
        <v>33</v>
      </c>
      <c r="R560" t="s">
        <v>18</v>
      </c>
      <c r="S560" s="8" t="s">
        <v>18</v>
      </c>
      <c r="T560" s="9">
        <v>100</v>
      </c>
      <c r="U560" s="9">
        <f t="shared" si="103"/>
        <v>100</v>
      </c>
      <c r="V560" s="10">
        <v>100</v>
      </c>
      <c r="W560">
        <v>3.5</v>
      </c>
      <c r="X560" s="11">
        <f t="shared" si="104"/>
        <v>3.5</v>
      </c>
      <c r="Y560" t="s">
        <v>170</v>
      </c>
      <c r="Z560" t="str">
        <f t="shared" si="105"/>
        <v>no</v>
      </c>
      <c r="AA560" t="str">
        <f t="shared" si="106"/>
        <v>no</v>
      </c>
      <c r="AB560" t="str">
        <f t="shared" si="107"/>
        <v>No</v>
      </c>
      <c r="AC560" s="12">
        <v>74</v>
      </c>
      <c r="AD560" s="12">
        <f t="shared" si="108"/>
        <v>74</v>
      </c>
    </row>
    <row r="561" spans="1:30" x14ac:dyDescent="0.3">
      <c r="A561" t="s">
        <v>1211</v>
      </c>
      <c r="B561" t="s">
        <v>1212</v>
      </c>
      <c r="C561" t="s">
        <v>2708</v>
      </c>
      <c r="D561" t="s">
        <v>2220</v>
      </c>
      <c r="E561" t="str">
        <f t="shared" si="97"/>
        <v>Rodney Wilson</v>
      </c>
      <c r="H561" t="s">
        <v>30</v>
      </c>
      <c r="I561" t="str">
        <f t="shared" si="99"/>
        <v>Male</v>
      </c>
      <c r="J561">
        <v>60</v>
      </c>
      <c r="K561">
        <f t="shared" si="100"/>
        <v>60</v>
      </c>
      <c r="L561" t="str">
        <f t="shared" si="101"/>
        <v>Fourth level</v>
      </c>
      <c r="M561" t="s">
        <v>80</v>
      </c>
      <c r="N561" t="s">
        <v>81</v>
      </c>
      <c r="O561" t="s">
        <v>33</v>
      </c>
      <c r="P561">
        <v>39</v>
      </c>
      <c r="Q561">
        <f t="shared" si="102"/>
        <v>39</v>
      </c>
      <c r="R561" t="s">
        <v>58</v>
      </c>
      <c r="S561" s="8" t="s">
        <v>2093</v>
      </c>
      <c r="T561" s="9">
        <v>75</v>
      </c>
      <c r="U561" s="9">
        <f t="shared" si="103"/>
        <v>75</v>
      </c>
      <c r="V561" s="10">
        <v>75</v>
      </c>
      <c r="W561">
        <v>4</v>
      </c>
      <c r="X561" s="11">
        <f t="shared" si="104"/>
        <v>4</v>
      </c>
      <c r="Y561" t="s">
        <v>65</v>
      </c>
      <c r="AA561" t="str">
        <f t="shared" si="106"/>
        <v>Unknown</v>
      </c>
      <c r="AB561" t="str">
        <f t="shared" si="107"/>
        <v>Unknown</v>
      </c>
      <c r="AC561" s="12">
        <v>70</v>
      </c>
      <c r="AD561" s="12">
        <f t="shared" si="108"/>
        <v>70</v>
      </c>
    </row>
    <row r="562" spans="1:30" x14ac:dyDescent="0.3">
      <c r="A562" t="s">
        <v>1213</v>
      </c>
      <c r="B562" t="s">
        <v>1214</v>
      </c>
      <c r="C562" t="s">
        <v>2281</v>
      </c>
      <c r="D562" t="s">
        <v>2709</v>
      </c>
      <c r="E562" t="str">
        <f t="shared" si="97"/>
        <v>Kimberly Fitzgerald</v>
      </c>
      <c r="H562" t="s">
        <v>43</v>
      </c>
      <c r="I562" t="str">
        <f t="shared" si="99"/>
        <v>Female</v>
      </c>
      <c r="J562">
        <v>48</v>
      </c>
      <c r="K562">
        <f t="shared" si="100"/>
        <v>48</v>
      </c>
      <c r="L562" t="str">
        <f t="shared" si="101"/>
        <v>Third level</v>
      </c>
      <c r="M562" t="s">
        <v>149</v>
      </c>
      <c r="N562" t="s">
        <v>150</v>
      </c>
      <c r="O562" t="s">
        <v>33</v>
      </c>
      <c r="P562">
        <v>21</v>
      </c>
      <c r="Q562">
        <f t="shared" si="102"/>
        <v>21</v>
      </c>
      <c r="R562" t="s">
        <v>44</v>
      </c>
      <c r="S562" s="8" t="s">
        <v>44</v>
      </c>
      <c r="T562" s="9">
        <v>30</v>
      </c>
      <c r="U562" s="9">
        <f t="shared" si="103"/>
        <v>30</v>
      </c>
      <c r="V562" s="10">
        <v>30</v>
      </c>
      <c r="W562">
        <v>1.6</v>
      </c>
      <c r="X562" s="11">
        <f t="shared" si="104"/>
        <v>1.6</v>
      </c>
      <c r="Y562" t="s">
        <v>2103</v>
      </c>
      <c r="Z562" t="str">
        <f t="shared" si="105"/>
        <v>Yes</v>
      </c>
      <c r="AA562" t="str">
        <f t="shared" si="106"/>
        <v>Yes</v>
      </c>
      <c r="AB562" t="str">
        <f t="shared" si="107"/>
        <v>Yes</v>
      </c>
      <c r="AC562" s="12">
        <v>67</v>
      </c>
      <c r="AD562" s="12">
        <f t="shared" si="108"/>
        <v>67</v>
      </c>
    </row>
    <row r="563" spans="1:30" x14ac:dyDescent="0.3">
      <c r="A563" t="s">
        <v>1215</v>
      </c>
      <c r="B563" t="s">
        <v>1216</v>
      </c>
      <c r="C563" t="s">
        <v>2106</v>
      </c>
      <c r="D563" t="s">
        <v>2319</v>
      </c>
      <c r="E563" t="str">
        <f t="shared" si="97"/>
        <v>Nicole Davis</v>
      </c>
      <c r="H563" t="s">
        <v>86</v>
      </c>
      <c r="I563" t="str">
        <f t="shared" si="99"/>
        <v>Female</v>
      </c>
      <c r="J563">
        <v>24</v>
      </c>
      <c r="K563">
        <f t="shared" si="100"/>
        <v>24</v>
      </c>
      <c r="L563" t="str">
        <f t="shared" si="101"/>
        <v>First level</v>
      </c>
      <c r="M563" t="s">
        <v>145</v>
      </c>
      <c r="N563" t="s">
        <v>146</v>
      </c>
      <c r="O563" t="s">
        <v>87</v>
      </c>
      <c r="P563">
        <v>5</v>
      </c>
      <c r="Q563">
        <f t="shared" si="102"/>
        <v>5</v>
      </c>
      <c r="R563" t="s">
        <v>76</v>
      </c>
      <c r="S563" s="8" t="s">
        <v>76</v>
      </c>
      <c r="T563" s="9">
        <v>40</v>
      </c>
      <c r="U563" s="9">
        <f t="shared" si="103"/>
        <v>40</v>
      </c>
      <c r="V563" s="10">
        <v>40</v>
      </c>
      <c r="W563">
        <v>3</v>
      </c>
      <c r="X563" s="11">
        <f t="shared" si="104"/>
        <v>3</v>
      </c>
      <c r="Y563" t="s">
        <v>170</v>
      </c>
      <c r="Z563" t="str">
        <f t="shared" si="105"/>
        <v>no</v>
      </c>
      <c r="AA563" t="str">
        <f t="shared" si="106"/>
        <v>no</v>
      </c>
      <c r="AB563" t="str">
        <f t="shared" si="107"/>
        <v>No</v>
      </c>
      <c r="AC563" s="12">
        <v>86</v>
      </c>
      <c r="AD563" s="12">
        <f t="shared" si="108"/>
        <v>86</v>
      </c>
    </row>
    <row r="564" spans="1:30" x14ac:dyDescent="0.3">
      <c r="A564" t="s">
        <v>1217</v>
      </c>
      <c r="B564" t="s">
        <v>1218</v>
      </c>
      <c r="C564" t="s">
        <v>2287</v>
      </c>
      <c r="D564" t="s">
        <v>2710</v>
      </c>
      <c r="E564" t="str">
        <f t="shared" si="97"/>
        <v>Elizabeth Hayes</v>
      </c>
      <c r="H564" t="s">
        <v>22</v>
      </c>
      <c r="I564" t="str">
        <f t="shared" si="99"/>
        <v>Female</v>
      </c>
      <c r="J564">
        <v>33</v>
      </c>
      <c r="K564">
        <f t="shared" si="100"/>
        <v>33</v>
      </c>
      <c r="L564" t="str">
        <f t="shared" si="101"/>
        <v>Second level</v>
      </c>
      <c r="M564" t="s">
        <v>190</v>
      </c>
      <c r="N564" t="s">
        <v>81</v>
      </c>
      <c r="O564" t="s">
        <v>99</v>
      </c>
      <c r="P564">
        <v>11</v>
      </c>
      <c r="Q564">
        <f t="shared" si="102"/>
        <v>11</v>
      </c>
      <c r="R564" t="s">
        <v>34</v>
      </c>
      <c r="S564" s="8" t="s">
        <v>34</v>
      </c>
      <c r="T564" s="9">
        <v>50</v>
      </c>
      <c r="U564" s="9">
        <f t="shared" si="103"/>
        <v>50</v>
      </c>
      <c r="V564" s="10">
        <v>50</v>
      </c>
      <c r="W564">
        <v>5</v>
      </c>
      <c r="X564" s="11">
        <f t="shared" si="104"/>
        <v>5</v>
      </c>
      <c r="Y564" t="s">
        <v>77</v>
      </c>
      <c r="Z564" t="str">
        <f t="shared" si="105"/>
        <v>yes</v>
      </c>
      <c r="AA564" t="str">
        <f t="shared" si="106"/>
        <v>yes</v>
      </c>
      <c r="AB564" t="str">
        <f t="shared" si="107"/>
        <v>Yes</v>
      </c>
      <c r="AC564" s="12">
        <v>69</v>
      </c>
      <c r="AD564" s="12">
        <f t="shared" si="108"/>
        <v>69</v>
      </c>
    </row>
    <row r="565" spans="1:30" x14ac:dyDescent="0.3">
      <c r="A565" t="s">
        <v>1219</v>
      </c>
      <c r="B565" t="s">
        <v>1220</v>
      </c>
      <c r="C565" t="s">
        <v>2711</v>
      </c>
      <c r="D565" t="s">
        <v>2712</v>
      </c>
      <c r="E565" t="str">
        <f t="shared" si="97"/>
        <v>Kathy Faulkner</v>
      </c>
      <c r="H565" t="s">
        <v>22</v>
      </c>
      <c r="I565" t="str">
        <f t="shared" si="99"/>
        <v>Female</v>
      </c>
      <c r="J565">
        <v>20</v>
      </c>
      <c r="K565">
        <f t="shared" si="100"/>
        <v>20</v>
      </c>
      <c r="L565" t="str">
        <f t="shared" si="101"/>
        <v>First level</v>
      </c>
      <c r="M565" t="s">
        <v>70</v>
      </c>
      <c r="N565" t="s">
        <v>71</v>
      </c>
      <c r="O565" t="s">
        <v>33</v>
      </c>
      <c r="P565">
        <v>0</v>
      </c>
      <c r="Q565">
        <f t="shared" si="102"/>
        <v>0</v>
      </c>
      <c r="R565" t="s">
        <v>44</v>
      </c>
      <c r="S565" s="8" t="s">
        <v>44</v>
      </c>
      <c r="T565" s="9">
        <v>30</v>
      </c>
      <c r="U565" s="9">
        <f t="shared" si="103"/>
        <v>30</v>
      </c>
      <c r="V565" s="10">
        <v>30</v>
      </c>
      <c r="W565">
        <v>4.8</v>
      </c>
      <c r="X565" s="11">
        <f t="shared" si="104"/>
        <v>4.8</v>
      </c>
      <c r="Y565" t="s">
        <v>77</v>
      </c>
      <c r="Z565" t="str">
        <f t="shared" si="105"/>
        <v>yes</v>
      </c>
      <c r="AA565" t="str">
        <f t="shared" si="106"/>
        <v>yes</v>
      </c>
      <c r="AB565" t="str">
        <f t="shared" si="107"/>
        <v>Yes</v>
      </c>
      <c r="AC565" s="12">
        <v>68</v>
      </c>
      <c r="AD565" s="12">
        <f t="shared" si="108"/>
        <v>68</v>
      </c>
    </row>
    <row r="566" spans="1:30" x14ac:dyDescent="0.3">
      <c r="A566" t="s">
        <v>1221</v>
      </c>
      <c r="B566" t="s">
        <v>1222</v>
      </c>
      <c r="C566" t="s">
        <v>2366</v>
      </c>
      <c r="D566" t="s">
        <v>2340</v>
      </c>
      <c r="E566" t="str">
        <f t="shared" si="97"/>
        <v>John Gonzales</v>
      </c>
      <c r="H566" t="s">
        <v>69</v>
      </c>
      <c r="I566" t="str">
        <f t="shared" si="99"/>
        <v>Male</v>
      </c>
      <c r="J566">
        <v>59</v>
      </c>
      <c r="K566">
        <f t="shared" si="100"/>
        <v>59</v>
      </c>
      <c r="L566" t="str">
        <f t="shared" si="101"/>
        <v>Fourth level</v>
      </c>
      <c r="M566" t="s">
        <v>75</v>
      </c>
      <c r="N566" t="s">
        <v>24</v>
      </c>
      <c r="O566" t="s">
        <v>99</v>
      </c>
      <c r="P566">
        <v>15</v>
      </c>
      <c r="Q566">
        <f t="shared" si="102"/>
        <v>15</v>
      </c>
      <c r="R566" t="s">
        <v>72</v>
      </c>
      <c r="S566" s="8" t="s">
        <v>72</v>
      </c>
      <c r="T566" s="9">
        <v>50</v>
      </c>
      <c r="U566" s="9">
        <f t="shared" si="103"/>
        <v>50</v>
      </c>
      <c r="V566" s="10">
        <v>50</v>
      </c>
      <c r="X566" s="11">
        <f t="shared" si="104"/>
        <v>2.5890625000000016</v>
      </c>
      <c r="Y566" t="s">
        <v>170</v>
      </c>
      <c r="Z566" t="str">
        <f t="shared" si="105"/>
        <v>no</v>
      </c>
      <c r="AA566" t="str">
        <f t="shared" si="106"/>
        <v>no</v>
      </c>
      <c r="AB566" t="str">
        <f t="shared" si="107"/>
        <v>No</v>
      </c>
      <c r="AC566" s="12"/>
      <c r="AD566" s="12">
        <f t="shared" si="108"/>
        <v>80.013736263736263</v>
      </c>
    </row>
    <row r="567" spans="1:30" x14ac:dyDescent="0.3">
      <c r="A567" t="s">
        <v>1223</v>
      </c>
      <c r="B567" t="s">
        <v>1224</v>
      </c>
      <c r="C567" t="s">
        <v>2409</v>
      </c>
      <c r="D567" t="s">
        <v>2713</v>
      </c>
      <c r="E567" t="str">
        <f t="shared" si="97"/>
        <v>Shannon Luna</v>
      </c>
      <c r="H567" t="s">
        <v>43</v>
      </c>
      <c r="I567" t="str">
        <f t="shared" si="99"/>
        <v>Female</v>
      </c>
      <c r="J567">
        <v>42</v>
      </c>
      <c r="K567">
        <f t="shared" si="100"/>
        <v>42</v>
      </c>
      <c r="L567" t="str">
        <f t="shared" si="101"/>
        <v>Third level</v>
      </c>
      <c r="M567" t="s">
        <v>186</v>
      </c>
      <c r="N567" t="s">
        <v>187</v>
      </c>
      <c r="O567" t="s">
        <v>99</v>
      </c>
      <c r="P567">
        <v>22</v>
      </c>
      <c r="Q567">
        <f t="shared" si="102"/>
        <v>22</v>
      </c>
      <c r="R567" t="s">
        <v>65</v>
      </c>
      <c r="S567" s="8" t="s">
        <v>65</v>
      </c>
      <c r="T567" s="9"/>
      <c r="U567" s="9">
        <f t="shared" si="103"/>
        <v>53.740554156171285</v>
      </c>
      <c r="V567" s="10">
        <v>53.740554156171285</v>
      </c>
      <c r="W567">
        <v>2.9</v>
      </c>
      <c r="X567" s="11">
        <f t="shared" si="104"/>
        <v>2.9</v>
      </c>
      <c r="Y567" t="s">
        <v>2102</v>
      </c>
      <c r="Z567" t="str">
        <f t="shared" si="105"/>
        <v>No</v>
      </c>
      <c r="AA567" t="str">
        <f t="shared" si="106"/>
        <v>No</v>
      </c>
      <c r="AB567" t="str">
        <f t="shared" si="107"/>
        <v>No</v>
      </c>
      <c r="AC567" s="12">
        <v>61</v>
      </c>
      <c r="AD567" s="12">
        <f t="shared" si="108"/>
        <v>61</v>
      </c>
    </row>
    <row r="568" spans="1:30" x14ac:dyDescent="0.3">
      <c r="A568" t="s">
        <v>1225</v>
      </c>
      <c r="B568" t="s">
        <v>1226</v>
      </c>
      <c r="C568" t="s">
        <v>2455</v>
      </c>
      <c r="D568" t="s">
        <v>2234</v>
      </c>
      <c r="E568" t="str">
        <f t="shared" si="97"/>
        <v>Stephanie Burton</v>
      </c>
      <c r="H568" t="s">
        <v>22</v>
      </c>
      <c r="I568" t="str">
        <f t="shared" si="99"/>
        <v>Female</v>
      </c>
      <c r="J568">
        <v>22</v>
      </c>
      <c r="K568">
        <f t="shared" si="100"/>
        <v>22</v>
      </c>
      <c r="L568" t="str">
        <f t="shared" si="101"/>
        <v>First level</v>
      </c>
      <c r="M568" t="s">
        <v>70</v>
      </c>
      <c r="N568" t="s">
        <v>71</v>
      </c>
      <c r="O568" t="s">
        <v>82</v>
      </c>
      <c r="P568">
        <v>3</v>
      </c>
      <c r="Q568">
        <f t="shared" si="102"/>
        <v>3</v>
      </c>
      <c r="R568" t="s">
        <v>65</v>
      </c>
      <c r="S568" s="8" t="s">
        <v>65</v>
      </c>
      <c r="T568" s="9"/>
      <c r="U568" s="9">
        <f t="shared" si="103"/>
        <v>53.75</v>
      </c>
      <c r="V568" s="10">
        <v>53.75</v>
      </c>
      <c r="W568">
        <v>3</v>
      </c>
      <c r="X568" s="11">
        <f t="shared" si="104"/>
        <v>3</v>
      </c>
      <c r="Y568" t="s">
        <v>2103</v>
      </c>
      <c r="Z568" t="str">
        <f t="shared" si="105"/>
        <v>Yes</v>
      </c>
      <c r="AA568" t="str">
        <f t="shared" si="106"/>
        <v>Yes</v>
      </c>
      <c r="AB568" t="str">
        <f t="shared" si="107"/>
        <v>Yes</v>
      </c>
      <c r="AC568" s="12">
        <v>96</v>
      </c>
      <c r="AD568" s="12">
        <f t="shared" si="108"/>
        <v>96</v>
      </c>
    </row>
    <row r="569" spans="1:30" x14ac:dyDescent="0.3">
      <c r="A569" t="s">
        <v>1227</v>
      </c>
      <c r="B569" t="s">
        <v>1228</v>
      </c>
      <c r="C569" t="s">
        <v>2292</v>
      </c>
      <c r="D569" t="s">
        <v>2340</v>
      </c>
      <c r="E569" t="str">
        <f t="shared" si="97"/>
        <v>Kevin Gonzales</v>
      </c>
      <c r="H569" t="s">
        <v>107</v>
      </c>
      <c r="I569" t="str">
        <f t="shared" si="99"/>
        <v>Male</v>
      </c>
      <c r="J569">
        <v>41</v>
      </c>
      <c r="K569">
        <f t="shared" si="100"/>
        <v>41</v>
      </c>
      <c r="L569" t="str">
        <f t="shared" si="101"/>
        <v>Third level</v>
      </c>
      <c r="M569" t="s">
        <v>138</v>
      </c>
      <c r="N569" t="s">
        <v>24</v>
      </c>
      <c r="O569" t="s">
        <v>87</v>
      </c>
      <c r="P569">
        <v>11</v>
      </c>
      <c r="Q569">
        <f t="shared" si="102"/>
        <v>11</v>
      </c>
      <c r="R569" t="s">
        <v>34</v>
      </c>
      <c r="S569" s="8" t="s">
        <v>34</v>
      </c>
      <c r="T569" s="9">
        <v>50</v>
      </c>
      <c r="U569" s="9">
        <f t="shared" si="103"/>
        <v>50</v>
      </c>
      <c r="V569" s="10">
        <v>50</v>
      </c>
      <c r="W569">
        <v>3.5</v>
      </c>
      <c r="X569" s="11">
        <f t="shared" si="104"/>
        <v>3.5</v>
      </c>
      <c r="Y569" t="s">
        <v>2103</v>
      </c>
      <c r="Z569" t="str">
        <f t="shared" si="105"/>
        <v>Yes</v>
      </c>
      <c r="AA569" t="str">
        <f t="shared" si="106"/>
        <v>Yes</v>
      </c>
      <c r="AB569" t="str">
        <f t="shared" si="107"/>
        <v>Yes</v>
      </c>
      <c r="AC569" s="12">
        <v>68</v>
      </c>
      <c r="AD569" s="12">
        <f t="shared" si="108"/>
        <v>68</v>
      </c>
    </row>
    <row r="570" spans="1:30" x14ac:dyDescent="0.3">
      <c r="A570" t="s">
        <v>1229</v>
      </c>
      <c r="B570" t="s">
        <v>1230</v>
      </c>
      <c r="C570" t="s">
        <v>2714</v>
      </c>
      <c r="D570" t="s">
        <v>2715</v>
      </c>
      <c r="E570" t="str">
        <f t="shared" si="97"/>
        <v>Dawn Hardy</v>
      </c>
      <c r="H570" t="s">
        <v>86</v>
      </c>
      <c r="I570" t="str">
        <f t="shared" si="99"/>
        <v>Female</v>
      </c>
      <c r="J570">
        <v>25</v>
      </c>
      <c r="K570">
        <f t="shared" si="100"/>
        <v>25</v>
      </c>
      <c r="L570" t="str">
        <f t="shared" si="101"/>
        <v>First level</v>
      </c>
      <c r="M570" t="s">
        <v>80</v>
      </c>
      <c r="N570" t="s">
        <v>81</v>
      </c>
      <c r="O570" t="s">
        <v>39</v>
      </c>
      <c r="P570">
        <v>5</v>
      </c>
      <c r="Q570">
        <f t="shared" si="102"/>
        <v>5</v>
      </c>
      <c r="R570" t="s">
        <v>76</v>
      </c>
      <c r="S570" s="8" t="s">
        <v>76</v>
      </c>
      <c r="T570" s="9">
        <v>40</v>
      </c>
      <c r="U570" s="9">
        <f t="shared" si="103"/>
        <v>40</v>
      </c>
      <c r="V570" s="10">
        <v>40</v>
      </c>
      <c r="X570" s="11">
        <f t="shared" si="104"/>
        <v>2.5847769028871403</v>
      </c>
      <c r="Y570" t="s">
        <v>2103</v>
      </c>
      <c r="Z570" t="str">
        <f t="shared" si="105"/>
        <v>Yes</v>
      </c>
      <c r="AA570" t="str">
        <f t="shared" si="106"/>
        <v>Yes</v>
      </c>
      <c r="AB570" t="str">
        <f t="shared" si="107"/>
        <v>Yes</v>
      </c>
      <c r="AC570" s="12">
        <v>75</v>
      </c>
      <c r="AD570" s="12">
        <f t="shared" si="108"/>
        <v>75</v>
      </c>
    </row>
    <row r="571" spans="1:30" x14ac:dyDescent="0.3">
      <c r="A571" t="s">
        <v>1231</v>
      </c>
      <c r="B571" t="s">
        <v>1232</v>
      </c>
      <c r="C571" t="s">
        <v>2716</v>
      </c>
      <c r="D571" t="s">
        <v>2614</v>
      </c>
      <c r="E571" t="str">
        <f t="shared" si="97"/>
        <v>Margaret Perkins</v>
      </c>
      <c r="H571" t="s">
        <v>86</v>
      </c>
      <c r="I571" t="str">
        <f t="shared" si="99"/>
        <v>Female</v>
      </c>
      <c r="J571">
        <v>38</v>
      </c>
      <c r="K571">
        <f t="shared" si="100"/>
        <v>38</v>
      </c>
      <c r="L571" t="str">
        <f t="shared" si="101"/>
        <v>Second level</v>
      </c>
      <c r="M571" t="s">
        <v>138</v>
      </c>
      <c r="N571" t="s">
        <v>24</v>
      </c>
      <c r="O571" t="s">
        <v>82</v>
      </c>
      <c r="P571">
        <v>3</v>
      </c>
      <c r="Q571">
        <f t="shared" si="102"/>
        <v>3</v>
      </c>
      <c r="R571" t="s">
        <v>76</v>
      </c>
      <c r="S571" s="8" t="s">
        <v>76</v>
      </c>
      <c r="T571" s="9">
        <v>40</v>
      </c>
      <c r="U571" s="9">
        <f t="shared" si="103"/>
        <v>40</v>
      </c>
      <c r="V571" s="10">
        <v>40</v>
      </c>
      <c r="W571">
        <v>4.7</v>
      </c>
      <c r="X571" s="11">
        <f t="shared" si="104"/>
        <v>4.7</v>
      </c>
      <c r="Y571" t="s">
        <v>2102</v>
      </c>
      <c r="Z571" t="str">
        <f t="shared" si="105"/>
        <v>No</v>
      </c>
      <c r="AA571" t="str">
        <f t="shared" si="106"/>
        <v>No</v>
      </c>
      <c r="AB571" t="str">
        <f t="shared" si="107"/>
        <v>No</v>
      </c>
      <c r="AC571" s="12">
        <v>69</v>
      </c>
      <c r="AD571" s="12">
        <f t="shared" si="108"/>
        <v>69</v>
      </c>
    </row>
    <row r="572" spans="1:30" x14ac:dyDescent="0.3">
      <c r="A572" t="s">
        <v>1233</v>
      </c>
      <c r="B572" t="s">
        <v>1234</v>
      </c>
      <c r="C572" t="s">
        <v>2112</v>
      </c>
      <c r="D572" t="s">
        <v>2717</v>
      </c>
      <c r="E572" t="str">
        <f t="shared" si="97"/>
        <v>Amanda Vargas</v>
      </c>
      <c r="H572" t="s">
        <v>43</v>
      </c>
      <c r="I572" t="str">
        <f t="shared" si="99"/>
        <v>Female</v>
      </c>
      <c r="J572">
        <v>43</v>
      </c>
      <c r="K572">
        <f t="shared" si="100"/>
        <v>43</v>
      </c>
      <c r="L572" t="str">
        <f t="shared" si="101"/>
        <v>Third level</v>
      </c>
      <c r="M572" t="s">
        <v>64</v>
      </c>
      <c r="N572" t="s">
        <v>24</v>
      </c>
      <c r="O572" t="s">
        <v>99</v>
      </c>
      <c r="P572">
        <v>1</v>
      </c>
      <c r="Q572">
        <f t="shared" si="102"/>
        <v>1</v>
      </c>
      <c r="R572" t="s">
        <v>65</v>
      </c>
      <c r="S572" s="8" t="s">
        <v>65</v>
      </c>
      <c r="T572" s="9"/>
      <c r="U572" s="9">
        <f t="shared" si="103"/>
        <v>53.794416243654823</v>
      </c>
      <c r="V572" s="10">
        <v>53.794416243654823</v>
      </c>
      <c r="W572">
        <v>2.9</v>
      </c>
      <c r="X572" s="11">
        <f t="shared" si="104"/>
        <v>2.9</v>
      </c>
      <c r="Y572" t="s">
        <v>170</v>
      </c>
      <c r="Z572" t="str">
        <f t="shared" si="105"/>
        <v>no</v>
      </c>
      <c r="AA572" t="str">
        <f t="shared" si="106"/>
        <v>no</v>
      </c>
      <c r="AB572" t="str">
        <f t="shared" si="107"/>
        <v>No</v>
      </c>
      <c r="AC572" s="12">
        <v>78</v>
      </c>
      <c r="AD572" s="12">
        <f t="shared" si="108"/>
        <v>78</v>
      </c>
    </row>
    <row r="573" spans="1:30" x14ac:dyDescent="0.3">
      <c r="A573" t="s">
        <v>1235</v>
      </c>
      <c r="B573" t="s">
        <v>1236</v>
      </c>
      <c r="C573" t="s">
        <v>2718</v>
      </c>
      <c r="D573" t="s">
        <v>2430</v>
      </c>
      <c r="E573" t="str">
        <f t="shared" si="97"/>
        <v>Tonya Gonzalez</v>
      </c>
      <c r="H573" t="s">
        <v>86</v>
      </c>
      <c r="I573" t="str">
        <f t="shared" si="99"/>
        <v>Female</v>
      </c>
      <c r="J573">
        <v>54</v>
      </c>
      <c r="K573">
        <f t="shared" si="100"/>
        <v>54</v>
      </c>
      <c r="L573" t="str">
        <f t="shared" si="101"/>
        <v>Fourth level</v>
      </c>
      <c r="M573" t="s">
        <v>190</v>
      </c>
      <c r="N573" t="s">
        <v>81</v>
      </c>
      <c r="O573" t="s">
        <v>49</v>
      </c>
      <c r="P573">
        <v>1</v>
      </c>
      <c r="Q573">
        <f t="shared" si="102"/>
        <v>1</v>
      </c>
      <c r="R573" t="s">
        <v>92</v>
      </c>
      <c r="S573" s="8" t="s">
        <v>92</v>
      </c>
      <c r="T573" s="9">
        <v>75</v>
      </c>
      <c r="U573" s="9">
        <f t="shared" si="103"/>
        <v>75</v>
      </c>
      <c r="V573" s="10">
        <v>75</v>
      </c>
      <c r="W573">
        <v>4.4000000000000004</v>
      </c>
      <c r="X573" s="11">
        <f t="shared" si="104"/>
        <v>4.4000000000000004</v>
      </c>
      <c r="Y573" t="s">
        <v>2103</v>
      </c>
      <c r="Z573" t="str">
        <f t="shared" si="105"/>
        <v>Yes</v>
      </c>
      <c r="AA573" t="str">
        <f t="shared" si="106"/>
        <v>Yes</v>
      </c>
      <c r="AB573" t="str">
        <f t="shared" si="107"/>
        <v>Yes</v>
      </c>
      <c r="AC573" s="12"/>
      <c r="AD573" s="12">
        <f t="shared" si="108"/>
        <v>80.106145251396654</v>
      </c>
    </row>
    <row r="574" spans="1:30" x14ac:dyDescent="0.3">
      <c r="A574" t="s">
        <v>1237</v>
      </c>
      <c r="B574" t="s">
        <v>1238</v>
      </c>
      <c r="C574" t="s">
        <v>2287</v>
      </c>
      <c r="D574" t="s">
        <v>2640</v>
      </c>
      <c r="E574" t="str">
        <f t="shared" si="97"/>
        <v>Elizabeth Bowman</v>
      </c>
      <c r="H574" t="s">
        <v>86</v>
      </c>
      <c r="I574" t="str">
        <f t="shared" si="99"/>
        <v>Female</v>
      </c>
      <c r="J574">
        <v>31</v>
      </c>
      <c r="K574">
        <f t="shared" si="100"/>
        <v>31</v>
      </c>
      <c r="L574" t="str">
        <f t="shared" si="101"/>
        <v>Second level</v>
      </c>
      <c r="M574" t="s">
        <v>55</v>
      </c>
      <c r="N574" t="s">
        <v>56</v>
      </c>
      <c r="O574" t="s">
        <v>25</v>
      </c>
      <c r="P574">
        <v>2</v>
      </c>
      <c r="Q574">
        <f t="shared" si="102"/>
        <v>2</v>
      </c>
      <c r="R574" t="s">
        <v>76</v>
      </c>
      <c r="S574" s="8" t="s">
        <v>76</v>
      </c>
      <c r="T574" s="9">
        <v>40</v>
      </c>
      <c r="U574" s="9">
        <f t="shared" si="103"/>
        <v>40</v>
      </c>
      <c r="V574" s="10">
        <v>40</v>
      </c>
      <c r="W574">
        <v>2.2999999999999998</v>
      </c>
      <c r="X574" s="11">
        <f t="shared" si="104"/>
        <v>2.2999999999999998</v>
      </c>
      <c r="Y574" t="s">
        <v>2102</v>
      </c>
      <c r="Z574" t="str">
        <f t="shared" si="105"/>
        <v>No</v>
      </c>
      <c r="AA574" t="str">
        <f t="shared" si="106"/>
        <v>No</v>
      </c>
      <c r="AB574" t="str">
        <f t="shared" si="107"/>
        <v>No</v>
      </c>
      <c r="AC574" s="12">
        <v>98</v>
      </c>
      <c r="AD574" s="12">
        <f t="shared" si="108"/>
        <v>98</v>
      </c>
    </row>
    <row r="575" spans="1:30" x14ac:dyDescent="0.3">
      <c r="A575" t="s">
        <v>1239</v>
      </c>
      <c r="B575" t="s">
        <v>1240</v>
      </c>
      <c r="C575" t="s">
        <v>2719</v>
      </c>
      <c r="D575" t="s">
        <v>2720</v>
      </c>
      <c r="E575" t="str">
        <f t="shared" si="97"/>
        <v>Ariana Pittman</v>
      </c>
      <c r="H575" t="s">
        <v>86</v>
      </c>
      <c r="I575" t="str">
        <f t="shared" si="99"/>
        <v>Female</v>
      </c>
      <c r="J575">
        <v>56</v>
      </c>
      <c r="K575">
        <f t="shared" si="100"/>
        <v>56</v>
      </c>
      <c r="L575" t="str">
        <f t="shared" si="101"/>
        <v>Fourth level</v>
      </c>
      <c r="M575" t="s">
        <v>190</v>
      </c>
      <c r="N575" t="s">
        <v>81</v>
      </c>
      <c r="O575" t="s">
        <v>49</v>
      </c>
      <c r="P575">
        <v>3</v>
      </c>
      <c r="Q575">
        <f t="shared" si="102"/>
        <v>3</v>
      </c>
      <c r="R575" t="s">
        <v>50</v>
      </c>
      <c r="S575" s="8" t="s">
        <v>50</v>
      </c>
      <c r="T575" s="9">
        <v>30</v>
      </c>
      <c r="U575" s="9">
        <f t="shared" si="103"/>
        <v>30</v>
      </c>
      <c r="V575" s="10">
        <v>30</v>
      </c>
      <c r="W575">
        <v>3.7</v>
      </c>
      <c r="X575" s="11">
        <f t="shared" si="104"/>
        <v>3.7</v>
      </c>
      <c r="Y575" t="s">
        <v>65</v>
      </c>
      <c r="AA575" t="str">
        <f t="shared" si="106"/>
        <v>Unknown</v>
      </c>
      <c r="AB575" t="str">
        <f t="shared" si="107"/>
        <v>Unknown</v>
      </c>
      <c r="AC575" s="12">
        <v>83</v>
      </c>
      <c r="AD575" s="12">
        <f t="shared" si="108"/>
        <v>83</v>
      </c>
    </row>
    <row r="576" spans="1:30" x14ac:dyDescent="0.3">
      <c r="A576" t="s">
        <v>1241</v>
      </c>
      <c r="B576" t="s">
        <v>1242</v>
      </c>
      <c r="C576" t="s">
        <v>2661</v>
      </c>
      <c r="D576" t="s">
        <v>2117</v>
      </c>
      <c r="E576" t="str">
        <f t="shared" si="97"/>
        <v>Antonio Johnson</v>
      </c>
      <c r="H576" t="s">
        <v>69</v>
      </c>
      <c r="I576" t="str">
        <f t="shared" si="99"/>
        <v>Male</v>
      </c>
      <c r="J576">
        <v>46</v>
      </c>
      <c r="K576">
        <f t="shared" si="100"/>
        <v>46</v>
      </c>
      <c r="L576" t="str">
        <f t="shared" si="101"/>
        <v>Third level</v>
      </c>
      <c r="M576" t="s">
        <v>190</v>
      </c>
      <c r="N576" t="s">
        <v>81</v>
      </c>
      <c r="O576" t="s">
        <v>33</v>
      </c>
      <c r="P576">
        <v>11</v>
      </c>
      <c r="Q576">
        <f t="shared" si="102"/>
        <v>11</v>
      </c>
      <c r="R576" t="s">
        <v>65</v>
      </c>
      <c r="S576" s="8" t="s">
        <v>65</v>
      </c>
      <c r="T576" s="9"/>
      <c r="U576" s="9">
        <f t="shared" si="103"/>
        <v>53.810741687979537</v>
      </c>
      <c r="V576" s="10">
        <v>53.810741687979537</v>
      </c>
      <c r="W576">
        <v>1.8</v>
      </c>
      <c r="X576" s="11">
        <f t="shared" si="104"/>
        <v>1.8</v>
      </c>
      <c r="Y576" t="s">
        <v>2103</v>
      </c>
      <c r="Z576" t="str">
        <f t="shared" si="105"/>
        <v>Yes</v>
      </c>
      <c r="AA576" t="str">
        <f t="shared" si="106"/>
        <v>Yes</v>
      </c>
      <c r="AB576" t="str">
        <f t="shared" si="107"/>
        <v>Yes</v>
      </c>
      <c r="AC576" s="12">
        <v>91</v>
      </c>
      <c r="AD576" s="12">
        <f t="shared" si="108"/>
        <v>91</v>
      </c>
    </row>
    <row r="577" spans="1:30" x14ac:dyDescent="0.3">
      <c r="A577" t="s">
        <v>1243</v>
      </c>
      <c r="B577" t="s">
        <v>1244</v>
      </c>
      <c r="C577" t="s">
        <v>2384</v>
      </c>
      <c r="D577" t="s">
        <v>2550</v>
      </c>
      <c r="E577" t="str">
        <f t="shared" si="97"/>
        <v>Justin Lang</v>
      </c>
      <c r="H577" t="s">
        <v>107</v>
      </c>
      <c r="I577" t="str">
        <f t="shared" si="99"/>
        <v>Male</v>
      </c>
      <c r="J577">
        <v>60</v>
      </c>
      <c r="K577">
        <f t="shared" si="100"/>
        <v>60</v>
      </c>
      <c r="L577" t="str">
        <f t="shared" si="101"/>
        <v>Fourth level</v>
      </c>
      <c r="M577" t="s">
        <v>149</v>
      </c>
      <c r="N577" t="s">
        <v>150</v>
      </c>
      <c r="O577" t="s">
        <v>49</v>
      </c>
      <c r="Q577">
        <f t="shared" si="102"/>
        <v>19</v>
      </c>
      <c r="R577" t="s">
        <v>18</v>
      </c>
      <c r="S577" s="8" t="s">
        <v>18</v>
      </c>
      <c r="T577" s="9">
        <v>100</v>
      </c>
      <c r="U577" s="9">
        <f t="shared" si="103"/>
        <v>100</v>
      </c>
      <c r="V577" s="10">
        <v>100</v>
      </c>
      <c r="W577">
        <v>0</v>
      </c>
      <c r="X577" s="11">
        <f t="shared" si="104"/>
        <v>0</v>
      </c>
      <c r="Y577" t="s">
        <v>2103</v>
      </c>
      <c r="Z577" t="str">
        <f t="shared" si="105"/>
        <v>Yes</v>
      </c>
      <c r="AA577" t="str">
        <f t="shared" si="106"/>
        <v>Yes</v>
      </c>
      <c r="AB577" t="str">
        <f t="shared" si="107"/>
        <v>Yes</v>
      </c>
      <c r="AC577" s="12">
        <v>96</v>
      </c>
      <c r="AD577" s="12">
        <f t="shared" si="108"/>
        <v>96</v>
      </c>
    </row>
    <row r="578" spans="1:30" x14ac:dyDescent="0.3">
      <c r="A578" t="s">
        <v>1245</v>
      </c>
      <c r="B578" t="s">
        <v>1246</v>
      </c>
      <c r="C578" t="s">
        <v>2721</v>
      </c>
      <c r="D578" t="s">
        <v>2172</v>
      </c>
      <c r="E578" t="str">
        <f t="shared" si="97"/>
        <v>Kelli Ramirez</v>
      </c>
      <c r="H578" t="s">
        <v>86</v>
      </c>
      <c r="I578" t="str">
        <f t="shared" si="99"/>
        <v>Female</v>
      </c>
      <c r="J578">
        <v>28</v>
      </c>
      <c r="K578">
        <f t="shared" si="100"/>
        <v>28</v>
      </c>
      <c r="L578" t="str">
        <f t="shared" si="101"/>
        <v>First level</v>
      </c>
      <c r="M578" t="s">
        <v>122</v>
      </c>
      <c r="N578" t="s">
        <v>123</v>
      </c>
      <c r="O578" t="s">
        <v>33</v>
      </c>
      <c r="P578">
        <v>2</v>
      </c>
      <c r="Q578">
        <f t="shared" si="102"/>
        <v>2</v>
      </c>
      <c r="R578" t="s">
        <v>108</v>
      </c>
      <c r="S578" s="8" t="s">
        <v>2095</v>
      </c>
      <c r="T578" s="9">
        <v>50</v>
      </c>
      <c r="U578" s="9">
        <f t="shared" si="103"/>
        <v>50</v>
      </c>
      <c r="V578" s="10">
        <v>50</v>
      </c>
      <c r="X578" s="11">
        <f t="shared" si="104"/>
        <v>2.5802139037433163</v>
      </c>
      <c r="Y578" t="s">
        <v>2103</v>
      </c>
      <c r="Z578" t="str">
        <f t="shared" si="105"/>
        <v>Yes</v>
      </c>
      <c r="AA578" t="str">
        <f t="shared" si="106"/>
        <v>Yes</v>
      </c>
      <c r="AB578" t="str">
        <f t="shared" si="107"/>
        <v>Yes</v>
      </c>
      <c r="AC578" s="12">
        <v>85</v>
      </c>
      <c r="AD578" s="12">
        <f t="shared" si="108"/>
        <v>85</v>
      </c>
    </row>
    <row r="579" spans="1:30" x14ac:dyDescent="0.3">
      <c r="A579" t="s">
        <v>1247</v>
      </c>
      <c r="B579" t="s">
        <v>1248</v>
      </c>
      <c r="C579" t="s">
        <v>2544</v>
      </c>
      <c r="D579" t="s">
        <v>2295</v>
      </c>
      <c r="E579" t="str">
        <f t="shared" ref="E579:E642" si="109">CONCATENATE(C579," ",D579)</f>
        <v>Deborah Torres</v>
      </c>
      <c r="H579" t="s">
        <v>86</v>
      </c>
      <c r="I579" t="str">
        <f t="shared" ref="I579:I642" si="110">PROPER(H579)</f>
        <v>Female</v>
      </c>
      <c r="J579">
        <v>43</v>
      </c>
      <c r="K579">
        <f t="shared" ref="K579:K642" si="111">IF(ISBLANK(J579),ROUND(AVERAGEIF($I$2:$I$1001,I579,$J$2:$J$1001),0),J579)</f>
        <v>43</v>
      </c>
      <c r="L579" t="str">
        <f t="shared" ref="L579:L642" si="112">IF(AND(K579&gt;=20,K579&lt;=30),"First level",IF(AND(K579&gt;30,K579&lt;=40),"Second level",IF(AND(K579&gt;40,K579&lt;=50),"Third level",IF(H586&gt;50,"Fourth level"))))</f>
        <v>Third level</v>
      </c>
      <c r="M579" t="s">
        <v>55</v>
      </c>
      <c r="N579" t="s">
        <v>56</v>
      </c>
      <c r="O579" t="s">
        <v>39</v>
      </c>
      <c r="P579">
        <v>20</v>
      </c>
      <c r="Q579">
        <f t="shared" ref="Q579:Q642" si="113">IF(ISBLANK(P579),ROUND(AVERAGEIF($L$2:$L$1001,L579,$P$2:$P$1001),0),P579)</f>
        <v>20</v>
      </c>
      <c r="R579" t="s">
        <v>119</v>
      </c>
      <c r="S579" s="8" t="s">
        <v>2096</v>
      </c>
      <c r="T579" s="9">
        <v>30</v>
      </c>
      <c r="U579" s="9">
        <f t="shared" ref="U579:U642" si="114">IF(ISBLANK(T579),AVERAGE(T578:T1578),T579)</f>
        <v>30</v>
      </c>
      <c r="V579" s="10">
        <v>30</v>
      </c>
      <c r="W579">
        <v>2.7</v>
      </c>
      <c r="X579" s="11">
        <f t="shared" ref="X579:X642" si="115">IF(ISBLANK(W579),AVERAGE(W579:W1578),W579)</f>
        <v>2.7</v>
      </c>
      <c r="Y579" t="s">
        <v>2102</v>
      </c>
      <c r="Z579" t="str">
        <f t="shared" ref="Z579:Z642" si="116">CLEAN(Y579)</f>
        <v>No</v>
      </c>
      <c r="AA579" t="str">
        <f t="shared" ref="AA579:AA642" si="117">IF(ISBLANK(Z579),"Unknown",Z579)</f>
        <v>No</v>
      </c>
      <c r="AB579" t="str">
        <f t="shared" ref="AB579:AB642" si="118">PROPER(AA579)</f>
        <v>No</v>
      </c>
      <c r="AC579" s="12">
        <v>72</v>
      </c>
      <c r="AD579" s="12">
        <f t="shared" ref="AD579:AD642" si="119">IF(ISBLANK(AC579),AVERAGE(AC579:AC1578),AC579)</f>
        <v>72</v>
      </c>
    </row>
    <row r="580" spans="1:30" x14ac:dyDescent="0.3">
      <c r="A580" t="s">
        <v>1249</v>
      </c>
      <c r="B580" t="s">
        <v>1250</v>
      </c>
      <c r="C580" t="s">
        <v>2380</v>
      </c>
      <c r="D580" t="s">
        <v>2722</v>
      </c>
      <c r="E580" t="str">
        <f t="shared" si="109"/>
        <v>Joseph Horn</v>
      </c>
      <c r="H580" t="s">
        <v>69</v>
      </c>
      <c r="I580" t="str">
        <f t="shared" si="110"/>
        <v>Male</v>
      </c>
      <c r="J580">
        <v>41</v>
      </c>
      <c r="K580">
        <f t="shared" si="111"/>
        <v>41</v>
      </c>
      <c r="L580" t="str">
        <f t="shared" si="112"/>
        <v>Third level</v>
      </c>
      <c r="M580" t="s">
        <v>145</v>
      </c>
      <c r="N580" t="s">
        <v>146</v>
      </c>
      <c r="O580" t="s">
        <v>39</v>
      </c>
      <c r="P580">
        <v>11</v>
      </c>
      <c r="Q580">
        <f t="shared" si="113"/>
        <v>11</v>
      </c>
      <c r="R580" t="s">
        <v>131</v>
      </c>
      <c r="S580" s="8" t="s">
        <v>131</v>
      </c>
      <c r="T580" s="9">
        <v>20</v>
      </c>
      <c r="U580" s="9">
        <f t="shared" si="114"/>
        <v>20</v>
      </c>
      <c r="V580" s="10">
        <v>20</v>
      </c>
      <c r="W580">
        <v>4.7</v>
      </c>
      <c r="X580" s="11">
        <f t="shared" si="115"/>
        <v>4.7</v>
      </c>
      <c r="Y580" t="s">
        <v>65</v>
      </c>
      <c r="AA580" t="str">
        <f t="shared" si="117"/>
        <v>Unknown</v>
      </c>
      <c r="AB580" t="str">
        <f t="shared" si="118"/>
        <v>Unknown</v>
      </c>
      <c r="AC580" s="12">
        <v>69</v>
      </c>
      <c r="AD580" s="12">
        <f t="shared" si="119"/>
        <v>69</v>
      </c>
    </row>
    <row r="581" spans="1:30" x14ac:dyDescent="0.3">
      <c r="A581" t="s">
        <v>1251</v>
      </c>
      <c r="B581" t="s">
        <v>1252</v>
      </c>
      <c r="C581" t="s">
        <v>2308</v>
      </c>
      <c r="D581" t="s">
        <v>2538</v>
      </c>
      <c r="E581" t="str">
        <f t="shared" si="109"/>
        <v>Christopher Robinson</v>
      </c>
      <c r="H581" t="s">
        <v>30</v>
      </c>
      <c r="I581" t="str">
        <f t="shared" si="110"/>
        <v>Male</v>
      </c>
      <c r="J581">
        <v>41</v>
      </c>
      <c r="K581">
        <f t="shared" si="111"/>
        <v>41</v>
      </c>
      <c r="L581" t="str">
        <f t="shared" si="112"/>
        <v>Third level</v>
      </c>
      <c r="M581" t="s">
        <v>75</v>
      </c>
      <c r="N581" t="s">
        <v>24</v>
      </c>
      <c r="O581" t="s">
        <v>99</v>
      </c>
      <c r="P581">
        <v>0</v>
      </c>
      <c r="Q581">
        <f t="shared" si="113"/>
        <v>0</v>
      </c>
      <c r="R581" t="s">
        <v>131</v>
      </c>
      <c r="S581" s="8" t="s">
        <v>131</v>
      </c>
      <c r="T581" s="9">
        <v>20</v>
      </c>
      <c r="U581" s="9">
        <f t="shared" si="114"/>
        <v>20</v>
      </c>
      <c r="V581" s="10">
        <v>20</v>
      </c>
      <c r="W581">
        <v>3.1</v>
      </c>
      <c r="X581" s="11">
        <f t="shared" si="115"/>
        <v>3.1</v>
      </c>
      <c r="Y581" t="s">
        <v>2102</v>
      </c>
      <c r="Z581" t="str">
        <f t="shared" si="116"/>
        <v>No</v>
      </c>
      <c r="AA581" t="str">
        <f t="shared" si="117"/>
        <v>No</v>
      </c>
      <c r="AB581" t="str">
        <f t="shared" si="118"/>
        <v>No</v>
      </c>
      <c r="AC581" s="12">
        <v>90</v>
      </c>
      <c r="AD581" s="12">
        <f t="shared" si="119"/>
        <v>90</v>
      </c>
    </row>
    <row r="582" spans="1:30" x14ac:dyDescent="0.3">
      <c r="A582" t="s">
        <v>1253</v>
      </c>
      <c r="B582" t="s">
        <v>1254</v>
      </c>
      <c r="C582" t="s">
        <v>2723</v>
      </c>
      <c r="D582" t="s">
        <v>2724</v>
      </c>
      <c r="E582" t="str">
        <f t="shared" si="109"/>
        <v>Sandra Mccormick</v>
      </c>
      <c r="H582" t="s">
        <v>86</v>
      </c>
      <c r="I582" t="str">
        <f t="shared" si="110"/>
        <v>Female</v>
      </c>
      <c r="J582">
        <v>40</v>
      </c>
      <c r="K582">
        <f t="shared" si="111"/>
        <v>40</v>
      </c>
      <c r="L582" t="str">
        <f t="shared" si="112"/>
        <v>Second level</v>
      </c>
      <c r="M582" t="s">
        <v>75</v>
      </c>
      <c r="N582" t="s">
        <v>24</v>
      </c>
      <c r="O582" t="s">
        <v>25</v>
      </c>
      <c r="P582">
        <v>20</v>
      </c>
      <c r="Q582">
        <f t="shared" si="113"/>
        <v>20</v>
      </c>
      <c r="R582" t="s">
        <v>151</v>
      </c>
      <c r="S582" s="8" t="s">
        <v>151</v>
      </c>
      <c r="T582" s="9">
        <v>20</v>
      </c>
      <c r="U582" s="9">
        <f t="shared" si="114"/>
        <v>20</v>
      </c>
      <c r="V582" s="10">
        <v>20</v>
      </c>
      <c r="W582">
        <v>2.2999999999999998</v>
      </c>
      <c r="X582" s="11">
        <f t="shared" si="115"/>
        <v>2.2999999999999998</v>
      </c>
      <c r="Y582" t="s">
        <v>2102</v>
      </c>
      <c r="Z582" t="str">
        <f t="shared" si="116"/>
        <v>No</v>
      </c>
      <c r="AA582" t="str">
        <f t="shared" si="117"/>
        <v>No</v>
      </c>
      <c r="AB582" t="str">
        <f t="shared" si="118"/>
        <v>No</v>
      </c>
      <c r="AC582" s="12">
        <v>92</v>
      </c>
      <c r="AD582" s="12">
        <f t="shared" si="119"/>
        <v>92</v>
      </c>
    </row>
    <row r="583" spans="1:30" x14ac:dyDescent="0.3">
      <c r="A583" t="s">
        <v>1255</v>
      </c>
      <c r="B583" t="s">
        <v>1256</v>
      </c>
      <c r="C583" t="s">
        <v>2166</v>
      </c>
      <c r="D583" t="s">
        <v>2282</v>
      </c>
      <c r="E583" t="str">
        <f t="shared" si="109"/>
        <v>Michael Holland</v>
      </c>
      <c r="H583" t="s">
        <v>107</v>
      </c>
      <c r="I583" t="str">
        <f t="shared" si="110"/>
        <v>Male</v>
      </c>
      <c r="J583">
        <v>45</v>
      </c>
      <c r="K583">
        <f t="shared" si="111"/>
        <v>45</v>
      </c>
      <c r="L583" t="str">
        <f t="shared" si="112"/>
        <v>Third level</v>
      </c>
      <c r="M583" t="s">
        <v>31</v>
      </c>
      <c r="N583" t="s">
        <v>32</v>
      </c>
      <c r="O583" t="s">
        <v>99</v>
      </c>
      <c r="P583">
        <v>3</v>
      </c>
      <c r="Q583">
        <f t="shared" si="113"/>
        <v>3</v>
      </c>
      <c r="R583" t="s">
        <v>325</v>
      </c>
      <c r="S583" s="8" t="s">
        <v>2097</v>
      </c>
      <c r="T583" s="9">
        <v>20</v>
      </c>
      <c r="U583" s="9">
        <f t="shared" si="114"/>
        <v>20</v>
      </c>
      <c r="V583" s="10">
        <v>20</v>
      </c>
      <c r="W583">
        <v>1.3</v>
      </c>
      <c r="X583" s="11">
        <f t="shared" si="115"/>
        <v>1.3</v>
      </c>
      <c r="Y583" t="s">
        <v>2103</v>
      </c>
      <c r="Z583" t="str">
        <f t="shared" si="116"/>
        <v>Yes</v>
      </c>
      <c r="AA583" t="str">
        <f t="shared" si="117"/>
        <v>Yes</v>
      </c>
      <c r="AB583" t="str">
        <f t="shared" si="118"/>
        <v>Yes</v>
      </c>
      <c r="AC583" s="12">
        <v>91</v>
      </c>
      <c r="AD583" s="12">
        <f t="shared" si="119"/>
        <v>91</v>
      </c>
    </row>
    <row r="584" spans="1:30" x14ac:dyDescent="0.3">
      <c r="A584" t="s">
        <v>1257</v>
      </c>
      <c r="B584" t="s">
        <v>1258</v>
      </c>
      <c r="C584" t="s">
        <v>2681</v>
      </c>
      <c r="D584" t="s">
        <v>2725</v>
      </c>
      <c r="E584" t="str">
        <f t="shared" si="109"/>
        <v>Kenneth Stevenson</v>
      </c>
      <c r="H584" t="s">
        <v>69</v>
      </c>
      <c r="I584" t="str">
        <f t="shared" si="110"/>
        <v>Male</v>
      </c>
      <c r="J584">
        <v>47</v>
      </c>
      <c r="K584">
        <f t="shared" si="111"/>
        <v>47</v>
      </c>
      <c r="L584" t="str">
        <f t="shared" si="112"/>
        <v>Third level</v>
      </c>
      <c r="M584" t="s">
        <v>149</v>
      </c>
      <c r="N584" t="s">
        <v>150</v>
      </c>
      <c r="O584" t="s">
        <v>99</v>
      </c>
      <c r="P584">
        <v>28</v>
      </c>
      <c r="Q584">
        <f t="shared" si="113"/>
        <v>28</v>
      </c>
      <c r="R584" t="s">
        <v>108</v>
      </c>
      <c r="S584" s="8" t="s">
        <v>2095</v>
      </c>
      <c r="T584" s="9">
        <v>50</v>
      </c>
      <c r="U584" s="9">
        <f t="shared" si="114"/>
        <v>50</v>
      </c>
      <c r="V584" s="10">
        <v>50</v>
      </c>
      <c r="W584">
        <v>2.9</v>
      </c>
      <c r="X584" s="11">
        <f t="shared" si="115"/>
        <v>2.9</v>
      </c>
      <c r="Y584" t="s">
        <v>2103</v>
      </c>
      <c r="Z584" t="str">
        <f t="shared" si="116"/>
        <v>Yes</v>
      </c>
      <c r="AA584" t="str">
        <f t="shared" si="117"/>
        <v>Yes</v>
      </c>
      <c r="AB584" t="str">
        <f t="shared" si="118"/>
        <v>Yes</v>
      </c>
      <c r="AC584" s="12"/>
      <c r="AD584" s="12">
        <f t="shared" si="119"/>
        <v>79.916666666666671</v>
      </c>
    </row>
    <row r="585" spans="1:30" x14ac:dyDescent="0.3">
      <c r="A585" t="s">
        <v>1259</v>
      </c>
      <c r="B585" t="s">
        <v>1260</v>
      </c>
      <c r="C585" t="s">
        <v>2163</v>
      </c>
      <c r="D585" t="s">
        <v>2726</v>
      </c>
      <c r="E585" t="str">
        <f t="shared" si="109"/>
        <v>Timothy Bennett</v>
      </c>
      <c r="H585" t="s">
        <v>107</v>
      </c>
      <c r="I585" t="str">
        <f t="shared" si="110"/>
        <v>Male</v>
      </c>
      <c r="J585">
        <v>34</v>
      </c>
      <c r="K585">
        <f t="shared" si="111"/>
        <v>34</v>
      </c>
      <c r="L585" t="str">
        <f t="shared" si="112"/>
        <v>Second level</v>
      </c>
      <c r="M585" t="s">
        <v>103</v>
      </c>
      <c r="N585" t="s">
        <v>104</v>
      </c>
      <c r="O585" t="s">
        <v>57</v>
      </c>
      <c r="P585">
        <v>0</v>
      </c>
      <c r="Q585">
        <f t="shared" si="113"/>
        <v>0</v>
      </c>
      <c r="R585" t="s">
        <v>76</v>
      </c>
      <c r="S585" s="8" t="s">
        <v>76</v>
      </c>
      <c r="T585" s="9">
        <v>40</v>
      </c>
      <c r="U585" s="9">
        <f t="shared" si="114"/>
        <v>40</v>
      </c>
      <c r="V585" s="10">
        <v>40</v>
      </c>
      <c r="W585">
        <v>3.3</v>
      </c>
      <c r="X585" s="11">
        <f t="shared" si="115"/>
        <v>3.3</v>
      </c>
      <c r="Y585" t="s">
        <v>2102</v>
      </c>
      <c r="Z585" t="str">
        <f t="shared" si="116"/>
        <v>No</v>
      </c>
      <c r="AA585" t="str">
        <f t="shared" si="117"/>
        <v>No</v>
      </c>
      <c r="AB585" t="str">
        <f t="shared" si="118"/>
        <v>No</v>
      </c>
      <c r="AC585" s="12">
        <v>98</v>
      </c>
      <c r="AD585" s="12">
        <f t="shared" si="119"/>
        <v>98</v>
      </c>
    </row>
    <row r="586" spans="1:30" x14ac:dyDescent="0.3">
      <c r="A586" t="s">
        <v>1261</v>
      </c>
      <c r="B586" t="s">
        <v>1262</v>
      </c>
      <c r="C586" t="s">
        <v>2361</v>
      </c>
      <c r="D586" t="s">
        <v>2127</v>
      </c>
      <c r="E586" t="str">
        <f t="shared" si="109"/>
        <v>Gregory Randall</v>
      </c>
      <c r="H586" t="s">
        <v>107</v>
      </c>
      <c r="I586" t="str">
        <f t="shared" si="110"/>
        <v>Male</v>
      </c>
      <c r="J586">
        <v>47</v>
      </c>
      <c r="K586">
        <f t="shared" si="111"/>
        <v>47</v>
      </c>
      <c r="L586" t="str">
        <f t="shared" si="112"/>
        <v>Third level</v>
      </c>
      <c r="M586" t="s">
        <v>64</v>
      </c>
      <c r="N586" t="s">
        <v>24</v>
      </c>
      <c r="O586" t="s">
        <v>82</v>
      </c>
      <c r="P586">
        <v>4</v>
      </c>
      <c r="Q586">
        <f t="shared" si="113"/>
        <v>4</v>
      </c>
      <c r="R586" t="s">
        <v>325</v>
      </c>
      <c r="S586" s="8" t="s">
        <v>2097</v>
      </c>
      <c r="T586" s="9">
        <v>20</v>
      </c>
      <c r="U586" s="9">
        <f t="shared" si="114"/>
        <v>20</v>
      </c>
      <c r="V586" s="10">
        <v>20</v>
      </c>
      <c r="W586">
        <v>4.2</v>
      </c>
      <c r="X586" s="11">
        <f t="shared" si="115"/>
        <v>4.2</v>
      </c>
      <c r="Y586" t="s">
        <v>65</v>
      </c>
      <c r="AA586" t="str">
        <f t="shared" si="117"/>
        <v>Unknown</v>
      </c>
      <c r="AB586" t="str">
        <f t="shared" si="118"/>
        <v>Unknown</v>
      </c>
      <c r="AC586" s="12">
        <v>82</v>
      </c>
      <c r="AD586" s="12">
        <f t="shared" si="119"/>
        <v>82</v>
      </c>
    </row>
    <row r="587" spans="1:30" x14ac:dyDescent="0.3">
      <c r="A587" t="s">
        <v>1263</v>
      </c>
      <c r="B587" t="s">
        <v>1264</v>
      </c>
      <c r="C587" t="s">
        <v>2330</v>
      </c>
      <c r="D587" t="s">
        <v>2405</v>
      </c>
      <c r="E587" t="str">
        <f t="shared" si="109"/>
        <v>Charles Martinez</v>
      </c>
      <c r="H587" t="s">
        <v>107</v>
      </c>
      <c r="I587" t="str">
        <f t="shared" si="110"/>
        <v>Male</v>
      </c>
      <c r="J587">
        <v>32</v>
      </c>
      <c r="K587">
        <f t="shared" si="111"/>
        <v>32</v>
      </c>
      <c r="L587" t="str">
        <f t="shared" si="112"/>
        <v>Second level</v>
      </c>
      <c r="M587" t="s">
        <v>190</v>
      </c>
      <c r="N587" t="s">
        <v>81</v>
      </c>
      <c r="O587" t="s">
        <v>82</v>
      </c>
      <c r="P587">
        <v>9</v>
      </c>
      <c r="Q587">
        <f t="shared" si="113"/>
        <v>9</v>
      </c>
      <c r="R587" t="s">
        <v>61</v>
      </c>
      <c r="S587" s="8" t="s">
        <v>2094</v>
      </c>
      <c r="T587" s="9">
        <v>40</v>
      </c>
      <c r="U587" s="9">
        <f t="shared" si="114"/>
        <v>40</v>
      </c>
      <c r="V587" s="10">
        <v>40</v>
      </c>
      <c r="W587">
        <v>1.3</v>
      </c>
      <c r="X587" s="11">
        <f t="shared" si="115"/>
        <v>1.3</v>
      </c>
      <c r="Y587" t="s">
        <v>2103</v>
      </c>
      <c r="Z587" t="str">
        <f t="shared" si="116"/>
        <v>Yes</v>
      </c>
      <c r="AA587" t="str">
        <f t="shared" si="117"/>
        <v>Yes</v>
      </c>
      <c r="AB587" t="str">
        <f t="shared" si="118"/>
        <v>Yes</v>
      </c>
      <c r="AC587" s="12">
        <v>83</v>
      </c>
      <c r="AD587" s="12">
        <f t="shared" si="119"/>
        <v>83</v>
      </c>
    </row>
    <row r="588" spans="1:30" x14ac:dyDescent="0.3">
      <c r="A588" t="s">
        <v>1265</v>
      </c>
      <c r="B588" t="s">
        <v>1266</v>
      </c>
      <c r="C588" t="s">
        <v>2143</v>
      </c>
      <c r="D588" t="s">
        <v>2616</v>
      </c>
      <c r="E588" t="str">
        <f t="shared" si="109"/>
        <v>James Hall</v>
      </c>
      <c r="H588" t="s">
        <v>107</v>
      </c>
      <c r="I588" t="str">
        <f t="shared" si="110"/>
        <v>Male</v>
      </c>
      <c r="J588">
        <v>28</v>
      </c>
      <c r="K588">
        <f t="shared" si="111"/>
        <v>28</v>
      </c>
      <c r="L588" t="str">
        <f t="shared" si="112"/>
        <v>First level</v>
      </c>
      <c r="M588" t="s">
        <v>75</v>
      </c>
      <c r="N588" t="s">
        <v>24</v>
      </c>
      <c r="O588" t="s">
        <v>25</v>
      </c>
      <c r="P588">
        <v>2</v>
      </c>
      <c r="Q588">
        <f t="shared" si="113"/>
        <v>2</v>
      </c>
      <c r="R588" t="s">
        <v>240</v>
      </c>
      <c r="S588" s="8" t="s">
        <v>18</v>
      </c>
      <c r="T588" s="9">
        <v>100</v>
      </c>
      <c r="U588" s="9">
        <f t="shared" si="114"/>
        <v>100</v>
      </c>
      <c r="V588" s="10">
        <v>100</v>
      </c>
      <c r="W588">
        <v>4.4000000000000004</v>
      </c>
      <c r="X588" s="11">
        <f t="shared" si="115"/>
        <v>4.4000000000000004</v>
      </c>
      <c r="Y588" t="s">
        <v>2103</v>
      </c>
      <c r="Z588" t="str">
        <f t="shared" si="116"/>
        <v>Yes</v>
      </c>
      <c r="AA588" t="str">
        <f t="shared" si="117"/>
        <v>Yes</v>
      </c>
      <c r="AB588" t="str">
        <f t="shared" si="118"/>
        <v>Yes</v>
      </c>
      <c r="AC588" s="12"/>
      <c r="AD588" s="12">
        <f t="shared" si="119"/>
        <v>79.849275362318835</v>
      </c>
    </row>
    <row r="589" spans="1:30" x14ac:dyDescent="0.3">
      <c r="A589" t="s">
        <v>1267</v>
      </c>
      <c r="B589" t="s">
        <v>1268</v>
      </c>
      <c r="C589" t="s">
        <v>2166</v>
      </c>
      <c r="D589" t="s">
        <v>2109</v>
      </c>
      <c r="E589" t="str">
        <f t="shared" si="109"/>
        <v>Michael Garcia</v>
      </c>
      <c r="H589" t="s">
        <v>107</v>
      </c>
      <c r="I589" t="str">
        <f t="shared" si="110"/>
        <v>Male</v>
      </c>
      <c r="J589">
        <v>32</v>
      </c>
      <c r="K589">
        <f t="shared" si="111"/>
        <v>32</v>
      </c>
      <c r="L589" t="str">
        <f t="shared" si="112"/>
        <v>Second level</v>
      </c>
      <c r="M589" t="s">
        <v>23</v>
      </c>
      <c r="N589" t="s">
        <v>24</v>
      </c>
      <c r="O589" t="s">
        <v>99</v>
      </c>
      <c r="P589">
        <v>1</v>
      </c>
      <c r="Q589">
        <f t="shared" si="113"/>
        <v>1</v>
      </c>
      <c r="R589" t="s">
        <v>18</v>
      </c>
      <c r="S589" s="8" t="s">
        <v>18</v>
      </c>
      <c r="T589" s="9">
        <v>100</v>
      </c>
      <c r="U589" s="9">
        <f t="shared" si="114"/>
        <v>100</v>
      </c>
      <c r="V589" s="10">
        <v>100</v>
      </c>
      <c r="W589">
        <v>3.4</v>
      </c>
      <c r="X589" s="11">
        <f t="shared" si="115"/>
        <v>3.4</v>
      </c>
      <c r="Y589" t="s">
        <v>2103</v>
      </c>
      <c r="Z589" t="str">
        <f t="shared" si="116"/>
        <v>Yes</v>
      </c>
      <c r="AA589" t="str">
        <f t="shared" si="117"/>
        <v>Yes</v>
      </c>
      <c r="AB589" t="str">
        <f t="shared" si="118"/>
        <v>Yes</v>
      </c>
      <c r="AC589" s="12"/>
      <c r="AD589" s="12">
        <f t="shared" si="119"/>
        <v>79.849275362318835</v>
      </c>
    </row>
    <row r="590" spans="1:30" x14ac:dyDescent="0.3">
      <c r="A590" t="s">
        <v>1269</v>
      </c>
      <c r="B590" t="s">
        <v>1270</v>
      </c>
      <c r="C590" t="s">
        <v>2727</v>
      </c>
      <c r="D590" t="s">
        <v>2728</v>
      </c>
      <c r="E590" t="str">
        <f t="shared" si="109"/>
        <v>Michele Duran</v>
      </c>
      <c r="H590" t="s">
        <v>86</v>
      </c>
      <c r="I590" t="str">
        <f t="shared" si="110"/>
        <v>Female</v>
      </c>
      <c r="J590">
        <v>49</v>
      </c>
      <c r="K590">
        <f t="shared" si="111"/>
        <v>49</v>
      </c>
      <c r="L590" t="str">
        <f t="shared" si="112"/>
        <v>Third level</v>
      </c>
      <c r="M590" t="s">
        <v>47</v>
      </c>
      <c r="N590" t="s">
        <v>48</v>
      </c>
      <c r="O590" t="s">
        <v>49</v>
      </c>
      <c r="P590">
        <v>2</v>
      </c>
      <c r="Q590">
        <f t="shared" si="113"/>
        <v>2</v>
      </c>
      <c r="R590" t="s">
        <v>240</v>
      </c>
      <c r="S590" s="8" t="s">
        <v>18</v>
      </c>
      <c r="T590" s="9">
        <v>100</v>
      </c>
      <c r="U590" s="9">
        <f t="shared" si="114"/>
        <v>100</v>
      </c>
      <c r="V590" s="10">
        <v>100</v>
      </c>
      <c r="W590">
        <v>3.4</v>
      </c>
      <c r="X590" s="11">
        <f t="shared" si="115"/>
        <v>3.4</v>
      </c>
      <c r="Y590" t="s">
        <v>2103</v>
      </c>
      <c r="Z590" t="str">
        <f t="shared" si="116"/>
        <v>Yes</v>
      </c>
      <c r="AA590" t="str">
        <f t="shared" si="117"/>
        <v>Yes</v>
      </c>
      <c r="AB590" t="str">
        <f t="shared" si="118"/>
        <v>Yes</v>
      </c>
      <c r="AC590" s="12">
        <v>85</v>
      </c>
      <c r="AD590" s="12">
        <f t="shared" si="119"/>
        <v>85</v>
      </c>
    </row>
    <row r="591" spans="1:30" x14ac:dyDescent="0.3">
      <c r="A591" t="s">
        <v>1271</v>
      </c>
      <c r="B591" t="s">
        <v>1272</v>
      </c>
      <c r="C591" t="s">
        <v>2168</v>
      </c>
      <c r="D591" t="s">
        <v>2443</v>
      </c>
      <c r="E591" t="str">
        <f t="shared" si="109"/>
        <v>Jessica Gray</v>
      </c>
      <c r="H591" t="s">
        <v>86</v>
      </c>
      <c r="I591" t="str">
        <f t="shared" si="110"/>
        <v>Female</v>
      </c>
      <c r="J591">
        <v>36</v>
      </c>
      <c r="K591">
        <f t="shared" si="111"/>
        <v>36</v>
      </c>
      <c r="L591" t="str">
        <f t="shared" si="112"/>
        <v>Second level</v>
      </c>
      <c r="M591" t="s">
        <v>80</v>
      </c>
      <c r="N591" t="s">
        <v>81</v>
      </c>
      <c r="O591" t="s">
        <v>25</v>
      </c>
      <c r="P591">
        <v>16</v>
      </c>
      <c r="Q591">
        <f t="shared" si="113"/>
        <v>16</v>
      </c>
      <c r="R591" t="s">
        <v>325</v>
      </c>
      <c r="S591" s="8" t="s">
        <v>2097</v>
      </c>
      <c r="T591" s="9">
        <v>20</v>
      </c>
      <c r="U591" s="9">
        <f t="shared" si="114"/>
        <v>20</v>
      </c>
      <c r="V591" s="10">
        <v>20</v>
      </c>
      <c r="W591">
        <v>3.2</v>
      </c>
      <c r="X591" s="11">
        <f t="shared" si="115"/>
        <v>3.2</v>
      </c>
      <c r="Y591" t="s">
        <v>65</v>
      </c>
      <c r="AA591" t="str">
        <f t="shared" si="117"/>
        <v>Unknown</v>
      </c>
      <c r="AB591" t="str">
        <f t="shared" si="118"/>
        <v>Unknown</v>
      </c>
      <c r="AC591" s="12"/>
      <c r="AD591" s="12">
        <f t="shared" si="119"/>
        <v>79.83430232558139</v>
      </c>
    </row>
    <row r="592" spans="1:30" x14ac:dyDescent="0.3">
      <c r="A592" t="s">
        <v>1273</v>
      </c>
      <c r="B592" t="s">
        <v>1274</v>
      </c>
      <c r="C592" t="s">
        <v>2472</v>
      </c>
      <c r="D592" t="s">
        <v>2729</v>
      </c>
      <c r="E592" t="str">
        <f t="shared" si="109"/>
        <v>Keith Shaffer</v>
      </c>
      <c r="H592" t="s">
        <v>107</v>
      </c>
      <c r="I592" t="str">
        <f t="shared" si="110"/>
        <v>Male</v>
      </c>
      <c r="J592">
        <v>59</v>
      </c>
      <c r="K592">
        <f t="shared" si="111"/>
        <v>59</v>
      </c>
      <c r="L592" t="str">
        <f t="shared" si="112"/>
        <v>Fourth level</v>
      </c>
      <c r="M592" t="s">
        <v>190</v>
      </c>
      <c r="N592" t="s">
        <v>81</v>
      </c>
      <c r="O592" t="s">
        <v>17</v>
      </c>
      <c r="P592">
        <v>22</v>
      </c>
      <c r="Q592">
        <f t="shared" si="113"/>
        <v>22</v>
      </c>
      <c r="R592" t="s">
        <v>325</v>
      </c>
      <c r="S592" s="8" t="s">
        <v>2097</v>
      </c>
      <c r="T592" s="9">
        <v>20</v>
      </c>
      <c r="U592" s="9">
        <f t="shared" si="114"/>
        <v>20</v>
      </c>
      <c r="V592" s="10">
        <v>20</v>
      </c>
      <c r="W592">
        <v>3.6</v>
      </c>
      <c r="X592" s="11">
        <f t="shared" si="115"/>
        <v>3.6</v>
      </c>
      <c r="Y592" t="s">
        <v>2102</v>
      </c>
      <c r="Z592" t="str">
        <f t="shared" si="116"/>
        <v>No</v>
      </c>
      <c r="AA592" t="str">
        <f t="shared" si="117"/>
        <v>No</v>
      </c>
      <c r="AB592" t="str">
        <f t="shared" si="118"/>
        <v>No</v>
      </c>
      <c r="AC592" s="12">
        <v>63</v>
      </c>
      <c r="AD592" s="12">
        <f t="shared" si="119"/>
        <v>63</v>
      </c>
    </row>
    <row r="593" spans="1:30" x14ac:dyDescent="0.3">
      <c r="A593" t="s">
        <v>1275</v>
      </c>
      <c r="B593" t="s">
        <v>1276</v>
      </c>
      <c r="C593" t="s">
        <v>2168</v>
      </c>
      <c r="D593" t="s">
        <v>2730</v>
      </c>
      <c r="E593" t="str">
        <f t="shared" si="109"/>
        <v>Jessica Decker</v>
      </c>
      <c r="H593" t="s">
        <v>43</v>
      </c>
      <c r="I593" t="str">
        <f t="shared" si="110"/>
        <v>Female</v>
      </c>
      <c r="J593">
        <v>52</v>
      </c>
      <c r="K593">
        <f t="shared" si="111"/>
        <v>52</v>
      </c>
      <c r="L593" t="str">
        <f t="shared" si="112"/>
        <v>Fourth level</v>
      </c>
      <c r="M593" t="s">
        <v>138</v>
      </c>
      <c r="N593" t="s">
        <v>24</v>
      </c>
      <c r="O593" t="s">
        <v>87</v>
      </c>
      <c r="P593">
        <v>22</v>
      </c>
      <c r="Q593">
        <f t="shared" si="113"/>
        <v>22</v>
      </c>
      <c r="R593" t="s">
        <v>131</v>
      </c>
      <c r="S593" s="8" t="s">
        <v>131</v>
      </c>
      <c r="T593" s="9">
        <v>20</v>
      </c>
      <c r="U593" s="9">
        <f t="shared" si="114"/>
        <v>20</v>
      </c>
      <c r="V593" s="10">
        <v>20</v>
      </c>
      <c r="W593">
        <v>0</v>
      </c>
      <c r="X593" s="11">
        <f t="shared" si="115"/>
        <v>0</v>
      </c>
      <c r="Y593" t="s">
        <v>2102</v>
      </c>
      <c r="Z593" t="str">
        <f t="shared" si="116"/>
        <v>No</v>
      </c>
      <c r="AA593" t="str">
        <f t="shared" si="117"/>
        <v>No</v>
      </c>
      <c r="AB593" t="str">
        <f t="shared" si="118"/>
        <v>No</v>
      </c>
      <c r="AC593" s="12"/>
      <c r="AD593" s="12">
        <f t="shared" si="119"/>
        <v>79.883381924198247</v>
      </c>
    </row>
    <row r="594" spans="1:30" x14ac:dyDescent="0.3">
      <c r="A594" t="s">
        <v>1277</v>
      </c>
      <c r="B594" t="s">
        <v>1278</v>
      </c>
      <c r="C594" t="s">
        <v>2731</v>
      </c>
      <c r="D594" t="s">
        <v>2720</v>
      </c>
      <c r="E594" t="str">
        <f t="shared" si="109"/>
        <v>Brianna Pittman</v>
      </c>
      <c r="H594" t="s">
        <v>43</v>
      </c>
      <c r="I594" t="str">
        <f t="shared" si="110"/>
        <v>Female</v>
      </c>
      <c r="J594">
        <v>24</v>
      </c>
      <c r="K594">
        <f t="shared" si="111"/>
        <v>24</v>
      </c>
      <c r="L594" t="str">
        <f t="shared" si="112"/>
        <v>First level</v>
      </c>
      <c r="M594" t="s">
        <v>186</v>
      </c>
      <c r="N594" t="s">
        <v>187</v>
      </c>
      <c r="O594" t="s">
        <v>17</v>
      </c>
      <c r="P594">
        <v>5</v>
      </c>
      <c r="Q594">
        <f t="shared" si="113"/>
        <v>5</v>
      </c>
      <c r="R594" t="s">
        <v>76</v>
      </c>
      <c r="S594" s="8" t="s">
        <v>76</v>
      </c>
      <c r="T594" s="9">
        <v>40</v>
      </c>
      <c r="U594" s="9">
        <f t="shared" si="114"/>
        <v>40</v>
      </c>
      <c r="V594" s="10">
        <v>40</v>
      </c>
      <c r="W594">
        <v>1.8</v>
      </c>
      <c r="X594" s="11">
        <f t="shared" si="115"/>
        <v>1.8</v>
      </c>
      <c r="Y594" t="s">
        <v>2103</v>
      </c>
      <c r="Z594" t="str">
        <f t="shared" si="116"/>
        <v>Yes</v>
      </c>
      <c r="AA594" t="str">
        <f t="shared" si="117"/>
        <v>Yes</v>
      </c>
      <c r="AB594" t="str">
        <f t="shared" si="118"/>
        <v>Yes</v>
      </c>
      <c r="AC594" s="12">
        <v>86</v>
      </c>
      <c r="AD594" s="12">
        <f t="shared" si="119"/>
        <v>86</v>
      </c>
    </row>
    <row r="595" spans="1:30" x14ac:dyDescent="0.3">
      <c r="A595" t="s">
        <v>1279</v>
      </c>
      <c r="B595" t="s">
        <v>1280</v>
      </c>
      <c r="C595" t="s">
        <v>2281</v>
      </c>
      <c r="D595" t="s">
        <v>2732</v>
      </c>
      <c r="E595" t="str">
        <f t="shared" si="109"/>
        <v>Kimberly Hunter</v>
      </c>
      <c r="H595" t="s">
        <v>22</v>
      </c>
      <c r="I595" t="str">
        <f t="shared" si="110"/>
        <v>Female</v>
      </c>
      <c r="J595">
        <v>26</v>
      </c>
      <c r="K595">
        <f t="shared" si="111"/>
        <v>26</v>
      </c>
      <c r="L595" t="str">
        <f t="shared" si="112"/>
        <v>First level</v>
      </c>
      <c r="M595" t="s">
        <v>23</v>
      </c>
      <c r="N595" t="s">
        <v>24</v>
      </c>
      <c r="O595" t="s">
        <v>33</v>
      </c>
      <c r="P595">
        <v>2</v>
      </c>
      <c r="Q595">
        <f t="shared" si="113"/>
        <v>2</v>
      </c>
      <c r="R595" t="s">
        <v>58</v>
      </c>
      <c r="S595" s="8" t="s">
        <v>2093</v>
      </c>
      <c r="T595" s="9">
        <v>75</v>
      </c>
      <c r="U595" s="9">
        <f t="shared" si="114"/>
        <v>75</v>
      </c>
      <c r="V595" s="10">
        <v>75</v>
      </c>
      <c r="W595">
        <v>2.5</v>
      </c>
      <c r="X595" s="11">
        <f t="shared" si="115"/>
        <v>2.5</v>
      </c>
      <c r="Y595" t="s">
        <v>77</v>
      </c>
      <c r="Z595" t="str">
        <f t="shared" si="116"/>
        <v>yes</v>
      </c>
      <c r="AA595" t="str">
        <f t="shared" si="117"/>
        <v>yes</v>
      </c>
      <c r="AB595" t="str">
        <f t="shared" si="118"/>
        <v>Yes</v>
      </c>
      <c r="AC595" s="12">
        <v>60</v>
      </c>
      <c r="AD595" s="12">
        <f t="shared" si="119"/>
        <v>60</v>
      </c>
    </row>
    <row r="596" spans="1:30" x14ac:dyDescent="0.3">
      <c r="A596" t="s">
        <v>1281</v>
      </c>
      <c r="B596" t="s">
        <v>1282</v>
      </c>
      <c r="C596" t="s">
        <v>2447</v>
      </c>
      <c r="D596" t="s">
        <v>2123</v>
      </c>
      <c r="E596" t="str">
        <f t="shared" si="109"/>
        <v>Daniel Martin</v>
      </c>
      <c r="H596" t="s">
        <v>107</v>
      </c>
      <c r="I596" t="str">
        <f t="shared" si="110"/>
        <v>Male</v>
      </c>
      <c r="J596">
        <v>55</v>
      </c>
      <c r="K596">
        <f t="shared" si="111"/>
        <v>55</v>
      </c>
      <c r="L596" t="str">
        <f t="shared" si="112"/>
        <v>Fourth level</v>
      </c>
      <c r="M596" t="s">
        <v>138</v>
      </c>
      <c r="N596" t="s">
        <v>24</v>
      </c>
      <c r="O596" t="s">
        <v>87</v>
      </c>
      <c r="P596">
        <v>24</v>
      </c>
      <c r="Q596">
        <f t="shared" si="113"/>
        <v>24</v>
      </c>
      <c r="R596" t="s">
        <v>76</v>
      </c>
      <c r="S596" s="8" t="s">
        <v>76</v>
      </c>
      <c r="T596" s="9">
        <v>40</v>
      </c>
      <c r="U596" s="9">
        <f t="shared" si="114"/>
        <v>40</v>
      </c>
      <c r="V596" s="10">
        <v>40</v>
      </c>
      <c r="W596">
        <v>2</v>
      </c>
      <c r="X596" s="11">
        <f t="shared" si="115"/>
        <v>2</v>
      </c>
      <c r="Y596" t="s">
        <v>2103</v>
      </c>
      <c r="Z596" t="str">
        <f t="shared" si="116"/>
        <v>Yes</v>
      </c>
      <c r="AA596" t="str">
        <f t="shared" si="117"/>
        <v>Yes</v>
      </c>
      <c r="AB596" t="str">
        <f t="shared" si="118"/>
        <v>Yes</v>
      </c>
      <c r="AC596" s="12">
        <v>88</v>
      </c>
      <c r="AD596" s="12">
        <f t="shared" si="119"/>
        <v>88</v>
      </c>
    </row>
    <row r="597" spans="1:30" x14ac:dyDescent="0.3">
      <c r="A597" t="s">
        <v>1283</v>
      </c>
      <c r="B597" t="s">
        <v>1284</v>
      </c>
      <c r="C597" t="s">
        <v>2733</v>
      </c>
      <c r="D597" t="s">
        <v>2161</v>
      </c>
      <c r="E597" t="str">
        <f t="shared" si="109"/>
        <v>Rachel Smith</v>
      </c>
      <c r="H597" t="s">
        <v>22</v>
      </c>
      <c r="I597" t="str">
        <f t="shared" si="110"/>
        <v>Female</v>
      </c>
      <c r="J597">
        <v>56</v>
      </c>
      <c r="K597">
        <f t="shared" si="111"/>
        <v>56</v>
      </c>
      <c r="L597" t="str">
        <f t="shared" si="112"/>
        <v>Fourth level</v>
      </c>
      <c r="M597" t="s">
        <v>15</v>
      </c>
      <c r="N597" t="s">
        <v>16</v>
      </c>
      <c r="O597" t="s">
        <v>25</v>
      </c>
      <c r="P597">
        <v>37</v>
      </c>
      <c r="Q597">
        <f t="shared" si="113"/>
        <v>37</v>
      </c>
      <c r="R597" t="s">
        <v>76</v>
      </c>
      <c r="S597" s="8" t="s">
        <v>76</v>
      </c>
      <c r="T597" s="9">
        <v>40</v>
      </c>
      <c r="U597" s="9">
        <f t="shared" si="114"/>
        <v>40</v>
      </c>
      <c r="V597" s="10">
        <v>40</v>
      </c>
      <c r="W597">
        <v>0</v>
      </c>
      <c r="X597" s="11">
        <f t="shared" si="115"/>
        <v>0</v>
      </c>
      <c r="Y597" t="s">
        <v>2102</v>
      </c>
      <c r="Z597" t="str">
        <f t="shared" si="116"/>
        <v>No</v>
      </c>
      <c r="AA597" t="str">
        <f t="shared" si="117"/>
        <v>No</v>
      </c>
      <c r="AB597" t="str">
        <f t="shared" si="118"/>
        <v>No</v>
      </c>
      <c r="AC597" s="12">
        <v>70</v>
      </c>
      <c r="AD597" s="12">
        <f t="shared" si="119"/>
        <v>70</v>
      </c>
    </row>
    <row r="598" spans="1:30" x14ac:dyDescent="0.3">
      <c r="A598" t="s">
        <v>1285</v>
      </c>
      <c r="B598" t="s">
        <v>1286</v>
      </c>
      <c r="C598" t="s">
        <v>2166</v>
      </c>
      <c r="D598" t="s">
        <v>2232</v>
      </c>
      <c r="E598" t="str">
        <f t="shared" si="109"/>
        <v>Michael Miller</v>
      </c>
      <c r="H598" t="s">
        <v>107</v>
      </c>
      <c r="I598" t="str">
        <f t="shared" si="110"/>
        <v>Male</v>
      </c>
      <c r="J598">
        <v>36</v>
      </c>
      <c r="K598">
        <f t="shared" si="111"/>
        <v>36</v>
      </c>
      <c r="L598" t="str">
        <f t="shared" si="112"/>
        <v>Second level</v>
      </c>
      <c r="M598" t="s">
        <v>145</v>
      </c>
      <c r="N598" t="s">
        <v>146</v>
      </c>
      <c r="O598" t="s">
        <v>33</v>
      </c>
      <c r="P598">
        <v>3</v>
      </c>
      <c r="Q598">
        <f t="shared" si="113"/>
        <v>3</v>
      </c>
      <c r="R598" t="s">
        <v>108</v>
      </c>
      <c r="S598" s="8" t="s">
        <v>2095</v>
      </c>
      <c r="T598" s="9">
        <v>50</v>
      </c>
      <c r="U598" s="9">
        <f t="shared" si="114"/>
        <v>50</v>
      </c>
      <c r="V598" s="10">
        <v>50</v>
      </c>
      <c r="W598">
        <v>1.3</v>
      </c>
      <c r="X598" s="11">
        <f t="shared" si="115"/>
        <v>1.3</v>
      </c>
      <c r="Y598" t="s">
        <v>2103</v>
      </c>
      <c r="Z598" t="str">
        <f t="shared" si="116"/>
        <v>Yes</v>
      </c>
      <c r="AA598" t="str">
        <f t="shared" si="117"/>
        <v>Yes</v>
      </c>
      <c r="AB598" t="str">
        <f t="shared" si="118"/>
        <v>Yes</v>
      </c>
      <c r="AC598" s="12">
        <v>77</v>
      </c>
      <c r="AD598" s="12">
        <f t="shared" si="119"/>
        <v>77</v>
      </c>
    </row>
    <row r="599" spans="1:30" x14ac:dyDescent="0.3">
      <c r="A599" t="s">
        <v>1287</v>
      </c>
      <c r="B599" t="s">
        <v>1288</v>
      </c>
      <c r="C599" t="s">
        <v>2734</v>
      </c>
      <c r="D599" t="s">
        <v>2315</v>
      </c>
      <c r="E599" t="str">
        <f t="shared" si="109"/>
        <v>Willie Clark</v>
      </c>
      <c r="H599" t="s">
        <v>107</v>
      </c>
      <c r="I599" t="str">
        <f t="shared" si="110"/>
        <v>Male</v>
      </c>
      <c r="J599">
        <v>48</v>
      </c>
      <c r="K599">
        <f t="shared" si="111"/>
        <v>48</v>
      </c>
      <c r="L599" t="str">
        <f t="shared" si="112"/>
        <v>Third level</v>
      </c>
      <c r="M599" t="s">
        <v>80</v>
      </c>
      <c r="N599" t="s">
        <v>81</v>
      </c>
      <c r="O599" t="s">
        <v>39</v>
      </c>
      <c r="P599">
        <v>18</v>
      </c>
      <c r="Q599">
        <f t="shared" si="113"/>
        <v>18</v>
      </c>
      <c r="R599" t="s">
        <v>92</v>
      </c>
      <c r="S599" s="8" t="s">
        <v>92</v>
      </c>
      <c r="T599" s="9">
        <v>75</v>
      </c>
      <c r="U599" s="9">
        <f t="shared" si="114"/>
        <v>75</v>
      </c>
      <c r="V599" s="10">
        <v>75</v>
      </c>
      <c r="W599">
        <v>0</v>
      </c>
      <c r="X599" s="11">
        <f t="shared" si="115"/>
        <v>0</v>
      </c>
      <c r="Y599" t="s">
        <v>2102</v>
      </c>
      <c r="Z599" t="str">
        <f t="shared" si="116"/>
        <v>No</v>
      </c>
      <c r="AA599" t="str">
        <f t="shared" si="117"/>
        <v>No</v>
      </c>
      <c r="AB599" t="str">
        <f t="shared" si="118"/>
        <v>No</v>
      </c>
      <c r="AC599" s="12">
        <v>80</v>
      </c>
      <c r="AD599" s="12">
        <f t="shared" si="119"/>
        <v>80</v>
      </c>
    </row>
    <row r="600" spans="1:30" x14ac:dyDescent="0.3">
      <c r="A600" t="s">
        <v>1289</v>
      </c>
      <c r="B600" t="s">
        <v>1290</v>
      </c>
      <c r="C600" t="s">
        <v>2239</v>
      </c>
      <c r="D600" t="s">
        <v>2177</v>
      </c>
      <c r="E600" t="str">
        <f t="shared" si="109"/>
        <v>Jeremy Hernandez</v>
      </c>
      <c r="H600" t="s">
        <v>107</v>
      </c>
      <c r="I600" t="str">
        <f t="shared" si="110"/>
        <v>Male</v>
      </c>
      <c r="J600">
        <v>55</v>
      </c>
      <c r="K600">
        <f t="shared" si="111"/>
        <v>55</v>
      </c>
      <c r="L600" t="str">
        <f t="shared" si="112"/>
        <v>Fourth level</v>
      </c>
      <c r="M600" t="s">
        <v>149</v>
      </c>
      <c r="N600" t="s">
        <v>150</v>
      </c>
      <c r="O600" t="s">
        <v>124</v>
      </c>
      <c r="P600">
        <v>6</v>
      </c>
      <c r="Q600">
        <f t="shared" si="113"/>
        <v>6</v>
      </c>
      <c r="R600" t="s">
        <v>40</v>
      </c>
      <c r="S600" s="8" t="s">
        <v>40</v>
      </c>
      <c r="T600" s="9">
        <v>40</v>
      </c>
      <c r="U600" s="9">
        <f t="shared" si="114"/>
        <v>40</v>
      </c>
      <c r="V600" s="10">
        <v>40</v>
      </c>
      <c r="W600">
        <v>3.6</v>
      </c>
      <c r="X600" s="11">
        <f t="shared" si="115"/>
        <v>3.6</v>
      </c>
      <c r="Y600" t="s">
        <v>2103</v>
      </c>
      <c r="Z600" t="str">
        <f t="shared" si="116"/>
        <v>Yes</v>
      </c>
      <c r="AA600" t="str">
        <f t="shared" si="117"/>
        <v>Yes</v>
      </c>
      <c r="AB600" t="str">
        <f t="shared" si="118"/>
        <v>Yes</v>
      </c>
      <c r="AC600" s="12"/>
      <c r="AD600" s="12">
        <f t="shared" si="119"/>
        <v>79.937685459940653</v>
      </c>
    </row>
    <row r="601" spans="1:30" x14ac:dyDescent="0.3">
      <c r="A601" t="s">
        <v>1291</v>
      </c>
      <c r="B601" t="s">
        <v>1292</v>
      </c>
      <c r="C601" t="s">
        <v>2735</v>
      </c>
      <c r="D601" t="s">
        <v>2132</v>
      </c>
      <c r="E601" t="str">
        <f t="shared" si="109"/>
        <v>Tina Shelton</v>
      </c>
      <c r="H601" t="s">
        <v>43</v>
      </c>
      <c r="I601" t="str">
        <f t="shared" si="110"/>
        <v>Female</v>
      </c>
      <c r="J601">
        <v>56</v>
      </c>
      <c r="K601">
        <f t="shared" si="111"/>
        <v>56</v>
      </c>
      <c r="L601" t="str">
        <f t="shared" si="112"/>
        <v>Fourth level</v>
      </c>
      <c r="M601" t="s">
        <v>201</v>
      </c>
      <c r="N601" t="s">
        <v>81</v>
      </c>
      <c r="O601" t="s">
        <v>99</v>
      </c>
      <c r="P601">
        <v>17</v>
      </c>
      <c r="Q601">
        <f t="shared" si="113"/>
        <v>17</v>
      </c>
      <c r="R601" t="s">
        <v>65</v>
      </c>
      <c r="S601" s="8" t="s">
        <v>65</v>
      </c>
      <c r="T601" s="9"/>
      <c r="U601" s="9">
        <f t="shared" si="114"/>
        <v>54.277929155313352</v>
      </c>
      <c r="V601" s="10">
        <v>54.277929155313352</v>
      </c>
      <c r="W601">
        <v>1.3</v>
      </c>
      <c r="X601" s="11">
        <f t="shared" si="115"/>
        <v>1.3</v>
      </c>
      <c r="Y601" t="s">
        <v>65</v>
      </c>
      <c r="AA601" t="str">
        <f t="shared" si="117"/>
        <v>Unknown</v>
      </c>
      <c r="AB601" t="str">
        <f t="shared" si="118"/>
        <v>Unknown</v>
      </c>
      <c r="AC601" s="12">
        <v>87</v>
      </c>
      <c r="AD601" s="12">
        <f t="shared" si="119"/>
        <v>87</v>
      </c>
    </row>
    <row r="602" spans="1:30" x14ac:dyDescent="0.3">
      <c r="A602" t="s">
        <v>1293</v>
      </c>
      <c r="B602" t="s">
        <v>1294</v>
      </c>
      <c r="C602" t="s">
        <v>2486</v>
      </c>
      <c r="D602" t="s">
        <v>2736</v>
      </c>
      <c r="E602" t="str">
        <f t="shared" si="109"/>
        <v>Dr. Pamela</v>
      </c>
      <c r="H602" t="s">
        <v>86</v>
      </c>
      <c r="I602" t="str">
        <f t="shared" si="110"/>
        <v>Female</v>
      </c>
      <c r="J602">
        <v>28</v>
      </c>
      <c r="K602">
        <f t="shared" si="111"/>
        <v>28</v>
      </c>
      <c r="L602" t="str">
        <f t="shared" si="112"/>
        <v>First level</v>
      </c>
      <c r="M602" t="s">
        <v>138</v>
      </c>
      <c r="N602" t="s">
        <v>24</v>
      </c>
      <c r="O602" t="s">
        <v>17</v>
      </c>
      <c r="P602">
        <v>1</v>
      </c>
      <c r="Q602">
        <f t="shared" si="113"/>
        <v>1</v>
      </c>
      <c r="R602" t="s">
        <v>92</v>
      </c>
      <c r="S602" s="8" t="s">
        <v>92</v>
      </c>
      <c r="T602" s="9">
        <v>75</v>
      </c>
      <c r="U602" s="9">
        <f t="shared" si="114"/>
        <v>75</v>
      </c>
      <c r="V602" s="10">
        <v>75</v>
      </c>
      <c r="W602">
        <v>2.7</v>
      </c>
      <c r="X602" s="11">
        <f t="shared" si="115"/>
        <v>2.7</v>
      </c>
      <c r="Y602" t="s">
        <v>2103</v>
      </c>
      <c r="Z602" t="str">
        <f t="shared" si="116"/>
        <v>Yes</v>
      </c>
      <c r="AA602" t="str">
        <f t="shared" si="117"/>
        <v>Yes</v>
      </c>
      <c r="AB602" t="str">
        <f t="shared" si="118"/>
        <v>Yes</v>
      </c>
      <c r="AC602" s="12">
        <v>93</v>
      </c>
      <c r="AD602" s="12">
        <f t="shared" si="119"/>
        <v>93</v>
      </c>
    </row>
    <row r="603" spans="1:30" x14ac:dyDescent="0.3">
      <c r="A603" t="s">
        <v>1295</v>
      </c>
      <c r="B603" t="s">
        <v>1296</v>
      </c>
      <c r="C603" t="s">
        <v>2420</v>
      </c>
      <c r="D603" t="s">
        <v>2737</v>
      </c>
      <c r="E603" t="str">
        <f t="shared" si="109"/>
        <v>Ryan Ewing</v>
      </c>
      <c r="H603" t="s">
        <v>30</v>
      </c>
      <c r="I603" t="str">
        <f t="shared" si="110"/>
        <v>Male</v>
      </c>
      <c r="J603">
        <v>60</v>
      </c>
      <c r="K603">
        <f t="shared" si="111"/>
        <v>60</v>
      </c>
      <c r="L603" t="str">
        <f t="shared" si="112"/>
        <v>Fourth level</v>
      </c>
      <c r="M603" t="s">
        <v>64</v>
      </c>
      <c r="N603" t="s">
        <v>24</v>
      </c>
      <c r="O603" t="s">
        <v>49</v>
      </c>
      <c r="P603">
        <v>39</v>
      </c>
      <c r="Q603">
        <f t="shared" si="113"/>
        <v>39</v>
      </c>
      <c r="R603" t="s">
        <v>26</v>
      </c>
      <c r="S603" s="8" t="s">
        <v>18</v>
      </c>
      <c r="T603" s="9">
        <v>100</v>
      </c>
      <c r="U603" s="9">
        <f t="shared" si="114"/>
        <v>100</v>
      </c>
      <c r="V603" s="10">
        <v>100</v>
      </c>
      <c r="W603">
        <v>1.5</v>
      </c>
      <c r="X603" s="11">
        <f t="shared" si="115"/>
        <v>1.5</v>
      </c>
      <c r="Y603" t="s">
        <v>65</v>
      </c>
      <c r="AA603" t="str">
        <f t="shared" si="117"/>
        <v>Unknown</v>
      </c>
      <c r="AB603" t="str">
        <f t="shared" si="118"/>
        <v>Unknown</v>
      </c>
      <c r="AC603" s="12">
        <v>88</v>
      </c>
      <c r="AD603" s="12">
        <f t="shared" si="119"/>
        <v>88</v>
      </c>
    </row>
    <row r="604" spans="1:30" x14ac:dyDescent="0.3">
      <c r="A604" t="s">
        <v>1297</v>
      </c>
      <c r="B604" t="s">
        <v>1298</v>
      </c>
      <c r="C604" t="s">
        <v>2206</v>
      </c>
      <c r="D604" t="s">
        <v>2388</v>
      </c>
      <c r="E604" t="str">
        <f t="shared" si="109"/>
        <v>Mark Cochran</v>
      </c>
      <c r="H604" t="s">
        <v>30</v>
      </c>
      <c r="I604" t="str">
        <f t="shared" si="110"/>
        <v>Male</v>
      </c>
      <c r="J604">
        <v>34</v>
      </c>
      <c r="K604">
        <f t="shared" si="111"/>
        <v>34</v>
      </c>
      <c r="L604" t="str">
        <f t="shared" si="112"/>
        <v>Second level</v>
      </c>
      <c r="M604" t="s">
        <v>122</v>
      </c>
      <c r="N604" t="s">
        <v>123</v>
      </c>
      <c r="O604" t="s">
        <v>17</v>
      </c>
      <c r="P604">
        <v>15</v>
      </c>
      <c r="Q604">
        <f t="shared" si="113"/>
        <v>15</v>
      </c>
      <c r="R604" t="s">
        <v>151</v>
      </c>
      <c r="S604" s="8" t="s">
        <v>151</v>
      </c>
      <c r="T604" s="9">
        <v>20</v>
      </c>
      <c r="U604" s="9">
        <f t="shared" si="114"/>
        <v>20</v>
      </c>
      <c r="V604" s="10">
        <v>20</v>
      </c>
      <c r="W604">
        <v>0</v>
      </c>
      <c r="X604" s="11">
        <f t="shared" si="115"/>
        <v>0</v>
      </c>
      <c r="Y604" t="s">
        <v>2102</v>
      </c>
      <c r="Z604" t="str">
        <f t="shared" si="116"/>
        <v>No</v>
      </c>
      <c r="AA604" t="str">
        <f t="shared" si="117"/>
        <v>No</v>
      </c>
      <c r="AB604" t="str">
        <f t="shared" si="118"/>
        <v>No</v>
      </c>
      <c r="AC604" s="12">
        <v>100</v>
      </c>
      <c r="AD604" s="12">
        <f t="shared" si="119"/>
        <v>100</v>
      </c>
    </row>
    <row r="605" spans="1:30" x14ac:dyDescent="0.3">
      <c r="A605" t="s">
        <v>1299</v>
      </c>
      <c r="B605" t="s">
        <v>1300</v>
      </c>
      <c r="C605" t="s">
        <v>2738</v>
      </c>
      <c r="D605" t="s">
        <v>2393</v>
      </c>
      <c r="E605" t="str">
        <f t="shared" si="109"/>
        <v>Martha Carson</v>
      </c>
      <c r="H605" t="s">
        <v>43</v>
      </c>
      <c r="I605" t="str">
        <f t="shared" si="110"/>
        <v>Female</v>
      </c>
      <c r="J605">
        <v>38</v>
      </c>
      <c r="K605">
        <f t="shared" si="111"/>
        <v>38</v>
      </c>
      <c r="L605" t="str">
        <f t="shared" si="112"/>
        <v>Second level</v>
      </c>
      <c r="M605" t="s">
        <v>55</v>
      </c>
      <c r="N605" t="s">
        <v>56</v>
      </c>
      <c r="O605" t="s">
        <v>49</v>
      </c>
      <c r="P605">
        <v>13</v>
      </c>
      <c r="Q605">
        <f t="shared" si="113"/>
        <v>13</v>
      </c>
      <c r="R605" t="s">
        <v>40</v>
      </c>
      <c r="S605" s="8" t="s">
        <v>40</v>
      </c>
      <c r="T605" s="9">
        <v>40</v>
      </c>
      <c r="U605" s="9">
        <f t="shared" si="114"/>
        <v>40</v>
      </c>
      <c r="V605" s="10">
        <v>40</v>
      </c>
      <c r="W605">
        <v>0</v>
      </c>
      <c r="X605" s="11">
        <f t="shared" si="115"/>
        <v>0</v>
      </c>
      <c r="Y605" t="s">
        <v>2103</v>
      </c>
      <c r="Z605" t="str">
        <f t="shared" si="116"/>
        <v>Yes</v>
      </c>
      <c r="AA605" t="str">
        <f t="shared" si="117"/>
        <v>Yes</v>
      </c>
      <c r="AB605" t="str">
        <f t="shared" si="118"/>
        <v>Yes</v>
      </c>
      <c r="AC605" s="12">
        <v>61</v>
      </c>
      <c r="AD605" s="12">
        <f t="shared" si="119"/>
        <v>61</v>
      </c>
    </row>
    <row r="606" spans="1:30" x14ac:dyDescent="0.3">
      <c r="A606" t="s">
        <v>1301</v>
      </c>
      <c r="B606" t="s">
        <v>1302</v>
      </c>
      <c r="C606" t="s">
        <v>2473</v>
      </c>
      <c r="D606" t="s">
        <v>2454</v>
      </c>
      <c r="E606" t="str">
        <f t="shared" si="109"/>
        <v>Heather Jackson</v>
      </c>
      <c r="H606" t="s">
        <v>22</v>
      </c>
      <c r="I606" t="str">
        <f t="shared" si="110"/>
        <v>Female</v>
      </c>
      <c r="J606">
        <v>51</v>
      </c>
      <c r="K606">
        <f t="shared" si="111"/>
        <v>51</v>
      </c>
      <c r="L606" t="str">
        <f t="shared" si="112"/>
        <v>Fourth level</v>
      </c>
      <c r="M606" t="s">
        <v>122</v>
      </c>
      <c r="N606" t="s">
        <v>123</v>
      </c>
      <c r="O606" t="s">
        <v>39</v>
      </c>
      <c r="P606">
        <v>17</v>
      </c>
      <c r="Q606">
        <f t="shared" si="113"/>
        <v>17</v>
      </c>
      <c r="R606" t="s">
        <v>18</v>
      </c>
      <c r="S606" s="8" t="s">
        <v>18</v>
      </c>
      <c r="T606" s="9">
        <v>100</v>
      </c>
      <c r="U606" s="9">
        <f t="shared" si="114"/>
        <v>100</v>
      </c>
      <c r="V606" s="10">
        <v>100</v>
      </c>
      <c r="W606">
        <v>3</v>
      </c>
      <c r="X606" s="11">
        <f t="shared" si="115"/>
        <v>3</v>
      </c>
      <c r="Y606" t="s">
        <v>2102</v>
      </c>
      <c r="Z606" t="str">
        <f t="shared" si="116"/>
        <v>No</v>
      </c>
      <c r="AA606" t="str">
        <f t="shared" si="117"/>
        <v>No</v>
      </c>
      <c r="AB606" t="str">
        <f t="shared" si="118"/>
        <v>No</v>
      </c>
      <c r="AC606" s="12">
        <v>79</v>
      </c>
      <c r="AD606" s="12">
        <f t="shared" si="119"/>
        <v>79</v>
      </c>
    </row>
    <row r="607" spans="1:30" x14ac:dyDescent="0.3">
      <c r="A607" t="s">
        <v>1303</v>
      </c>
      <c r="B607" t="s">
        <v>1304</v>
      </c>
      <c r="C607" t="s">
        <v>2158</v>
      </c>
      <c r="D607" t="s">
        <v>2739</v>
      </c>
      <c r="E607" t="str">
        <f t="shared" si="109"/>
        <v>Megan Young</v>
      </c>
      <c r="H607" t="s">
        <v>86</v>
      </c>
      <c r="I607" t="str">
        <f t="shared" si="110"/>
        <v>Female</v>
      </c>
      <c r="J607">
        <v>21</v>
      </c>
      <c r="K607">
        <f t="shared" si="111"/>
        <v>21</v>
      </c>
      <c r="L607" t="str">
        <f t="shared" si="112"/>
        <v>First level</v>
      </c>
      <c r="M607" t="s">
        <v>95</v>
      </c>
      <c r="N607" t="s">
        <v>96</v>
      </c>
      <c r="O607" t="s">
        <v>25</v>
      </c>
      <c r="P607">
        <v>1</v>
      </c>
      <c r="Q607">
        <f t="shared" si="113"/>
        <v>1</v>
      </c>
      <c r="R607" t="s">
        <v>44</v>
      </c>
      <c r="S607" s="8" t="s">
        <v>44</v>
      </c>
      <c r="T607" s="9">
        <v>30</v>
      </c>
      <c r="U607" s="9">
        <f t="shared" si="114"/>
        <v>30</v>
      </c>
      <c r="V607" s="10">
        <v>30</v>
      </c>
      <c r="W607">
        <v>1.2</v>
      </c>
      <c r="X607" s="11">
        <f t="shared" si="115"/>
        <v>1.2</v>
      </c>
      <c r="Y607" t="s">
        <v>65</v>
      </c>
      <c r="AA607" t="str">
        <f t="shared" si="117"/>
        <v>Unknown</v>
      </c>
      <c r="AB607" t="str">
        <f t="shared" si="118"/>
        <v>Unknown</v>
      </c>
      <c r="AC607" s="12">
        <v>73</v>
      </c>
      <c r="AD607" s="12">
        <f t="shared" si="119"/>
        <v>73</v>
      </c>
    </row>
    <row r="608" spans="1:30" x14ac:dyDescent="0.3">
      <c r="A608" t="s">
        <v>1305</v>
      </c>
      <c r="B608" t="s">
        <v>1306</v>
      </c>
      <c r="C608" t="s">
        <v>2231</v>
      </c>
      <c r="D608" t="s">
        <v>2319</v>
      </c>
      <c r="E608" t="str">
        <f t="shared" si="109"/>
        <v>Thomas Davis</v>
      </c>
      <c r="H608" t="s">
        <v>107</v>
      </c>
      <c r="I608" t="str">
        <f t="shared" si="110"/>
        <v>Male</v>
      </c>
      <c r="J608">
        <v>35</v>
      </c>
      <c r="K608">
        <f t="shared" si="111"/>
        <v>35</v>
      </c>
      <c r="L608" t="str">
        <f t="shared" si="112"/>
        <v>Second level</v>
      </c>
      <c r="M608" t="s">
        <v>15</v>
      </c>
      <c r="N608" t="s">
        <v>16</v>
      </c>
      <c r="O608" t="s">
        <v>82</v>
      </c>
      <c r="P608">
        <v>16</v>
      </c>
      <c r="Q608">
        <f t="shared" si="113"/>
        <v>16</v>
      </c>
      <c r="R608" t="s">
        <v>65</v>
      </c>
      <c r="S608" s="8" t="s">
        <v>65</v>
      </c>
      <c r="T608" s="9"/>
      <c r="U608" s="9">
        <f t="shared" si="114"/>
        <v>54.141274238227147</v>
      </c>
      <c r="V608" s="10">
        <v>54.141274238227147</v>
      </c>
      <c r="W608">
        <v>1.3</v>
      </c>
      <c r="X608" s="11">
        <f t="shared" si="115"/>
        <v>1.3</v>
      </c>
      <c r="Y608" t="s">
        <v>2103</v>
      </c>
      <c r="Z608" t="str">
        <f t="shared" si="116"/>
        <v>Yes</v>
      </c>
      <c r="AA608" t="str">
        <f t="shared" si="117"/>
        <v>Yes</v>
      </c>
      <c r="AB608" t="str">
        <f t="shared" si="118"/>
        <v>Yes</v>
      </c>
      <c r="AC608" s="12">
        <v>64</v>
      </c>
      <c r="AD608" s="12">
        <f t="shared" si="119"/>
        <v>64</v>
      </c>
    </row>
    <row r="609" spans="1:30" x14ac:dyDescent="0.3">
      <c r="A609" t="s">
        <v>1307</v>
      </c>
      <c r="B609" t="s">
        <v>1308</v>
      </c>
      <c r="C609" t="s">
        <v>2231</v>
      </c>
      <c r="D609" t="s">
        <v>2740</v>
      </c>
      <c r="E609" t="str">
        <f t="shared" si="109"/>
        <v>Thomas Mooney</v>
      </c>
      <c r="H609" t="s">
        <v>107</v>
      </c>
      <c r="I609" t="str">
        <f t="shared" si="110"/>
        <v>Male</v>
      </c>
      <c r="J609">
        <v>27</v>
      </c>
      <c r="K609">
        <f t="shared" si="111"/>
        <v>27</v>
      </c>
      <c r="L609" t="str">
        <f t="shared" si="112"/>
        <v>First level</v>
      </c>
      <c r="M609" t="s">
        <v>117</v>
      </c>
      <c r="N609" t="s">
        <v>118</v>
      </c>
      <c r="O609" t="s">
        <v>39</v>
      </c>
      <c r="P609">
        <v>9</v>
      </c>
      <c r="Q609">
        <f t="shared" si="113"/>
        <v>9</v>
      </c>
      <c r="R609" t="s">
        <v>240</v>
      </c>
      <c r="S609" s="8" t="s">
        <v>18</v>
      </c>
      <c r="T609" s="9">
        <v>100</v>
      </c>
      <c r="U609" s="9">
        <f t="shared" si="114"/>
        <v>100</v>
      </c>
      <c r="V609" s="10">
        <v>100</v>
      </c>
      <c r="X609" s="11">
        <f t="shared" si="115"/>
        <v>2.6133720930232567</v>
      </c>
      <c r="Y609" t="s">
        <v>2103</v>
      </c>
      <c r="Z609" t="str">
        <f t="shared" si="116"/>
        <v>Yes</v>
      </c>
      <c r="AA609" t="str">
        <f t="shared" si="117"/>
        <v>Yes</v>
      </c>
      <c r="AB609" t="str">
        <f t="shared" si="118"/>
        <v>Yes</v>
      </c>
      <c r="AC609" s="12"/>
      <c r="AD609" s="12">
        <f t="shared" si="119"/>
        <v>79.920972644376903</v>
      </c>
    </row>
    <row r="610" spans="1:30" x14ac:dyDescent="0.3">
      <c r="A610" t="s">
        <v>1309</v>
      </c>
      <c r="B610" t="s">
        <v>1310</v>
      </c>
      <c r="C610" t="s">
        <v>2367</v>
      </c>
      <c r="D610" t="s">
        <v>2161</v>
      </c>
      <c r="E610" t="str">
        <f t="shared" si="109"/>
        <v>Susan Smith</v>
      </c>
      <c r="H610" t="s">
        <v>22</v>
      </c>
      <c r="I610" t="str">
        <f t="shared" si="110"/>
        <v>Female</v>
      </c>
      <c r="J610">
        <v>42</v>
      </c>
      <c r="K610">
        <f t="shared" si="111"/>
        <v>42</v>
      </c>
      <c r="L610" t="str">
        <f t="shared" si="112"/>
        <v>Third level</v>
      </c>
      <c r="M610" t="s">
        <v>70</v>
      </c>
      <c r="N610" t="s">
        <v>71</v>
      </c>
      <c r="O610" t="s">
        <v>25</v>
      </c>
      <c r="P610">
        <v>20</v>
      </c>
      <c r="Q610">
        <f t="shared" si="113"/>
        <v>20</v>
      </c>
      <c r="R610" t="s">
        <v>108</v>
      </c>
      <c r="S610" s="8" t="s">
        <v>2095</v>
      </c>
      <c r="T610" s="9">
        <v>50</v>
      </c>
      <c r="U610" s="9">
        <f t="shared" si="114"/>
        <v>50</v>
      </c>
      <c r="V610" s="10">
        <v>50</v>
      </c>
      <c r="W610">
        <v>3.8</v>
      </c>
      <c r="X610" s="11">
        <f t="shared" si="115"/>
        <v>3.8</v>
      </c>
      <c r="Y610" t="s">
        <v>2102</v>
      </c>
      <c r="Z610" t="str">
        <f t="shared" si="116"/>
        <v>No</v>
      </c>
      <c r="AA610" t="str">
        <f t="shared" si="117"/>
        <v>No</v>
      </c>
      <c r="AB610" t="str">
        <f t="shared" si="118"/>
        <v>No</v>
      </c>
      <c r="AC610" s="12">
        <v>93</v>
      </c>
      <c r="AD610" s="12">
        <f t="shared" si="119"/>
        <v>93</v>
      </c>
    </row>
    <row r="611" spans="1:30" x14ac:dyDescent="0.3">
      <c r="A611" t="s">
        <v>1311</v>
      </c>
      <c r="B611" t="s">
        <v>1312</v>
      </c>
      <c r="C611" t="s">
        <v>2731</v>
      </c>
      <c r="D611" t="s">
        <v>2741</v>
      </c>
      <c r="E611" t="str">
        <f t="shared" si="109"/>
        <v>Brianna Orr</v>
      </c>
      <c r="H611" t="s">
        <v>86</v>
      </c>
      <c r="I611" t="str">
        <f t="shared" si="110"/>
        <v>Female</v>
      </c>
      <c r="J611">
        <v>52</v>
      </c>
      <c r="K611">
        <f t="shared" si="111"/>
        <v>52</v>
      </c>
      <c r="L611" t="str">
        <f t="shared" si="112"/>
        <v>Fourth level</v>
      </c>
      <c r="M611" t="s">
        <v>138</v>
      </c>
      <c r="N611" t="s">
        <v>24</v>
      </c>
      <c r="O611" t="s">
        <v>17</v>
      </c>
      <c r="P611">
        <v>29</v>
      </c>
      <c r="Q611">
        <f t="shared" si="113"/>
        <v>29</v>
      </c>
      <c r="R611" t="s">
        <v>44</v>
      </c>
      <c r="S611" s="8" t="s">
        <v>44</v>
      </c>
      <c r="T611" s="9">
        <v>30</v>
      </c>
      <c r="U611" s="9">
        <f t="shared" si="114"/>
        <v>30</v>
      </c>
      <c r="V611" s="10">
        <v>30</v>
      </c>
      <c r="W611">
        <v>3.8</v>
      </c>
      <c r="X611" s="11">
        <f t="shared" si="115"/>
        <v>3.8</v>
      </c>
      <c r="Y611" t="s">
        <v>2102</v>
      </c>
      <c r="Z611" t="str">
        <f t="shared" si="116"/>
        <v>No</v>
      </c>
      <c r="AA611" t="str">
        <f t="shared" si="117"/>
        <v>No</v>
      </c>
      <c r="AB611" t="str">
        <f t="shared" si="118"/>
        <v>No</v>
      </c>
      <c r="AC611" s="12">
        <v>68</v>
      </c>
      <c r="AD611" s="12">
        <f t="shared" si="119"/>
        <v>68</v>
      </c>
    </row>
    <row r="612" spans="1:30" x14ac:dyDescent="0.3">
      <c r="A612" t="s">
        <v>1313</v>
      </c>
      <c r="B612" t="s">
        <v>1314</v>
      </c>
      <c r="C612" t="s">
        <v>2597</v>
      </c>
      <c r="D612" t="s">
        <v>2161</v>
      </c>
      <c r="E612" t="str">
        <f t="shared" si="109"/>
        <v>Dustin Smith</v>
      </c>
      <c r="H612" t="s">
        <v>30</v>
      </c>
      <c r="I612" t="str">
        <f t="shared" si="110"/>
        <v>Male</v>
      </c>
      <c r="J612">
        <v>53</v>
      </c>
      <c r="K612">
        <f t="shared" si="111"/>
        <v>53</v>
      </c>
      <c r="L612" t="str">
        <f t="shared" si="112"/>
        <v>Fourth level</v>
      </c>
      <c r="M612" t="s">
        <v>122</v>
      </c>
      <c r="N612" t="s">
        <v>123</v>
      </c>
      <c r="O612" t="s">
        <v>39</v>
      </c>
      <c r="P612">
        <v>21</v>
      </c>
      <c r="Q612">
        <f t="shared" si="113"/>
        <v>21</v>
      </c>
      <c r="R612" t="s">
        <v>76</v>
      </c>
      <c r="S612" s="8" t="s">
        <v>76</v>
      </c>
      <c r="T612" s="9">
        <v>40</v>
      </c>
      <c r="U612" s="9">
        <f t="shared" si="114"/>
        <v>40</v>
      </c>
      <c r="V612" s="10">
        <v>40</v>
      </c>
      <c r="W612">
        <v>4.7</v>
      </c>
      <c r="X612" s="11">
        <f t="shared" si="115"/>
        <v>4.7</v>
      </c>
      <c r="Y612" t="s">
        <v>2103</v>
      </c>
      <c r="Z612" t="str">
        <f t="shared" si="116"/>
        <v>Yes</v>
      </c>
      <c r="AA612" t="str">
        <f t="shared" si="117"/>
        <v>Yes</v>
      </c>
      <c r="AB612" t="str">
        <f t="shared" si="118"/>
        <v>Yes</v>
      </c>
      <c r="AC612" s="12">
        <v>62</v>
      </c>
      <c r="AD612" s="12">
        <f t="shared" si="119"/>
        <v>62</v>
      </c>
    </row>
    <row r="613" spans="1:30" x14ac:dyDescent="0.3">
      <c r="A613" t="s">
        <v>1315</v>
      </c>
      <c r="B613" t="s">
        <v>1316</v>
      </c>
      <c r="C613" t="s">
        <v>2452</v>
      </c>
      <c r="D613" t="s">
        <v>2176</v>
      </c>
      <c r="E613" t="str">
        <f t="shared" si="109"/>
        <v>Sarah White</v>
      </c>
      <c r="H613" t="s">
        <v>22</v>
      </c>
      <c r="I613" t="str">
        <f t="shared" si="110"/>
        <v>Female</v>
      </c>
      <c r="J613">
        <v>54</v>
      </c>
      <c r="K613">
        <f t="shared" si="111"/>
        <v>54</v>
      </c>
      <c r="L613" t="str">
        <f t="shared" si="112"/>
        <v>Fourth level</v>
      </c>
      <c r="M613" t="s">
        <v>15</v>
      </c>
      <c r="N613" t="s">
        <v>16</v>
      </c>
      <c r="O613" t="s">
        <v>25</v>
      </c>
      <c r="P613">
        <v>28</v>
      </c>
      <c r="Q613">
        <f t="shared" si="113"/>
        <v>28</v>
      </c>
      <c r="R613" t="s">
        <v>61</v>
      </c>
      <c r="S613" s="8" t="s">
        <v>2094</v>
      </c>
      <c r="T613" s="9">
        <v>40</v>
      </c>
      <c r="U613" s="9">
        <f t="shared" si="114"/>
        <v>40</v>
      </c>
      <c r="V613" s="10">
        <v>40</v>
      </c>
      <c r="W613">
        <v>1.1000000000000001</v>
      </c>
      <c r="X613" s="11">
        <f t="shared" si="115"/>
        <v>1.1000000000000001</v>
      </c>
      <c r="Y613" t="s">
        <v>170</v>
      </c>
      <c r="Z613" t="str">
        <f t="shared" si="116"/>
        <v>no</v>
      </c>
      <c r="AA613" t="str">
        <f t="shared" si="117"/>
        <v>no</v>
      </c>
      <c r="AB613" t="str">
        <f t="shared" si="118"/>
        <v>No</v>
      </c>
      <c r="AC613" s="12"/>
      <c r="AD613" s="12">
        <f t="shared" si="119"/>
        <v>79.972392638036808</v>
      </c>
    </row>
    <row r="614" spans="1:30" x14ac:dyDescent="0.3">
      <c r="A614" t="s">
        <v>1317</v>
      </c>
      <c r="B614" t="s">
        <v>1318</v>
      </c>
      <c r="C614" t="s">
        <v>2166</v>
      </c>
      <c r="D614" t="s">
        <v>2319</v>
      </c>
      <c r="E614" t="str">
        <f t="shared" si="109"/>
        <v>Michael Davis</v>
      </c>
      <c r="H614" t="s">
        <v>69</v>
      </c>
      <c r="I614" t="str">
        <f t="shared" si="110"/>
        <v>Male</v>
      </c>
      <c r="J614">
        <v>51</v>
      </c>
      <c r="K614">
        <f t="shared" si="111"/>
        <v>51</v>
      </c>
      <c r="L614" t="str">
        <f t="shared" si="112"/>
        <v>Fourth level</v>
      </c>
      <c r="M614" t="s">
        <v>95</v>
      </c>
      <c r="N614" t="s">
        <v>96</v>
      </c>
      <c r="O614" t="s">
        <v>33</v>
      </c>
      <c r="P614">
        <v>5</v>
      </c>
      <c r="Q614">
        <f t="shared" si="113"/>
        <v>5</v>
      </c>
      <c r="R614" t="s">
        <v>34</v>
      </c>
      <c r="S614" s="8" t="s">
        <v>34</v>
      </c>
      <c r="T614" s="9">
        <v>50</v>
      </c>
      <c r="U614" s="9">
        <f t="shared" si="114"/>
        <v>50</v>
      </c>
      <c r="V614" s="10">
        <v>50</v>
      </c>
      <c r="W614">
        <v>4.2</v>
      </c>
      <c r="X614" s="11">
        <f t="shared" si="115"/>
        <v>4.2</v>
      </c>
      <c r="Y614" t="s">
        <v>2103</v>
      </c>
      <c r="Z614" t="str">
        <f t="shared" si="116"/>
        <v>Yes</v>
      </c>
      <c r="AA614" t="str">
        <f t="shared" si="117"/>
        <v>Yes</v>
      </c>
      <c r="AB614" t="str">
        <f t="shared" si="118"/>
        <v>Yes</v>
      </c>
      <c r="AC614" s="12">
        <v>82</v>
      </c>
      <c r="AD614" s="12">
        <f t="shared" si="119"/>
        <v>82</v>
      </c>
    </row>
    <row r="615" spans="1:30" x14ac:dyDescent="0.3">
      <c r="A615" t="s">
        <v>1319</v>
      </c>
      <c r="B615" t="s">
        <v>1320</v>
      </c>
      <c r="C615" t="s">
        <v>2151</v>
      </c>
      <c r="D615" t="s">
        <v>2551</v>
      </c>
      <c r="E615" t="str">
        <f t="shared" si="109"/>
        <v>Jennifer Phillips</v>
      </c>
      <c r="H615" t="s">
        <v>86</v>
      </c>
      <c r="I615" t="str">
        <f t="shared" si="110"/>
        <v>Female</v>
      </c>
      <c r="J615">
        <v>30</v>
      </c>
      <c r="K615">
        <f t="shared" si="111"/>
        <v>30</v>
      </c>
      <c r="L615" t="str">
        <f t="shared" si="112"/>
        <v>First level</v>
      </c>
      <c r="M615" t="s">
        <v>122</v>
      </c>
      <c r="N615" t="s">
        <v>123</v>
      </c>
      <c r="O615" t="s">
        <v>39</v>
      </c>
      <c r="P615">
        <v>0</v>
      </c>
      <c r="Q615">
        <f t="shared" si="113"/>
        <v>0</v>
      </c>
      <c r="R615" t="s">
        <v>65</v>
      </c>
      <c r="S615" s="8" t="s">
        <v>65</v>
      </c>
      <c r="T615" s="9"/>
      <c r="U615" s="9">
        <f t="shared" si="114"/>
        <v>54.239436619718312</v>
      </c>
      <c r="V615" s="10">
        <v>54.239436619718312</v>
      </c>
      <c r="W615">
        <v>0</v>
      </c>
      <c r="X615" s="11">
        <f t="shared" si="115"/>
        <v>0</v>
      </c>
      <c r="Y615" t="s">
        <v>2102</v>
      </c>
      <c r="Z615" t="str">
        <f t="shared" si="116"/>
        <v>No</v>
      </c>
      <c r="AA615" t="str">
        <f t="shared" si="117"/>
        <v>No</v>
      </c>
      <c r="AB615" t="str">
        <f t="shared" si="118"/>
        <v>No</v>
      </c>
      <c r="AC615" s="12"/>
      <c r="AD615" s="12">
        <f t="shared" si="119"/>
        <v>79.966153846153844</v>
      </c>
    </row>
    <row r="616" spans="1:30" x14ac:dyDescent="0.3">
      <c r="A616" t="s">
        <v>1321</v>
      </c>
      <c r="B616" t="s">
        <v>1322</v>
      </c>
      <c r="C616" t="s">
        <v>2742</v>
      </c>
      <c r="D616" t="s">
        <v>2378</v>
      </c>
      <c r="E616" t="str">
        <f t="shared" si="109"/>
        <v>Dana Sanders</v>
      </c>
      <c r="H616" t="s">
        <v>86</v>
      </c>
      <c r="I616" t="str">
        <f t="shared" si="110"/>
        <v>Female</v>
      </c>
      <c r="J616">
        <v>45</v>
      </c>
      <c r="K616">
        <f t="shared" si="111"/>
        <v>45</v>
      </c>
      <c r="L616" t="str">
        <f t="shared" si="112"/>
        <v>Third level</v>
      </c>
      <c r="M616" t="s">
        <v>47</v>
      </c>
      <c r="N616" t="s">
        <v>48</v>
      </c>
      <c r="O616" t="s">
        <v>124</v>
      </c>
      <c r="P616">
        <v>27</v>
      </c>
      <c r="Q616">
        <f t="shared" si="113"/>
        <v>27</v>
      </c>
      <c r="R616" t="s">
        <v>58</v>
      </c>
      <c r="S616" s="8" t="s">
        <v>2093</v>
      </c>
      <c r="T616" s="9">
        <v>75</v>
      </c>
      <c r="U616" s="9">
        <f t="shared" si="114"/>
        <v>75</v>
      </c>
      <c r="V616" s="10">
        <v>75</v>
      </c>
      <c r="W616">
        <v>0</v>
      </c>
      <c r="X616" s="11">
        <f t="shared" si="115"/>
        <v>0</v>
      </c>
      <c r="Y616" t="s">
        <v>65</v>
      </c>
      <c r="AA616" t="str">
        <f t="shared" si="117"/>
        <v>Unknown</v>
      </c>
      <c r="AB616" t="str">
        <f t="shared" si="118"/>
        <v>Unknown</v>
      </c>
      <c r="AC616" s="12">
        <v>85</v>
      </c>
      <c r="AD616" s="12">
        <f t="shared" si="119"/>
        <v>85</v>
      </c>
    </row>
    <row r="617" spans="1:30" x14ac:dyDescent="0.3">
      <c r="A617" t="s">
        <v>1323</v>
      </c>
      <c r="B617" t="s">
        <v>1324</v>
      </c>
      <c r="C617" t="s">
        <v>2447</v>
      </c>
      <c r="D617" t="s">
        <v>2429</v>
      </c>
      <c r="E617" t="str">
        <f t="shared" si="109"/>
        <v>Daniel Quinn</v>
      </c>
      <c r="H617" t="s">
        <v>30</v>
      </c>
      <c r="I617" t="str">
        <f t="shared" si="110"/>
        <v>Male</v>
      </c>
      <c r="J617">
        <v>57</v>
      </c>
      <c r="K617">
        <f t="shared" si="111"/>
        <v>57</v>
      </c>
      <c r="L617" t="str">
        <f t="shared" si="112"/>
        <v>Fourth level</v>
      </c>
      <c r="M617" t="s">
        <v>55</v>
      </c>
      <c r="N617" t="s">
        <v>56</v>
      </c>
      <c r="O617" t="s">
        <v>33</v>
      </c>
      <c r="P617">
        <v>26</v>
      </c>
      <c r="Q617">
        <f t="shared" si="113"/>
        <v>26</v>
      </c>
      <c r="R617" t="s">
        <v>26</v>
      </c>
      <c r="S617" s="8" t="s">
        <v>18</v>
      </c>
      <c r="T617" s="9">
        <v>100</v>
      </c>
      <c r="U617" s="9">
        <f t="shared" si="114"/>
        <v>100</v>
      </c>
      <c r="V617" s="10">
        <v>100</v>
      </c>
      <c r="W617">
        <v>2.4</v>
      </c>
      <c r="X617" s="11">
        <f t="shared" si="115"/>
        <v>2.4</v>
      </c>
      <c r="Y617" t="s">
        <v>2103</v>
      </c>
      <c r="Z617" t="str">
        <f t="shared" si="116"/>
        <v>Yes</v>
      </c>
      <c r="AA617" t="str">
        <f t="shared" si="117"/>
        <v>Yes</v>
      </c>
      <c r="AB617" t="str">
        <f t="shared" si="118"/>
        <v>Yes</v>
      </c>
      <c r="AC617" s="12">
        <v>78</v>
      </c>
      <c r="AD617" s="12">
        <f t="shared" si="119"/>
        <v>78</v>
      </c>
    </row>
    <row r="618" spans="1:30" x14ac:dyDescent="0.3">
      <c r="A618" t="s">
        <v>1325</v>
      </c>
      <c r="B618" t="s">
        <v>1326</v>
      </c>
      <c r="C618" t="s">
        <v>2124</v>
      </c>
      <c r="D618" t="s">
        <v>2743</v>
      </c>
      <c r="E618" t="str">
        <f t="shared" si="109"/>
        <v>Matthew Steele</v>
      </c>
      <c r="H618" t="s">
        <v>107</v>
      </c>
      <c r="I618" t="str">
        <f t="shared" si="110"/>
        <v>Male</v>
      </c>
      <c r="J618">
        <v>38</v>
      </c>
      <c r="K618">
        <f t="shared" si="111"/>
        <v>38</v>
      </c>
      <c r="L618" t="str">
        <f t="shared" si="112"/>
        <v>Second level</v>
      </c>
      <c r="M618" t="s">
        <v>70</v>
      </c>
      <c r="N618" t="s">
        <v>71</v>
      </c>
      <c r="O618" t="s">
        <v>17</v>
      </c>
      <c r="P618">
        <v>19</v>
      </c>
      <c r="Q618">
        <f t="shared" si="113"/>
        <v>19</v>
      </c>
      <c r="R618" t="s">
        <v>76</v>
      </c>
      <c r="S618" s="8" t="s">
        <v>76</v>
      </c>
      <c r="T618" s="9">
        <v>40</v>
      </c>
      <c r="U618" s="9">
        <f t="shared" si="114"/>
        <v>40</v>
      </c>
      <c r="V618" s="10">
        <v>40</v>
      </c>
      <c r="W618">
        <v>0</v>
      </c>
      <c r="X618" s="11">
        <f t="shared" si="115"/>
        <v>0</v>
      </c>
      <c r="Y618" t="s">
        <v>2103</v>
      </c>
      <c r="Z618" t="str">
        <f t="shared" si="116"/>
        <v>Yes</v>
      </c>
      <c r="AA618" t="str">
        <f t="shared" si="117"/>
        <v>Yes</v>
      </c>
      <c r="AB618" t="str">
        <f t="shared" si="118"/>
        <v>Yes</v>
      </c>
      <c r="AC618" s="12">
        <v>86</v>
      </c>
      <c r="AD618" s="12">
        <f t="shared" si="119"/>
        <v>86</v>
      </c>
    </row>
    <row r="619" spans="1:30" x14ac:dyDescent="0.3">
      <c r="A619" t="s">
        <v>1327</v>
      </c>
      <c r="B619" t="s">
        <v>1328</v>
      </c>
      <c r="C619" t="s">
        <v>2727</v>
      </c>
      <c r="D619" t="s">
        <v>2744</v>
      </c>
      <c r="E619" t="str">
        <f t="shared" si="109"/>
        <v>Michele Taylor</v>
      </c>
      <c r="H619" t="s">
        <v>22</v>
      </c>
      <c r="I619" t="str">
        <f t="shared" si="110"/>
        <v>Female</v>
      </c>
      <c r="J619">
        <v>42</v>
      </c>
      <c r="K619">
        <f t="shared" si="111"/>
        <v>42</v>
      </c>
      <c r="L619" t="str">
        <f t="shared" si="112"/>
        <v>Third level</v>
      </c>
      <c r="M619" t="s">
        <v>134</v>
      </c>
      <c r="N619" t="s">
        <v>135</v>
      </c>
      <c r="O619" t="s">
        <v>99</v>
      </c>
      <c r="P619">
        <v>24</v>
      </c>
      <c r="Q619">
        <f t="shared" si="113"/>
        <v>24</v>
      </c>
      <c r="R619" t="s">
        <v>61</v>
      </c>
      <c r="S619" s="8" t="s">
        <v>2094</v>
      </c>
      <c r="T619" s="9">
        <v>40</v>
      </c>
      <c r="U619" s="9">
        <f t="shared" si="114"/>
        <v>40</v>
      </c>
      <c r="V619" s="10">
        <v>40</v>
      </c>
      <c r="X619" s="11">
        <f t="shared" si="115"/>
        <v>2.6238805970149266</v>
      </c>
      <c r="Y619" t="s">
        <v>2102</v>
      </c>
      <c r="Z619" t="str">
        <f t="shared" si="116"/>
        <v>No</v>
      </c>
      <c r="AA619" t="str">
        <f t="shared" si="117"/>
        <v>No</v>
      </c>
      <c r="AB619" t="str">
        <f t="shared" si="118"/>
        <v>No</v>
      </c>
      <c r="AC619" s="12">
        <v>88</v>
      </c>
      <c r="AD619" s="12">
        <f t="shared" si="119"/>
        <v>88</v>
      </c>
    </row>
    <row r="620" spans="1:30" x14ac:dyDescent="0.3">
      <c r="A620" t="s">
        <v>1329</v>
      </c>
      <c r="B620" t="s">
        <v>1330</v>
      </c>
      <c r="C620" t="s">
        <v>2221</v>
      </c>
      <c r="D620" t="s">
        <v>2745</v>
      </c>
      <c r="E620" t="str">
        <f t="shared" si="109"/>
        <v>Ashley Hammond</v>
      </c>
      <c r="H620" t="s">
        <v>86</v>
      </c>
      <c r="I620" t="str">
        <f t="shared" si="110"/>
        <v>Female</v>
      </c>
      <c r="J620">
        <v>30</v>
      </c>
      <c r="K620">
        <f t="shared" si="111"/>
        <v>30</v>
      </c>
      <c r="L620" t="str">
        <f t="shared" si="112"/>
        <v>First level</v>
      </c>
      <c r="M620" t="s">
        <v>164</v>
      </c>
      <c r="N620" t="s">
        <v>165</v>
      </c>
      <c r="O620" t="s">
        <v>99</v>
      </c>
      <c r="P620">
        <v>7</v>
      </c>
      <c r="Q620">
        <f t="shared" si="113"/>
        <v>7</v>
      </c>
      <c r="R620" t="s">
        <v>44</v>
      </c>
      <c r="S620" s="8" t="s">
        <v>44</v>
      </c>
      <c r="T620" s="9">
        <v>30</v>
      </c>
      <c r="U620" s="9">
        <f t="shared" si="114"/>
        <v>30</v>
      </c>
      <c r="V620" s="10">
        <v>30</v>
      </c>
      <c r="W620">
        <v>3.3</v>
      </c>
      <c r="X620" s="11">
        <f t="shared" si="115"/>
        <v>3.3</v>
      </c>
      <c r="Y620" t="s">
        <v>65</v>
      </c>
      <c r="AA620" t="str">
        <f t="shared" si="117"/>
        <v>Unknown</v>
      </c>
      <c r="AB620" t="str">
        <f t="shared" si="118"/>
        <v>Unknown</v>
      </c>
      <c r="AC620" s="12">
        <v>68</v>
      </c>
      <c r="AD620" s="12">
        <f t="shared" si="119"/>
        <v>68</v>
      </c>
    </row>
    <row r="621" spans="1:30" x14ac:dyDescent="0.3">
      <c r="A621" t="s">
        <v>1331</v>
      </c>
      <c r="B621" t="s">
        <v>1332</v>
      </c>
      <c r="C621" t="s">
        <v>2106</v>
      </c>
      <c r="D621" t="s">
        <v>2744</v>
      </c>
      <c r="E621" t="str">
        <f t="shared" si="109"/>
        <v>Nicole Taylor</v>
      </c>
      <c r="H621" t="s">
        <v>43</v>
      </c>
      <c r="I621" t="str">
        <f t="shared" si="110"/>
        <v>Female</v>
      </c>
      <c r="J621">
        <v>43</v>
      </c>
      <c r="K621">
        <f t="shared" si="111"/>
        <v>43</v>
      </c>
      <c r="L621" t="str">
        <f t="shared" si="112"/>
        <v>Third level</v>
      </c>
      <c r="M621" t="s">
        <v>23</v>
      </c>
      <c r="N621" t="s">
        <v>24</v>
      </c>
      <c r="O621" t="s">
        <v>39</v>
      </c>
      <c r="P621">
        <v>13</v>
      </c>
      <c r="Q621">
        <f t="shared" si="113"/>
        <v>13</v>
      </c>
      <c r="R621" t="s">
        <v>240</v>
      </c>
      <c r="S621" s="8" t="s">
        <v>18</v>
      </c>
      <c r="T621" s="9">
        <v>100</v>
      </c>
      <c r="U621" s="9">
        <f t="shared" si="114"/>
        <v>100</v>
      </c>
      <c r="V621" s="10">
        <v>100</v>
      </c>
      <c r="W621">
        <v>1.4</v>
      </c>
      <c r="X621" s="11">
        <f t="shared" si="115"/>
        <v>1.4</v>
      </c>
      <c r="Y621" t="s">
        <v>2103</v>
      </c>
      <c r="Z621" t="str">
        <f t="shared" si="116"/>
        <v>Yes</v>
      </c>
      <c r="AA621" t="str">
        <f t="shared" si="117"/>
        <v>Yes</v>
      </c>
      <c r="AB621" t="str">
        <f t="shared" si="118"/>
        <v>Yes</v>
      </c>
      <c r="AC621" s="12">
        <v>97</v>
      </c>
      <c r="AD621" s="12">
        <f t="shared" si="119"/>
        <v>97</v>
      </c>
    </row>
    <row r="622" spans="1:30" x14ac:dyDescent="0.3">
      <c r="A622" t="s">
        <v>1333</v>
      </c>
      <c r="B622" t="s">
        <v>1334</v>
      </c>
      <c r="C622" t="s">
        <v>2746</v>
      </c>
      <c r="D622" t="s">
        <v>2747</v>
      </c>
      <c r="E622" t="str">
        <f t="shared" si="109"/>
        <v>Casey Bush</v>
      </c>
      <c r="H622" t="s">
        <v>107</v>
      </c>
      <c r="I622" t="str">
        <f t="shared" si="110"/>
        <v>Male</v>
      </c>
      <c r="J622">
        <v>22</v>
      </c>
      <c r="K622">
        <f t="shared" si="111"/>
        <v>22</v>
      </c>
      <c r="L622" t="str">
        <f t="shared" si="112"/>
        <v>First level</v>
      </c>
      <c r="M622" t="s">
        <v>149</v>
      </c>
      <c r="N622" t="s">
        <v>150</v>
      </c>
      <c r="O622" t="s">
        <v>82</v>
      </c>
      <c r="P622">
        <v>2</v>
      </c>
      <c r="Q622">
        <f t="shared" si="113"/>
        <v>2</v>
      </c>
      <c r="R622" t="s">
        <v>181</v>
      </c>
      <c r="S622" s="8" t="s">
        <v>181</v>
      </c>
      <c r="T622" s="9">
        <v>75</v>
      </c>
      <c r="U622" s="9">
        <f t="shared" si="114"/>
        <v>75</v>
      </c>
      <c r="V622" s="10">
        <v>75</v>
      </c>
      <c r="W622">
        <v>1.7</v>
      </c>
      <c r="X622" s="11">
        <f t="shared" si="115"/>
        <v>1.7</v>
      </c>
      <c r="Y622" t="s">
        <v>170</v>
      </c>
      <c r="Z622" t="str">
        <f t="shared" si="116"/>
        <v>no</v>
      </c>
      <c r="AA622" t="str">
        <f t="shared" si="117"/>
        <v>no</v>
      </c>
      <c r="AB622" t="str">
        <f t="shared" si="118"/>
        <v>No</v>
      </c>
      <c r="AC622" s="12">
        <v>91</v>
      </c>
      <c r="AD622" s="12">
        <f t="shared" si="119"/>
        <v>91</v>
      </c>
    </row>
    <row r="623" spans="1:30" x14ac:dyDescent="0.3">
      <c r="A623" t="s">
        <v>1335</v>
      </c>
      <c r="B623" t="s">
        <v>1336</v>
      </c>
      <c r="C623" t="s">
        <v>2145</v>
      </c>
      <c r="D623" t="s">
        <v>2748</v>
      </c>
      <c r="E623" t="str">
        <f t="shared" si="109"/>
        <v>Samuel Patterson</v>
      </c>
      <c r="H623" t="s">
        <v>107</v>
      </c>
      <c r="I623" t="str">
        <f t="shared" si="110"/>
        <v>Male</v>
      </c>
      <c r="J623">
        <v>57</v>
      </c>
      <c r="K623">
        <f t="shared" si="111"/>
        <v>57</v>
      </c>
      <c r="L623" t="str">
        <f t="shared" si="112"/>
        <v>Fourth level</v>
      </c>
      <c r="M623" t="s">
        <v>190</v>
      </c>
      <c r="N623" t="s">
        <v>81</v>
      </c>
      <c r="O623" t="s">
        <v>124</v>
      </c>
      <c r="P623">
        <v>37</v>
      </c>
      <c r="Q623">
        <f t="shared" si="113"/>
        <v>37</v>
      </c>
      <c r="R623" t="s">
        <v>44</v>
      </c>
      <c r="S623" s="8" t="s">
        <v>44</v>
      </c>
      <c r="T623" s="9">
        <v>30</v>
      </c>
      <c r="U623" s="9">
        <f t="shared" si="114"/>
        <v>30</v>
      </c>
      <c r="V623" s="10">
        <v>30</v>
      </c>
      <c r="W623">
        <v>4.8</v>
      </c>
      <c r="X623" s="11">
        <f t="shared" si="115"/>
        <v>4.8</v>
      </c>
      <c r="Y623" t="s">
        <v>2102</v>
      </c>
      <c r="Z623" t="str">
        <f t="shared" si="116"/>
        <v>No</v>
      </c>
      <c r="AA623" t="str">
        <f t="shared" si="117"/>
        <v>No</v>
      </c>
      <c r="AB623" t="str">
        <f t="shared" si="118"/>
        <v>No</v>
      </c>
      <c r="AC623" s="12"/>
      <c r="AD623" s="12">
        <f t="shared" si="119"/>
        <v>79.861635220125791</v>
      </c>
    </row>
    <row r="624" spans="1:30" x14ac:dyDescent="0.3">
      <c r="A624" t="s">
        <v>1337</v>
      </c>
      <c r="B624" t="s">
        <v>1338</v>
      </c>
      <c r="C624" t="s">
        <v>2654</v>
      </c>
      <c r="D624" t="s">
        <v>2749</v>
      </c>
      <c r="E624" t="str">
        <f t="shared" si="109"/>
        <v>Craig Dennis</v>
      </c>
      <c r="H624" t="s">
        <v>69</v>
      </c>
      <c r="I624" t="str">
        <f t="shared" si="110"/>
        <v>Male</v>
      </c>
      <c r="J624">
        <v>44</v>
      </c>
      <c r="K624">
        <f t="shared" si="111"/>
        <v>44</v>
      </c>
      <c r="L624" t="str">
        <f t="shared" si="112"/>
        <v>Third level</v>
      </c>
      <c r="M624" t="s">
        <v>75</v>
      </c>
      <c r="N624" t="s">
        <v>24</v>
      </c>
      <c r="O624" t="s">
        <v>33</v>
      </c>
      <c r="P624">
        <v>1</v>
      </c>
      <c r="Q624">
        <f t="shared" si="113"/>
        <v>1</v>
      </c>
      <c r="R624" t="s">
        <v>65</v>
      </c>
      <c r="S624" s="8" t="s">
        <v>65</v>
      </c>
      <c r="T624" s="9"/>
      <c r="U624" s="9">
        <f t="shared" si="114"/>
        <v>54.020172910662822</v>
      </c>
      <c r="V624" s="10">
        <v>54.020172910662822</v>
      </c>
      <c r="W624">
        <v>4.8</v>
      </c>
      <c r="X624" s="11">
        <f t="shared" si="115"/>
        <v>4.8</v>
      </c>
      <c r="Y624" t="s">
        <v>2102</v>
      </c>
      <c r="Z624" t="str">
        <f t="shared" si="116"/>
        <v>No</v>
      </c>
      <c r="AA624" t="str">
        <f t="shared" si="117"/>
        <v>No</v>
      </c>
      <c r="AB624" t="str">
        <f t="shared" si="118"/>
        <v>No</v>
      </c>
      <c r="AC624" s="12">
        <v>97</v>
      </c>
      <c r="AD624" s="12">
        <f t="shared" si="119"/>
        <v>97</v>
      </c>
    </row>
    <row r="625" spans="1:30" x14ac:dyDescent="0.3">
      <c r="A625" t="s">
        <v>1339</v>
      </c>
      <c r="B625" t="s">
        <v>1340</v>
      </c>
      <c r="C625" t="s">
        <v>2403</v>
      </c>
      <c r="D625" t="s">
        <v>2606</v>
      </c>
      <c r="E625" t="str">
        <f t="shared" si="109"/>
        <v>Heidi Dixon</v>
      </c>
      <c r="H625" t="s">
        <v>43</v>
      </c>
      <c r="I625" t="str">
        <f t="shared" si="110"/>
        <v>Female</v>
      </c>
      <c r="J625">
        <v>46</v>
      </c>
      <c r="K625">
        <f t="shared" si="111"/>
        <v>46</v>
      </c>
      <c r="L625" t="str">
        <f t="shared" si="112"/>
        <v>Third level</v>
      </c>
      <c r="M625" t="s">
        <v>186</v>
      </c>
      <c r="N625" t="s">
        <v>187</v>
      </c>
      <c r="O625" t="s">
        <v>99</v>
      </c>
      <c r="P625">
        <v>5</v>
      </c>
      <c r="Q625">
        <f t="shared" si="113"/>
        <v>5</v>
      </c>
      <c r="R625" t="s">
        <v>119</v>
      </c>
      <c r="S625" s="8" t="s">
        <v>2096</v>
      </c>
      <c r="T625" s="9">
        <v>30</v>
      </c>
      <c r="U625" s="9">
        <f t="shared" si="114"/>
        <v>30</v>
      </c>
      <c r="V625" s="10">
        <v>30</v>
      </c>
      <c r="W625">
        <v>2</v>
      </c>
      <c r="X625" s="11">
        <f t="shared" si="115"/>
        <v>2</v>
      </c>
      <c r="Y625" t="s">
        <v>77</v>
      </c>
      <c r="Z625" t="str">
        <f t="shared" si="116"/>
        <v>yes</v>
      </c>
      <c r="AA625" t="str">
        <f t="shared" si="117"/>
        <v>yes</v>
      </c>
      <c r="AB625" t="str">
        <f t="shared" si="118"/>
        <v>Yes</v>
      </c>
      <c r="AC625" s="12">
        <v>64</v>
      </c>
      <c r="AD625" s="12">
        <f t="shared" si="119"/>
        <v>64</v>
      </c>
    </row>
    <row r="626" spans="1:30" x14ac:dyDescent="0.3">
      <c r="A626" t="s">
        <v>1341</v>
      </c>
      <c r="B626" t="s">
        <v>1342</v>
      </c>
      <c r="C626" t="s">
        <v>2273</v>
      </c>
      <c r="D626" t="s">
        <v>2750</v>
      </c>
      <c r="E626" t="str">
        <f t="shared" si="109"/>
        <v>David Bishop</v>
      </c>
      <c r="H626" t="s">
        <v>107</v>
      </c>
      <c r="I626" t="str">
        <f t="shared" si="110"/>
        <v>Male</v>
      </c>
      <c r="K626">
        <f t="shared" si="111"/>
        <v>41</v>
      </c>
      <c r="L626" t="str">
        <f t="shared" si="112"/>
        <v>Third level</v>
      </c>
      <c r="M626" t="s">
        <v>201</v>
      </c>
      <c r="N626" t="s">
        <v>81</v>
      </c>
      <c r="O626" t="s">
        <v>17</v>
      </c>
      <c r="P626">
        <v>1</v>
      </c>
      <c r="Q626">
        <f t="shared" si="113"/>
        <v>1</v>
      </c>
      <c r="R626" t="s">
        <v>108</v>
      </c>
      <c r="S626" s="8" t="s">
        <v>2095</v>
      </c>
      <c r="T626" s="9">
        <v>50</v>
      </c>
      <c r="U626" s="9">
        <f t="shared" si="114"/>
        <v>50</v>
      </c>
      <c r="V626" s="10">
        <v>50</v>
      </c>
      <c r="W626">
        <v>2.8</v>
      </c>
      <c r="X626" s="11">
        <f t="shared" si="115"/>
        <v>2.8</v>
      </c>
      <c r="Y626" t="s">
        <v>170</v>
      </c>
      <c r="Z626" t="str">
        <f t="shared" si="116"/>
        <v>no</v>
      </c>
      <c r="AA626" t="str">
        <f t="shared" si="117"/>
        <v>no</v>
      </c>
      <c r="AB626" t="str">
        <f t="shared" si="118"/>
        <v>No</v>
      </c>
      <c r="AC626" s="12">
        <v>87</v>
      </c>
      <c r="AD626" s="12">
        <f t="shared" si="119"/>
        <v>87</v>
      </c>
    </row>
    <row r="627" spans="1:30" x14ac:dyDescent="0.3">
      <c r="A627" t="s">
        <v>1343</v>
      </c>
      <c r="B627" t="s">
        <v>1344</v>
      </c>
      <c r="C627" t="s">
        <v>2137</v>
      </c>
      <c r="D627" t="s">
        <v>2751</v>
      </c>
      <c r="E627" t="str">
        <f t="shared" si="109"/>
        <v>Laura Butler</v>
      </c>
      <c r="H627" t="s">
        <v>86</v>
      </c>
      <c r="I627" t="str">
        <f t="shared" si="110"/>
        <v>Female</v>
      </c>
      <c r="J627">
        <v>34</v>
      </c>
      <c r="K627">
        <f t="shared" si="111"/>
        <v>34</v>
      </c>
      <c r="L627" t="str">
        <f t="shared" si="112"/>
        <v>Second level</v>
      </c>
      <c r="M627" t="s">
        <v>23</v>
      </c>
      <c r="N627" t="s">
        <v>24</v>
      </c>
      <c r="O627" t="s">
        <v>57</v>
      </c>
      <c r="P627">
        <v>2</v>
      </c>
      <c r="Q627">
        <f t="shared" si="113"/>
        <v>2</v>
      </c>
      <c r="R627" t="s">
        <v>18</v>
      </c>
      <c r="S627" s="8" t="s">
        <v>18</v>
      </c>
      <c r="T627" s="9">
        <v>100</v>
      </c>
      <c r="U627" s="9">
        <f t="shared" si="114"/>
        <v>100</v>
      </c>
      <c r="V627" s="10">
        <v>100</v>
      </c>
      <c r="W627">
        <v>0</v>
      </c>
      <c r="X627" s="11">
        <f t="shared" si="115"/>
        <v>0</v>
      </c>
      <c r="Y627" t="s">
        <v>2102</v>
      </c>
      <c r="Z627" t="str">
        <f t="shared" si="116"/>
        <v>No</v>
      </c>
      <c r="AA627" t="str">
        <f t="shared" si="117"/>
        <v>No</v>
      </c>
      <c r="AB627" t="str">
        <f t="shared" si="118"/>
        <v>No</v>
      </c>
      <c r="AC627" s="12">
        <v>86</v>
      </c>
      <c r="AD627" s="12">
        <f t="shared" si="119"/>
        <v>86</v>
      </c>
    </row>
    <row r="628" spans="1:30" x14ac:dyDescent="0.3">
      <c r="A628" t="s">
        <v>1345</v>
      </c>
      <c r="B628" t="s">
        <v>1346</v>
      </c>
      <c r="C628" t="s">
        <v>2269</v>
      </c>
      <c r="D628" t="s">
        <v>2602</v>
      </c>
      <c r="E628" t="str">
        <f t="shared" si="109"/>
        <v>Denise Erickson</v>
      </c>
      <c r="H628" t="s">
        <v>86</v>
      </c>
      <c r="I628" t="str">
        <f t="shared" si="110"/>
        <v>Female</v>
      </c>
      <c r="J628">
        <v>46</v>
      </c>
      <c r="K628">
        <f t="shared" si="111"/>
        <v>46</v>
      </c>
      <c r="L628" t="str">
        <f t="shared" si="112"/>
        <v>Third level</v>
      </c>
      <c r="M628" t="s">
        <v>15</v>
      </c>
      <c r="N628" t="s">
        <v>16</v>
      </c>
      <c r="O628" t="s">
        <v>25</v>
      </c>
      <c r="Q628">
        <f t="shared" si="113"/>
        <v>13</v>
      </c>
      <c r="R628" t="s">
        <v>240</v>
      </c>
      <c r="S628" s="8" t="s">
        <v>18</v>
      </c>
      <c r="T628" s="9">
        <v>100</v>
      </c>
      <c r="U628" s="9">
        <f t="shared" si="114"/>
        <v>100</v>
      </c>
      <c r="V628" s="10">
        <v>100</v>
      </c>
      <c r="W628">
        <v>4.4000000000000004</v>
      </c>
      <c r="X628" s="11">
        <f t="shared" si="115"/>
        <v>4.4000000000000004</v>
      </c>
      <c r="Y628" t="s">
        <v>2103</v>
      </c>
      <c r="Z628" t="str">
        <f t="shared" si="116"/>
        <v>Yes</v>
      </c>
      <c r="AA628" t="str">
        <f t="shared" si="117"/>
        <v>Yes</v>
      </c>
      <c r="AB628" t="str">
        <f t="shared" si="118"/>
        <v>Yes</v>
      </c>
      <c r="AC628" s="12">
        <v>97</v>
      </c>
      <c r="AD628" s="12">
        <f t="shared" si="119"/>
        <v>97</v>
      </c>
    </row>
    <row r="629" spans="1:30" x14ac:dyDescent="0.3">
      <c r="A629" t="s">
        <v>1347</v>
      </c>
      <c r="B629" t="s">
        <v>1348</v>
      </c>
      <c r="C629" t="s">
        <v>2106</v>
      </c>
      <c r="D629" t="s">
        <v>2254</v>
      </c>
      <c r="E629" t="str">
        <f t="shared" si="109"/>
        <v>Nicole Austin</v>
      </c>
      <c r="H629" t="s">
        <v>86</v>
      </c>
      <c r="I629" t="str">
        <f t="shared" si="110"/>
        <v>Female</v>
      </c>
      <c r="J629">
        <v>22</v>
      </c>
      <c r="K629">
        <f t="shared" si="111"/>
        <v>22</v>
      </c>
      <c r="L629" t="str">
        <f t="shared" si="112"/>
        <v>First level</v>
      </c>
      <c r="M629" t="s">
        <v>145</v>
      </c>
      <c r="N629" t="s">
        <v>146</v>
      </c>
      <c r="O629" t="s">
        <v>17</v>
      </c>
      <c r="P629">
        <v>0</v>
      </c>
      <c r="Q629">
        <f t="shared" si="113"/>
        <v>0</v>
      </c>
      <c r="R629" t="s">
        <v>119</v>
      </c>
      <c r="S629" s="8" t="s">
        <v>2096</v>
      </c>
      <c r="T629" s="9">
        <v>30</v>
      </c>
      <c r="U629" s="9">
        <f t="shared" si="114"/>
        <v>30</v>
      </c>
      <c r="V629" s="10">
        <v>30</v>
      </c>
      <c r="W629">
        <v>4.9000000000000004</v>
      </c>
      <c r="X629" s="11">
        <f t="shared" si="115"/>
        <v>4.9000000000000004</v>
      </c>
      <c r="Y629" t="s">
        <v>2102</v>
      </c>
      <c r="Z629" t="str">
        <f t="shared" si="116"/>
        <v>No</v>
      </c>
      <c r="AA629" t="str">
        <f t="shared" si="117"/>
        <v>No</v>
      </c>
      <c r="AB629" t="str">
        <f t="shared" si="118"/>
        <v>No</v>
      </c>
      <c r="AC629" s="12">
        <v>73</v>
      </c>
      <c r="AD629" s="12">
        <f t="shared" si="119"/>
        <v>73</v>
      </c>
    </row>
    <row r="630" spans="1:30" x14ac:dyDescent="0.3">
      <c r="A630" t="s">
        <v>1349</v>
      </c>
      <c r="B630" t="s">
        <v>1350</v>
      </c>
      <c r="C630" t="s">
        <v>2565</v>
      </c>
      <c r="D630" t="s">
        <v>2181</v>
      </c>
      <c r="E630" t="str">
        <f t="shared" si="109"/>
        <v>Summer Williams</v>
      </c>
      <c r="H630" t="s">
        <v>43</v>
      </c>
      <c r="I630" t="str">
        <f t="shared" si="110"/>
        <v>Female</v>
      </c>
      <c r="J630">
        <v>23</v>
      </c>
      <c r="K630">
        <f t="shared" si="111"/>
        <v>23</v>
      </c>
      <c r="L630" t="str">
        <f t="shared" si="112"/>
        <v>First level</v>
      </c>
      <c r="M630" t="s">
        <v>164</v>
      </c>
      <c r="N630" t="s">
        <v>165</v>
      </c>
      <c r="O630" t="s">
        <v>49</v>
      </c>
      <c r="P630">
        <v>0</v>
      </c>
      <c r="Q630">
        <f t="shared" si="113"/>
        <v>0</v>
      </c>
      <c r="R630" t="s">
        <v>58</v>
      </c>
      <c r="S630" s="8" t="s">
        <v>2093</v>
      </c>
      <c r="T630" s="9">
        <v>75</v>
      </c>
      <c r="U630" s="9">
        <f t="shared" si="114"/>
        <v>75</v>
      </c>
      <c r="V630" s="10">
        <v>75</v>
      </c>
      <c r="W630">
        <v>2.2999999999999998</v>
      </c>
      <c r="X630" s="11">
        <f t="shared" si="115"/>
        <v>2.2999999999999998</v>
      </c>
      <c r="Y630" t="s">
        <v>65</v>
      </c>
      <c r="AA630" t="str">
        <f t="shared" si="117"/>
        <v>Unknown</v>
      </c>
      <c r="AB630" t="str">
        <f t="shared" si="118"/>
        <v>Unknown</v>
      </c>
      <c r="AC630" s="12">
        <v>60</v>
      </c>
      <c r="AD630" s="12">
        <f t="shared" si="119"/>
        <v>60</v>
      </c>
    </row>
    <row r="631" spans="1:30" x14ac:dyDescent="0.3">
      <c r="A631" t="s">
        <v>1351</v>
      </c>
      <c r="B631" t="s">
        <v>1352</v>
      </c>
      <c r="C631" t="s">
        <v>2516</v>
      </c>
      <c r="D631" t="s">
        <v>2752</v>
      </c>
      <c r="E631" t="str">
        <f t="shared" si="109"/>
        <v>Angela Blackwell</v>
      </c>
      <c r="H631" t="s">
        <v>86</v>
      </c>
      <c r="I631" t="str">
        <f t="shared" si="110"/>
        <v>Female</v>
      </c>
      <c r="J631">
        <v>60</v>
      </c>
      <c r="K631">
        <f t="shared" si="111"/>
        <v>60</v>
      </c>
      <c r="L631" t="str">
        <f t="shared" si="112"/>
        <v>Fourth level</v>
      </c>
      <c r="M631" t="s">
        <v>70</v>
      </c>
      <c r="N631" t="s">
        <v>71</v>
      </c>
      <c r="O631" t="s">
        <v>39</v>
      </c>
      <c r="P631">
        <v>41</v>
      </c>
      <c r="Q631">
        <f t="shared" si="113"/>
        <v>41</v>
      </c>
      <c r="R631" t="s">
        <v>40</v>
      </c>
      <c r="S631" s="8" t="s">
        <v>40</v>
      </c>
      <c r="T631" s="9">
        <v>40</v>
      </c>
      <c r="U631" s="9">
        <f t="shared" si="114"/>
        <v>40</v>
      </c>
      <c r="V631" s="10">
        <v>40</v>
      </c>
      <c r="W631">
        <v>4.9000000000000004</v>
      </c>
      <c r="X631" s="11">
        <f t="shared" si="115"/>
        <v>4.9000000000000004</v>
      </c>
      <c r="Y631" t="s">
        <v>2103</v>
      </c>
      <c r="Z631" t="str">
        <f t="shared" si="116"/>
        <v>Yes</v>
      </c>
      <c r="AA631" t="str">
        <f t="shared" si="117"/>
        <v>Yes</v>
      </c>
      <c r="AB631" t="str">
        <f t="shared" si="118"/>
        <v>Yes</v>
      </c>
      <c r="AC631" s="12">
        <v>66</v>
      </c>
      <c r="AD631" s="12">
        <f t="shared" si="119"/>
        <v>66</v>
      </c>
    </row>
    <row r="632" spans="1:30" x14ac:dyDescent="0.3">
      <c r="A632" t="s">
        <v>1353</v>
      </c>
      <c r="B632" t="s">
        <v>1354</v>
      </c>
      <c r="C632" t="s">
        <v>2231</v>
      </c>
      <c r="D632" t="s">
        <v>2594</v>
      </c>
      <c r="E632" t="str">
        <f t="shared" si="109"/>
        <v>Thomas Wall</v>
      </c>
      <c r="H632" t="s">
        <v>107</v>
      </c>
      <c r="I632" t="str">
        <f t="shared" si="110"/>
        <v>Male</v>
      </c>
      <c r="J632">
        <v>20</v>
      </c>
      <c r="K632">
        <f t="shared" si="111"/>
        <v>20</v>
      </c>
      <c r="L632" t="str">
        <f t="shared" si="112"/>
        <v>First level</v>
      </c>
      <c r="M632" t="s">
        <v>138</v>
      </c>
      <c r="N632" t="s">
        <v>24</v>
      </c>
      <c r="O632" t="s">
        <v>99</v>
      </c>
      <c r="Q632">
        <f t="shared" si="113"/>
        <v>3</v>
      </c>
      <c r="R632" t="s">
        <v>181</v>
      </c>
      <c r="S632" s="8" t="s">
        <v>181</v>
      </c>
      <c r="T632" s="9">
        <v>75</v>
      </c>
      <c r="U632" s="9">
        <f t="shared" si="114"/>
        <v>75</v>
      </c>
      <c r="V632" s="10">
        <v>75</v>
      </c>
      <c r="W632">
        <v>4.3</v>
      </c>
      <c r="X632" s="11">
        <f t="shared" si="115"/>
        <v>4.3</v>
      </c>
      <c r="Y632" t="s">
        <v>2102</v>
      </c>
      <c r="Z632" t="str">
        <f t="shared" si="116"/>
        <v>No</v>
      </c>
      <c r="AA632" t="str">
        <f t="shared" si="117"/>
        <v>No</v>
      </c>
      <c r="AB632" t="str">
        <f t="shared" si="118"/>
        <v>No</v>
      </c>
      <c r="AC632" s="12">
        <v>90</v>
      </c>
      <c r="AD632" s="12">
        <f t="shared" si="119"/>
        <v>90</v>
      </c>
    </row>
    <row r="633" spans="1:30" x14ac:dyDescent="0.3">
      <c r="A633" t="s">
        <v>1355</v>
      </c>
      <c r="B633" t="s">
        <v>1356</v>
      </c>
      <c r="C633" t="s">
        <v>2452</v>
      </c>
      <c r="D633" t="s">
        <v>2167</v>
      </c>
      <c r="E633" t="str">
        <f t="shared" si="109"/>
        <v>Sarah Anderson</v>
      </c>
      <c r="H633" t="s">
        <v>86</v>
      </c>
      <c r="I633" t="str">
        <f t="shared" si="110"/>
        <v>Female</v>
      </c>
      <c r="J633">
        <v>41</v>
      </c>
      <c r="K633">
        <f t="shared" si="111"/>
        <v>41</v>
      </c>
      <c r="L633" t="str">
        <f t="shared" si="112"/>
        <v>Third level</v>
      </c>
      <c r="M633" t="s">
        <v>122</v>
      </c>
      <c r="N633" t="s">
        <v>123</v>
      </c>
      <c r="O633" t="s">
        <v>82</v>
      </c>
      <c r="P633">
        <v>23</v>
      </c>
      <c r="Q633">
        <f t="shared" si="113"/>
        <v>23</v>
      </c>
      <c r="R633" t="s">
        <v>181</v>
      </c>
      <c r="S633" s="8" t="s">
        <v>181</v>
      </c>
      <c r="T633" s="9">
        <v>75</v>
      </c>
      <c r="U633" s="9">
        <f t="shared" si="114"/>
        <v>75</v>
      </c>
      <c r="V633" s="10">
        <v>75</v>
      </c>
      <c r="W633">
        <v>1.4</v>
      </c>
      <c r="X633" s="11">
        <f t="shared" si="115"/>
        <v>1.4</v>
      </c>
      <c r="Y633" t="s">
        <v>2102</v>
      </c>
      <c r="Z633" t="str">
        <f t="shared" si="116"/>
        <v>No</v>
      </c>
      <c r="AA633" t="str">
        <f t="shared" si="117"/>
        <v>No</v>
      </c>
      <c r="AB633" t="str">
        <f t="shared" si="118"/>
        <v>No</v>
      </c>
      <c r="AC633" s="12"/>
      <c r="AD633" s="12">
        <f t="shared" si="119"/>
        <v>79.857605177993534</v>
      </c>
    </row>
    <row r="634" spans="1:30" x14ac:dyDescent="0.3">
      <c r="A634" t="s">
        <v>1357</v>
      </c>
      <c r="B634" t="s">
        <v>1358</v>
      </c>
      <c r="C634" t="s">
        <v>2353</v>
      </c>
      <c r="D634" t="s">
        <v>2753</v>
      </c>
      <c r="E634" t="str">
        <f t="shared" si="109"/>
        <v>Christian Lane</v>
      </c>
      <c r="H634" t="s">
        <v>107</v>
      </c>
      <c r="I634" t="str">
        <f t="shared" si="110"/>
        <v>Male</v>
      </c>
      <c r="J634">
        <v>24</v>
      </c>
      <c r="K634">
        <f t="shared" si="111"/>
        <v>24</v>
      </c>
      <c r="L634" t="str">
        <f t="shared" si="112"/>
        <v>First level</v>
      </c>
      <c r="M634" t="s">
        <v>145</v>
      </c>
      <c r="N634" t="s">
        <v>146</v>
      </c>
      <c r="O634" t="s">
        <v>25</v>
      </c>
      <c r="P634">
        <v>0</v>
      </c>
      <c r="Q634">
        <f t="shared" si="113"/>
        <v>0</v>
      </c>
      <c r="R634" t="s">
        <v>18</v>
      </c>
      <c r="S634" s="8" t="s">
        <v>18</v>
      </c>
      <c r="T634" s="9">
        <v>100</v>
      </c>
      <c r="U634" s="9">
        <f t="shared" si="114"/>
        <v>100</v>
      </c>
      <c r="V634" s="10">
        <v>100</v>
      </c>
      <c r="X634" s="11">
        <f t="shared" si="115"/>
        <v>2.6043613707165125</v>
      </c>
      <c r="Y634" t="s">
        <v>170</v>
      </c>
      <c r="Z634" t="str">
        <f t="shared" si="116"/>
        <v>no</v>
      </c>
      <c r="AA634" t="str">
        <f t="shared" si="117"/>
        <v>no</v>
      </c>
      <c r="AB634" t="str">
        <f t="shared" si="118"/>
        <v>No</v>
      </c>
      <c r="AC634" s="12"/>
      <c r="AD634" s="12">
        <f t="shared" si="119"/>
        <v>79.857605177993534</v>
      </c>
    </row>
    <row r="635" spans="1:30" x14ac:dyDescent="0.3">
      <c r="A635" t="s">
        <v>1359</v>
      </c>
      <c r="B635" t="s">
        <v>1360</v>
      </c>
      <c r="C635" t="s">
        <v>2214</v>
      </c>
      <c r="D635" t="s">
        <v>2746</v>
      </c>
      <c r="E635" t="str">
        <f t="shared" si="109"/>
        <v>Todd Casey</v>
      </c>
      <c r="H635" t="s">
        <v>107</v>
      </c>
      <c r="I635" t="str">
        <f t="shared" si="110"/>
        <v>Male</v>
      </c>
      <c r="J635">
        <v>44</v>
      </c>
      <c r="K635">
        <f t="shared" si="111"/>
        <v>44</v>
      </c>
      <c r="L635" t="str">
        <f t="shared" si="112"/>
        <v>Third level</v>
      </c>
      <c r="M635" t="s">
        <v>47</v>
      </c>
      <c r="N635" t="s">
        <v>48</v>
      </c>
      <c r="O635" t="s">
        <v>124</v>
      </c>
      <c r="P635">
        <v>4</v>
      </c>
      <c r="Q635">
        <f t="shared" si="113"/>
        <v>4</v>
      </c>
      <c r="R635" t="s">
        <v>65</v>
      </c>
      <c r="S635" s="8" t="s">
        <v>65</v>
      </c>
      <c r="T635" s="9"/>
      <c r="U635" s="9">
        <f t="shared" si="114"/>
        <v>53.82789317507418</v>
      </c>
      <c r="V635" s="10">
        <v>53.82789317507418</v>
      </c>
      <c r="W635">
        <v>1.3</v>
      </c>
      <c r="X635" s="11">
        <f t="shared" si="115"/>
        <v>1.3</v>
      </c>
      <c r="Y635" t="s">
        <v>77</v>
      </c>
      <c r="Z635" t="str">
        <f t="shared" si="116"/>
        <v>yes</v>
      </c>
      <c r="AA635" t="str">
        <f t="shared" si="117"/>
        <v>yes</v>
      </c>
      <c r="AB635" t="str">
        <f t="shared" si="118"/>
        <v>Yes</v>
      </c>
      <c r="AC635" s="12">
        <v>77</v>
      </c>
      <c r="AD635" s="12">
        <f t="shared" si="119"/>
        <v>77</v>
      </c>
    </row>
    <row r="636" spans="1:30" x14ac:dyDescent="0.3">
      <c r="A636" t="s">
        <v>1361</v>
      </c>
      <c r="B636" t="s">
        <v>1362</v>
      </c>
      <c r="C636" t="s">
        <v>2273</v>
      </c>
      <c r="D636" t="s">
        <v>2405</v>
      </c>
      <c r="E636" t="str">
        <f t="shared" si="109"/>
        <v>David Martinez</v>
      </c>
      <c r="H636" t="s">
        <v>69</v>
      </c>
      <c r="I636" t="str">
        <f t="shared" si="110"/>
        <v>Male</v>
      </c>
      <c r="J636">
        <v>52</v>
      </c>
      <c r="K636">
        <f t="shared" si="111"/>
        <v>52</v>
      </c>
      <c r="L636" t="str">
        <f t="shared" si="112"/>
        <v>Fourth level</v>
      </c>
      <c r="M636" t="s">
        <v>186</v>
      </c>
      <c r="N636" t="s">
        <v>187</v>
      </c>
      <c r="O636" t="s">
        <v>82</v>
      </c>
      <c r="P636">
        <v>4</v>
      </c>
      <c r="Q636">
        <f t="shared" si="113"/>
        <v>4</v>
      </c>
      <c r="R636" t="s">
        <v>92</v>
      </c>
      <c r="S636" s="8" t="s">
        <v>92</v>
      </c>
      <c r="T636" s="9">
        <v>75</v>
      </c>
      <c r="U636" s="9">
        <f t="shared" si="114"/>
        <v>75</v>
      </c>
      <c r="V636" s="10">
        <v>75</v>
      </c>
      <c r="W636">
        <v>2.2999999999999998</v>
      </c>
      <c r="X636" s="11">
        <f t="shared" si="115"/>
        <v>2.2999999999999998</v>
      </c>
      <c r="Y636" t="s">
        <v>2103</v>
      </c>
      <c r="Z636" t="str">
        <f t="shared" si="116"/>
        <v>Yes</v>
      </c>
      <c r="AA636" t="str">
        <f t="shared" si="117"/>
        <v>Yes</v>
      </c>
      <c r="AB636" t="str">
        <f t="shared" si="118"/>
        <v>Yes</v>
      </c>
      <c r="AC636" s="12">
        <v>79</v>
      </c>
      <c r="AD636" s="12">
        <f t="shared" si="119"/>
        <v>79</v>
      </c>
    </row>
    <row r="637" spans="1:30" x14ac:dyDescent="0.3">
      <c r="A637" t="s">
        <v>1363</v>
      </c>
      <c r="B637" t="s">
        <v>1364</v>
      </c>
      <c r="C637" t="s">
        <v>2359</v>
      </c>
      <c r="D637" t="s">
        <v>2754</v>
      </c>
      <c r="E637" t="str">
        <f t="shared" si="109"/>
        <v>Donald Salas</v>
      </c>
      <c r="H637" t="s">
        <v>107</v>
      </c>
      <c r="I637" t="str">
        <f t="shared" si="110"/>
        <v>Male</v>
      </c>
      <c r="J637">
        <v>35</v>
      </c>
      <c r="K637">
        <f t="shared" si="111"/>
        <v>35</v>
      </c>
      <c r="L637" t="str">
        <f t="shared" si="112"/>
        <v>Second level</v>
      </c>
      <c r="M637" t="s">
        <v>201</v>
      </c>
      <c r="N637" t="s">
        <v>81</v>
      </c>
      <c r="O637" t="s">
        <v>124</v>
      </c>
      <c r="P637">
        <v>13</v>
      </c>
      <c r="Q637">
        <f t="shared" si="113"/>
        <v>13</v>
      </c>
      <c r="R637" t="s">
        <v>76</v>
      </c>
      <c r="S637" s="8" t="s">
        <v>76</v>
      </c>
      <c r="T637" s="9">
        <v>40</v>
      </c>
      <c r="U637" s="9">
        <f t="shared" si="114"/>
        <v>40</v>
      </c>
      <c r="V637" s="10">
        <v>40</v>
      </c>
      <c r="W637">
        <v>3.6</v>
      </c>
      <c r="X637" s="11">
        <f t="shared" si="115"/>
        <v>3.6</v>
      </c>
      <c r="Y637" t="s">
        <v>2102</v>
      </c>
      <c r="Z637" t="str">
        <f t="shared" si="116"/>
        <v>No</v>
      </c>
      <c r="AA637" t="str">
        <f t="shared" si="117"/>
        <v>No</v>
      </c>
      <c r="AB637" t="str">
        <f t="shared" si="118"/>
        <v>No</v>
      </c>
      <c r="AC637" s="12">
        <v>83</v>
      </c>
      <c r="AD637" s="12">
        <f t="shared" si="119"/>
        <v>83</v>
      </c>
    </row>
    <row r="638" spans="1:30" x14ac:dyDescent="0.3">
      <c r="A638" t="s">
        <v>1365</v>
      </c>
      <c r="B638" t="s">
        <v>1366</v>
      </c>
      <c r="C638" t="s">
        <v>2755</v>
      </c>
      <c r="D638" t="s">
        <v>2582</v>
      </c>
      <c r="E638" t="str">
        <f t="shared" si="109"/>
        <v>Emma Hicks</v>
      </c>
      <c r="H638" t="s">
        <v>86</v>
      </c>
      <c r="I638" t="str">
        <f t="shared" si="110"/>
        <v>Female</v>
      </c>
      <c r="J638">
        <v>24</v>
      </c>
      <c r="K638">
        <f t="shared" si="111"/>
        <v>24</v>
      </c>
      <c r="L638" t="str">
        <f t="shared" si="112"/>
        <v>First level</v>
      </c>
      <c r="M638" t="s">
        <v>47</v>
      </c>
      <c r="N638" t="s">
        <v>48</v>
      </c>
      <c r="O638" t="s">
        <v>99</v>
      </c>
      <c r="P638">
        <v>2</v>
      </c>
      <c r="Q638">
        <f t="shared" si="113"/>
        <v>2</v>
      </c>
      <c r="R638" t="s">
        <v>72</v>
      </c>
      <c r="S638" s="8" t="s">
        <v>72</v>
      </c>
      <c r="T638" s="9">
        <v>50</v>
      </c>
      <c r="U638" s="9">
        <f t="shared" si="114"/>
        <v>50</v>
      </c>
      <c r="V638" s="10">
        <v>50</v>
      </c>
      <c r="X638" s="11">
        <f t="shared" si="115"/>
        <v>2.6062893081761027</v>
      </c>
      <c r="Y638" t="s">
        <v>2102</v>
      </c>
      <c r="Z638" t="str">
        <f t="shared" si="116"/>
        <v>No</v>
      </c>
      <c r="AA638" t="str">
        <f t="shared" si="117"/>
        <v>No</v>
      </c>
      <c r="AB638" t="str">
        <f t="shared" si="118"/>
        <v>No</v>
      </c>
      <c r="AC638" s="12">
        <v>64</v>
      </c>
      <c r="AD638" s="12">
        <f t="shared" si="119"/>
        <v>64</v>
      </c>
    </row>
    <row r="639" spans="1:30" x14ac:dyDescent="0.3">
      <c r="A639" t="s">
        <v>1367</v>
      </c>
      <c r="B639" t="s">
        <v>1368</v>
      </c>
      <c r="C639" t="s">
        <v>2756</v>
      </c>
      <c r="D639" t="s">
        <v>2315</v>
      </c>
      <c r="E639" t="str">
        <f t="shared" si="109"/>
        <v>Alison Clark</v>
      </c>
      <c r="H639" t="s">
        <v>22</v>
      </c>
      <c r="I639" t="str">
        <f t="shared" si="110"/>
        <v>Female</v>
      </c>
      <c r="J639">
        <v>46</v>
      </c>
      <c r="K639">
        <f t="shared" si="111"/>
        <v>46</v>
      </c>
      <c r="L639" t="str">
        <f t="shared" si="112"/>
        <v>Third level</v>
      </c>
      <c r="M639" t="s">
        <v>23</v>
      </c>
      <c r="N639" t="s">
        <v>24</v>
      </c>
      <c r="O639" t="s">
        <v>87</v>
      </c>
      <c r="P639">
        <v>25</v>
      </c>
      <c r="Q639">
        <f t="shared" si="113"/>
        <v>25</v>
      </c>
      <c r="R639" t="s">
        <v>240</v>
      </c>
      <c r="S639" s="8" t="s">
        <v>18</v>
      </c>
      <c r="T639" s="9">
        <v>100</v>
      </c>
      <c r="U639" s="9">
        <f t="shared" si="114"/>
        <v>100</v>
      </c>
      <c r="V639" s="10">
        <v>100</v>
      </c>
      <c r="W639">
        <v>1.3</v>
      </c>
      <c r="X639" s="11">
        <f t="shared" si="115"/>
        <v>1.3</v>
      </c>
      <c r="Y639" t="s">
        <v>170</v>
      </c>
      <c r="Z639" t="str">
        <f t="shared" si="116"/>
        <v>no</v>
      </c>
      <c r="AA639" t="str">
        <f t="shared" si="117"/>
        <v>no</v>
      </c>
      <c r="AB639" t="str">
        <f t="shared" si="118"/>
        <v>No</v>
      </c>
      <c r="AC639" s="12">
        <v>80</v>
      </c>
      <c r="AD639" s="12">
        <f t="shared" si="119"/>
        <v>80</v>
      </c>
    </row>
    <row r="640" spans="1:30" x14ac:dyDescent="0.3">
      <c r="A640" t="s">
        <v>1369</v>
      </c>
      <c r="B640" t="s">
        <v>1370</v>
      </c>
      <c r="C640" t="s">
        <v>2251</v>
      </c>
      <c r="D640" t="s">
        <v>2704</v>
      </c>
      <c r="E640" t="str">
        <f t="shared" si="109"/>
        <v>Andrew Barnes</v>
      </c>
      <c r="H640" t="s">
        <v>107</v>
      </c>
      <c r="I640" t="str">
        <f t="shared" si="110"/>
        <v>Male</v>
      </c>
      <c r="J640">
        <v>57</v>
      </c>
      <c r="K640">
        <f t="shared" si="111"/>
        <v>57</v>
      </c>
      <c r="L640" t="str">
        <f t="shared" si="112"/>
        <v>Fourth level</v>
      </c>
      <c r="M640" t="s">
        <v>190</v>
      </c>
      <c r="N640" t="s">
        <v>81</v>
      </c>
      <c r="O640" t="s">
        <v>25</v>
      </c>
      <c r="P640">
        <v>18</v>
      </c>
      <c r="Q640">
        <f t="shared" si="113"/>
        <v>18</v>
      </c>
      <c r="R640" t="s">
        <v>119</v>
      </c>
      <c r="S640" s="8" t="s">
        <v>2096</v>
      </c>
      <c r="T640" s="9">
        <v>30</v>
      </c>
      <c r="U640" s="9">
        <f t="shared" si="114"/>
        <v>30</v>
      </c>
      <c r="V640" s="10">
        <v>30</v>
      </c>
      <c r="W640">
        <v>1.1000000000000001</v>
      </c>
      <c r="X640" s="11">
        <f t="shared" si="115"/>
        <v>1.1000000000000001</v>
      </c>
      <c r="Y640" t="s">
        <v>2102</v>
      </c>
      <c r="Z640" t="str">
        <f t="shared" si="116"/>
        <v>No</v>
      </c>
      <c r="AA640" t="str">
        <f t="shared" si="117"/>
        <v>No</v>
      </c>
      <c r="AB640" t="str">
        <f t="shared" si="118"/>
        <v>No</v>
      </c>
      <c r="AC640" s="12">
        <v>90</v>
      </c>
      <c r="AD640" s="12">
        <f t="shared" si="119"/>
        <v>90</v>
      </c>
    </row>
    <row r="641" spans="1:30" x14ac:dyDescent="0.3">
      <c r="A641" t="s">
        <v>1371</v>
      </c>
      <c r="B641" t="s">
        <v>1372</v>
      </c>
      <c r="C641" t="s">
        <v>2227</v>
      </c>
      <c r="D641" t="s">
        <v>2169</v>
      </c>
      <c r="E641" t="str">
        <f t="shared" si="109"/>
        <v>Gina Snyder</v>
      </c>
      <c r="H641" t="s">
        <v>86</v>
      </c>
      <c r="I641" t="str">
        <f t="shared" si="110"/>
        <v>Female</v>
      </c>
      <c r="J641">
        <v>49</v>
      </c>
      <c r="K641">
        <f t="shared" si="111"/>
        <v>49</v>
      </c>
      <c r="L641" t="str">
        <f t="shared" si="112"/>
        <v>Third level</v>
      </c>
      <c r="M641" t="s">
        <v>190</v>
      </c>
      <c r="N641" t="s">
        <v>81</v>
      </c>
      <c r="O641" t="s">
        <v>39</v>
      </c>
      <c r="P641">
        <v>24</v>
      </c>
      <c r="Q641">
        <f t="shared" si="113"/>
        <v>24</v>
      </c>
      <c r="R641" t="s">
        <v>72</v>
      </c>
      <c r="S641" s="8" t="s">
        <v>72</v>
      </c>
      <c r="T641" s="9">
        <v>50</v>
      </c>
      <c r="U641" s="9">
        <f t="shared" si="114"/>
        <v>50</v>
      </c>
      <c r="V641" s="10">
        <v>50</v>
      </c>
      <c r="W641">
        <v>0</v>
      </c>
      <c r="X641" s="11">
        <f t="shared" si="115"/>
        <v>0</v>
      </c>
      <c r="Y641" t="s">
        <v>2102</v>
      </c>
      <c r="Z641" t="str">
        <f t="shared" si="116"/>
        <v>No</v>
      </c>
      <c r="AA641" t="str">
        <f t="shared" si="117"/>
        <v>No</v>
      </c>
      <c r="AB641" t="str">
        <f t="shared" si="118"/>
        <v>No</v>
      </c>
      <c r="AC641" s="12">
        <v>94</v>
      </c>
      <c r="AD641" s="12">
        <f t="shared" si="119"/>
        <v>94</v>
      </c>
    </row>
    <row r="642" spans="1:30" x14ac:dyDescent="0.3">
      <c r="A642" t="s">
        <v>1373</v>
      </c>
      <c r="B642" t="s">
        <v>1374</v>
      </c>
      <c r="C642" t="s">
        <v>2273</v>
      </c>
      <c r="D642" t="s">
        <v>2453</v>
      </c>
      <c r="E642" t="str">
        <f t="shared" si="109"/>
        <v>David Watson</v>
      </c>
      <c r="H642" t="s">
        <v>69</v>
      </c>
      <c r="I642" t="str">
        <f t="shared" si="110"/>
        <v>Male</v>
      </c>
      <c r="J642">
        <v>41</v>
      </c>
      <c r="K642">
        <f t="shared" si="111"/>
        <v>41</v>
      </c>
      <c r="L642" t="str">
        <f t="shared" si="112"/>
        <v>Third level</v>
      </c>
      <c r="M642" t="s">
        <v>95</v>
      </c>
      <c r="N642" t="s">
        <v>96</v>
      </c>
      <c r="O642" t="s">
        <v>49</v>
      </c>
      <c r="P642">
        <v>7</v>
      </c>
      <c r="Q642">
        <f t="shared" si="113"/>
        <v>7</v>
      </c>
      <c r="R642" t="s">
        <v>76</v>
      </c>
      <c r="S642" s="8" t="s">
        <v>76</v>
      </c>
      <c r="T642" s="9">
        <v>40</v>
      </c>
      <c r="U642" s="9">
        <f t="shared" si="114"/>
        <v>40</v>
      </c>
      <c r="V642" s="10">
        <v>40</v>
      </c>
      <c r="W642">
        <v>1.8</v>
      </c>
      <c r="X642" s="11">
        <f t="shared" si="115"/>
        <v>1.8</v>
      </c>
      <c r="Y642" t="s">
        <v>2102</v>
      </c>
      <c r="Z642" t="str">
        <f t="shared" si="116"/>
        <v>No</v>
      </c>
      <c r="AA642" t="str">
        <f t="shared" si="117"/>
        <v>No</v>
      </c>
      <c r="AB642" t="str">
        <f t="shared" si="118"/>
        <v>No</v>
      </c>
      <c r="AC642" s="12">
        <v>70</v>
      </c>
      <c r="AD642" s="12">
        <f t="shared" si="119"/>
        <v>70</v>
      </c>
    </row>
    <row r="643" spans="1:30" x14ac:dyDescent="0.3">
      <c r="A643" t="s">
        <v>1375</v>
      </c>
      <c r="B643" t="s">
        <v>1376</v>
      </c>
      <c r="C643" t="s">
        <v>2366</v>
      </c>
      <c r="D643" t="s">
        <v>2319</v>
      </c>
      <c r="E643" t="str">
        <f t="shared" ref="E643:E706" si="120">CONCATENATE(C643," ",D643)</f>
        <v>John Davis</v>
      </c>
      <c r="H643" t="s">
        <v>30</v>
      </c>
      <c r="I643" t="str">
        <f t="shared" ref="I643:I706" si="121">PROPER(H643)</f>
        <v>Male</v>
      </c>
      <c r="J643">
        <v>22</v>
      </c>
      <c r="K643">
        <f t="shared" ref="K643:K706" si="122">IF(ISBLANK(J643),ROUND(AVERAGEIF($I$2:$I$1001,I643,$J$2:$J$1001),0),J643)</f>
        <v>22</v>
      </c>
      <c r="L643" t="str">
        <f t="shared" ref="L643:L706" si="123">IF(AND(K643&gt;=20,K643&lt;=30),"First level",IF(AND(K643&gt;30,K643&lt;=40),"Second level",IF(AND(K643&gt;40,K643&lt;=50),"Third level",IF(H650&gt;50,"Fourth level"))))</f>
        <v>First level</v>
      </c>
      <c r="M643" t="s">
        <v>190</v>
      </c>
      <c r="N643" t="s">
        <v>81</v>
      </c>
      <c r="O643" t="s">
        <v>124</v>
      </c>
      <c r="P643">
        <v>1</v>
      </c>
      <c r="Q643">
        <f t="shared" ref="Q643:Q706" si="124">IF(ISBLANK(P643),ROUND(AVERAGEIF($L$2:$L$1001,L643,$P$2:$P$1001),0),P643)</f>
        <v>1</v>
      </c>
      <c r="R643" t="s">
        <v>325</v>
      </c>
      <c r="S643" s="8" t="s">
        <v>2097</v>
      </c>
      <c r="T643" s="9">
        <v>20</v>
      </c>
      <c r="U643" s="9">
        <f t="shared" ref="U643:U706" si="125">IF(ISBLANK(T643),AVERAGE(T642:T1642),T643)</f>
        <v>20</v>
      </c>
      <c r="V643" s="10">
        <v>20</v>
      </c>
      <c r="X643" s="11">
        <f t="shared" ref="X643:X706" si="126">IF(ISBLANK(W643),AVERAGE(W643:W1642),W643)</f>
        <v>2.6261146496815306</v>
      </c>
      <c r="Y643" t="s">
        <v>77</v>
      </c>
      <c r="Z643" t="str">
        <f t="shared" ref="Z643:Z706" si="127">CLEAN(Y643)</f>
        <v>yes</v>
      </c>
      <c r="AA643" t="str">
        <f t="shared" ref="AA643:AA706" si="128">IF(ISBLANK(Z643),"Unknown",Z643)</f>
        <v>yes</v>
      </c>
      <c r="AB643" t="str">
        <f t="shared" ref="AB643:AB706" si="129">PROPER(AA643)</f>
        <v>Yes</v>
      </c>
      <c r="AC643" s="12">
        <v>75</v>
      </c>
      <c r="AD643" s="12">
        <f t="shared" ref="AD643:AD706" si="130">IF(ISBLANK(AC643),AVERAGE(AC643:AC1642),AC643)</f>
        <v>75</v>
      </c>
    </row>
    <row r="644" spans="1:30" x14ac:dyDescent="0.3">
      <c r="A644" t="s">
        <v>1377</v>
      </c>
      <c r="B644" t="s">
        <v>1378</v>
      </c>
      <c r="C644" t="s">
        <v>2380</v>
      </c>
      <c r="D644" t="s">
        <v>2231</v>
      </c>
      <c r="E644" t="str">
        <f t="shared" si="120"/>
        <v>Joseph Thomas</v>
      </c>
      <c r="H644" t="s">
        <v>30</v>
      </c>
      <c r="I644" t="str">
        <f t="shared" si="121"/>
        <v>Male</v>
      </c>
      <c r="J644">
        <v>50</v>
      </c>
      <c r="K644">
        <f t="shared" si="122"/>
        <v>50</v>
      </c>
      <c r="L644" t="str">
        <f t="shared" si="123"/>
        <v>Third level</v>
      </c>
      <c r="M644" t="s">
        <v>23</v>
      </c>
      <c r="N644" t="s">
        <v>24</v>
      </c>
      <c r="O644" t="s">
        <v>17</v>
      </c>
      <c r="P644">
        <v>17</v>
      </c>
      <c r="Q644">
        <f t="shared" si="124"/>
        <v>17</v>
      </c>
      <c r="R644" t="s">
        <v>92</v>
      </c>
      <c r="S644" s="8" t="s">
        <v>92</v>
      </c>
      <c r="T644" s="9">
        <v>75</v>
      </c>
      <c r="U644" s="9">
        <f t="shared" si="125"/>
        <v>75</v>
      </c>
      <c r="V644" s="10">
        <v>75</v>
      </c>
      <c r="W644">
        <v>3.3</v>
      </c>
      <c r="X644" s="11">
        <f t="shared" si="126"/>
        <v>3.3</v>
      </c>
      <c r="Y644" t="s">
        <v>2103</v>
      </c>
      <c r="Z644" t="str">
        <f t="shared" si="127"/>
        <v>Yes</v>
      </c>
      <c r="AA644" t="str">
        <f t="shared" si="128"/>
        <v>Yes</v>
      </c>
      <c r="AB644" t="str">
        <f t="shared" si="129"/>
        <v>Yes</v>
      </c>
      <c r="AC644" s="12">
        <v>69</v>
      </c>
      <c r="AD644" s="12">
        <f t="shared" si="130"/>
        <v>69</v>
      </c>
    </row>
    <row r="645" spans="1:30" x14ac:dyDescent="0.3">
      <c r="A645" t="s">
        <v>1379</v>
      </c>
      <c r="B645" t="s">
        <v>1380</v>
      </c>
      <c r="C645" t="s">
        <v>2531</v>
      </c>
      <c r="D645" t="s">
        <v>2757</v>
      </c>
      <c r="E645" t="str">
        <f t="shared" si="120"/>
        <v>Dean Finley</v>
      </c>
      <c r="H645" t="s">
        <v>30</v>
      </c>
      <c r="I645" t="str">
        <f t="shared" si="121"/>
        <v>Male</v>
      </c>
      <c r="J645">
        <v>57</v>
      </c>
      <c r="K645">
        <f t="shared" si="122"/>
        <v>57</v>
      </c>
      <c r="L645" t="str">
        <f t="shared" si="123"/>
        <v>Fourth level</v>
      </c>
      <c r="M645" t="s">
        <v>31</v>
      </c>
      <c r="N645" t="s">
        <v>32</v>
      </c>
      <c r="O645" t="s">
        <v>33</v>
      </c>
      <c r="P645">
        <v>4</v>
      </c>
      <c r="Q645">
        <f t="shared" si="124"/>
        <v>4</v>
      </c>
      <c r="R645" t="s">
        <v>119</v>
      </c>
      <c r="S645" s="8" t="s">
        <v>2096</v>
      </c>
      <c r="T645" s="9">
        <v>30</v>
      </c>
      <c r="U645" s="9">
        <f t="shared" si="125"/>
        <v>30</v>
      </c>
      <c r="V645" s="10">
        <v>30</v>
      </c>
      <c r="W645">
        <v>4.2</v>
      </c>
      <c r="X645" s="11">
        <f t="shared" si="126"/>
        <v>4.2</v>
      </c>
      <c r="Y645" t="s">
        <v>2102</v>
      </c>
      <c r="Z645" t="str">
        <f t="shared" si="127"/>
        <v>No</v>
      </c>
      <c r="AA645" t="str">
        <f t="shared" si="128"/>
        <v>No</v>
      </c>
      <c r="AB645" t="str">
        <f t="shared" si="129"/>
        <v>No</v>
      </c>
      <c r="AC645" s="12"/>
      <c r="AD645" s="12">
        <f t="shared" si="130"/>
        <v>79.916387959866228</v>
      </c>
    </row>
    <row r="646" spans="1:30" x14ac:dyDescent="0.3">
      <c r="A646" t="s">
        <v>1381</v>
      </c>
      <c r="B646" t="s">
        <v>1382</v>
      </c>
      <c r="C646" t="s">
        <v>2221</v>
      </c>
      <c r="D646" t="s">
        <v>2758</v>
      </c>
      <c r="E646" t="str">
        <f t="shared" si="120"/>
        <v>Ashley Kemp</v>
      </c>
      <c r="H646" t="s">
        <v>22</v>
      </c>
      <c r="I646" t="str">
        <f t="shared" si="121"/>
        <v>Female</v>
      </c>
      <c r="J646">
        <v>47</v>
      </c>
      <c r="K646">
        <f t="shared" si="122"/>
        <v>47</v>
      </c>
      <c r="L646" t="str">
        <f t="shared" si="123"/>
        <v>Third level</v>
      </c>
      <c r="M646" t="s">
        <v>190</v>
      </c>
      <c r="N646" t="s">
        <v>81</v>
      </c>
      <c r="O646" t="s">
        <v>49</v>
      </c>
      <c r="P646">
        <v>29</v>
      </c>
      <c r="Q646">
        <f t="shared" si="124"/>
        <v>29</v>
      </c>
      <c r="R646" t="s">
        <v>72</v>
      </c>
      <c r="S646" s="8" t="s">
        <v>72</v>
      </c>
      <c r="T646" s="9">
        <v>50</v>
      </c>
      <c r="U646" s="9">
        <f t="shared" si="125"/>
        <v>50</v>
      </c>
      <c r="V646" s="10">
        <v>50</v>
      </c>
      <c r="X646" s="11">
        <f t="shared" si="126"/>
        <v>2.618910256410258</v>
      </c>
      <c r="Y646" t="s">
        <v>2103</v>
      </c>
      <c r="Z646" t="str">
        <f t="shared" si="127"/>
        <v>Yes</v>
      </c>
      <c r="AA646" t="str">
        <f t="shared" si="128"/>
        <v>Yes</v>
      </c>
      <c r="AB646" t="str">
        <f t="shared" si="129"/>
        <v>Yes</v>
      </c>
      <c r="AC646" s="12">
        <v>79</v>
      </c>
      <c r="AD646" s="12">
        <f t="shared" si="130"/>
        <v>79</v>
      </c>
    </row>
    <row r="647" spans="1:30" x14ac:dyDescent="0.3">
      <c r="A647" t="s">
        <v>1383</v>
      </c>
      <c r="B647" t="s">
        <v>1384</v>
      </c>
      <c r="C647" t="s">
        <v>2681</v>
      </c>
      <c r="D647" t="s">
        <v>2426</v>
      </c>
      <c r="E647" t="str">
        <f t="shared" si="120"/>
        <v>Kenneth Evans</v>
      </c>
      <c r="H647" t="s">
        <v>107</v>
      </c>
      <c r="I647" t="str">
        <f t="shared" si="121"/>
        <v>Male</v>
      </c>
      <c r="J647">
        <v>24</v>
      </c>
      <c r="K647">
        <f t="shared" si="122"/>
        <v>24</v>
      </c>
      <c r="L647" t="str">
        <f t="shared" si="123"/>
        <v>First level</v>
      </c>
      <c r="M647" t="s">
        <v>164</v>
      </c>
      <c r="N647" t="s">
        <v>165</v>
      </c>
      <c r="O647" t="s">
        <v>57</v>
      </c>
      <c r="P647">
        <v>2</v>
      </c>
      <c r="Q647">
        <f t="shared" si="124"/>
        <v>2</v>
      </c>
      <c r="R647" t="s">
        <v>240</v>
      </c>
      <c r="S647" s="8" t="s">
        <v>18</v>
      </c>
      <c r="T647" s="9">
        <v>100</v>
      </c>
      <c r="U647" s="9">
        <f t="shared" si="125"/>
        <v>100</v>
      </c>
      <c r="V647" s="10">
        <v>100</v>
      </c>
      <c r="W647">
        <v>3.8</v>
      </c>
      <c r="X647" s="11">
        <f t="shared" si="126"/>
        <v>3.8</v>
      </c>
      <c r="Y647" t="s">
        <v>2103</v>
      </c>
      <c r="Z647" t="str">
        <f t="shared" si="127"/>
        <v>Yes</v>
      </c>
      <c r="AA647" t="str">
        <f t="shared" si="128"/>
        <v>Yes</v>
      </c>
      <c r="AB647" t="str">
        <f t="shared" si="129"/>
        <v>Yes</v>
      </c>
      <c r="AC647" s="12">
        <v>71</v>
      </c>
      <c r="AD647" s="12">
        <f t="shared" si="130"/>
        <v>71</v>
      </c>
    </row>
    <row r="648" spans="1:30" x14ac:dyDescent="0.3">
      <c r="A648" t="s">
        <v>1385</v>
      </c>
      <c r="B648" t="s">
        <v>1386</v>
      </c>
      <c r="C648" t="s">
        <v>2382</v>
      </c>
      <c r="D648" t="s">
        <v>2759</v>
      </c>
      <c r="E648" t="str">
        <f t="shared" si="120"/>
        <v>Brandon Newman</v>
      </c>
      <c r="H648" t="s">
        <v>30</v>
      </c>
      <c r="I648" t="str">
        <f t="shared" si="121"/>
        <v>Male</v>
      </c>
      <c r="K648">
        <f t="shared" si="122"/>
        <v>41</v>
      </c>
      <c r="L648" t="str">
        <f t="shared" si="123"/>
        <v>Third level</v>
      </c>
      <c r="M648" t="s">
        <v>103</v>
      </c>
      <c r="N648" t="s">
        <v>104</v>
      </c>
      <c r="O648" t="s">
        <v>87</v>
      </c>
      <c r="P648">
        <v>9</v>
      </c>
      <c r="Q648">
        <f t="shared" si="124"/>
        <v>9</v>
      </c>
      <c r="R648" t="s">
        <v>18</v>
      </c>
      <c r="S648" s="8" t="s">
        <v>18</v>
      </c>
      <c r="T648" s="9">
        <v>100</v>
      </c>
      <c r="U648" s="9">
        <f t="shared" si="125"/>
        <v>100</v>
      </c>
      <c r="V648" s="10">
        <v>100</v>
      </c>
      <c r="W648">
        <v>4.8</v>
      </c>
      <c r="X648" s="11">
        <f t="shared" si="126"/>
        <v>4.8</v>
      </c>
      <c r="Y648" t="s">
        <v>2103</v>
      </c>
      <c r="Z648" t="str">
        <f t="shared" si="127"/>
        <v>Yes</v>
      </c>
      <c r="AA648" t="str">
        <f t="shared" si="128"/>
        <v>Yes</v>
      </c>
      <c r="AB648" t="str">
        <f t="shared" si="129"/>
        <v>Yes</v>
      </c>
      <c r="AC648" s="12">
        <v>72</v>
      </c>
      <c r="AD648" s="12">
        <f t="shared" si="130"/>
        <v>72</v>
      </c>
    </row>
    <row r="649" spans="1:30" x14ac:dyDescent="0.3">
      <c r="A649" t="s">
        <v>1387</v>
      </c>
      <c r="B649" t="s">
        <v>1388</v>
      </c>
      <c r="C649" t="s">
        <v>2760</v>
      </c>
      <c r="D649" t="s">
        <v>2761</v>
      </c>
      <c r="E649" t="str">
        <f t="shared" si="120"/>
        <v>Katie Hensley</v>
      </c>
      <c r="H649" t="s">
        <v>22</v>
      </c>
      <c r="I649" t="str">
        <f t="shared" si="121"/>
        <v>Female</v>
      </c>
      <c r="J649">
        <v>50</v>
      </c>
      <c r="K649">
        <f t="shared" si="122"/>
        <v>50</v>
      </c>
      <c r="L649" t="str">
        <f t="shared" si="123"/>
        <v>Third level</v>
      </c>
      <c r="M649" t="s">
        <v>31</v>
      </c>
      <c r="N649" t="s">
        <v>32</v>
      </c>
      <c r="O649" t="s">
        <v>99</v>
      </c>
      <c r="P649">
        <v>10</v>
      </c>
      <c r="Q649">
        <f t="shared" si="124"/>
        <v>10</v>
      </c>
      <c r="R649" t="s">
        <v>240</v>
      </c>
      <c r="S649" s="8" t="s">
        <v>18</v>
      </c>
      <c r="T649" s="9">
        <v>100</v>
      </c>
      <c r="U649" s="9">
        <f t="shared" si="125"/>
        <v>100</v>
      </c>
      <c r="V649" s="10">
        <v>100</v>
      </c>
      <c r="W649">
        <v>4.3</v>
      </c>
      <c r="X649" s="11">
        <f t="shared" si="126"/>
        <v>4.3</v>
      </c>
      <c r="Y649" t="s">
        <v>2102</v>
      </c>
      <c r="Z649" t="str">
        <f t="shared" si="127"/>
        <v>No</v>
      </c>
      <c r="AA649" t="str">
        <f t="shared" si="128"/>
        <v>No</v>
      </c>
      <c r="AB649" t="str">
        <f t="shared" si="129"/>
        <v>No</v>
      </c>
      <c r="AC649" s="12">
        <v>93</v>
      </c>
      <c r="AD649" s="12">
        <f t="shared" si="130"/>
        <v>93</v>
      </c>
    </row>
    <row r="650" spans="1:30" x14ac:dyDescent="0.3">
      <c r="A650" t="s">
        <v>1389</v>
      </c>
      <c r="B650" t="s">
        <v>1390</v>
      </c>
      <c r="C650" t="s">
        <v>2511</v>
      </c>
      <c r="D650" t="s">
        <v>2762</v>
      </c>
      <c r="E650" t="str">
        <f t="shared" si="120"/>
        <v>Joel Randolph</v>
      </c>
      <c r="H650" t="s">
        <v>107</v>
      </c>
      <c r="I650" t="str">
        <f t="shared" si="121"/>
        <v>Male</v>
      </c>
      <c r="J650">
        <v>46</v>
      </c>
      <c r="K650">
        <f t="shared" si="122"/>
        <v>46</v>
      </c>
      <c r="L650" t="str">
        <f t="shared" si="123"/>
        <v>Third level</v>
      </c>
      <c r="M650" t="s">
        <v>117</v>
      </c>
      <c r="N650" t="s">
        <v>118</v>
      </c>
      <c r="O650" t="s">
        <v>124</v>
      </c>
      <c r="P650">
        <v>20</v>
      </c>
      <c r="Q650">
        <f t="shared" si="124"/>
        <v>20</v>
      </c>
      <c r="R650" t="s">
        <v>65</v>
      </c>
      <c r="S650" s="8" t="s">
        <v>65</v>
      </c>
      <c r="T650" s="9"/>
      <c r="U650" s="9">
        <f t="shared" si="125"/>
        <v>53.4984520123839</v>
      </c>
      <c r="V650" s="10">
        <v>53.4984520123839</v>
      </c>
      <c r="W650">
        <v>4.8</v>
      </c>
      <c r="X650" s="11">
        <f t="shared" si="126"/>
        <v>4.8</v>
      </c>
      <c r="Y650" t="s">
        <v>2103</v>
      </c>
      <c r="Z650" t="str">
        <f t="shared" si="127"/>
        <v>Yes</v>
      </c>
      <c r="AA650" t="str">
        <f t="shared" si="128"/>
        <v>Yes</v>
      </c>
      <c r="AB650" t="str">
        <f t="shared" si="129"/>
        <v>Yes</v>
      </c>
      <c r="AC650" s="12">
        <v>82</v>
      </c>
      <c r="AD650" s="12">
        <f t="shared" si="130"/>
        <v>82</v>
      </c>
    </row>
    <row r="651" spans="1:30" x14ac:dyDescent="0.3">
      <c r="A651" t="s">
        <v>1391</v>
      </c>
      <c r="B651" t="s">
        <v>1392</v>
      </c>
      <c r="C651" t="s">
        <v>2251</v>
      </c>
      <c r="D651" t="s">
        <v>2138</v>
      </c>
      <c r="E651" t="str">
        <f t="shared" si="120"/>
        <v>Andrew Scott</v>
      </c>
      <c r="H651" t="s">
        <v>30</v>
      </c>
      <c r="I651" t="str">
        <f t="shared" si="121"/>
        <v>Male</v>
      </c>
      <c r="J651">
        <v>51</v>
      </c>
      <c r="K651">
        <f t="shared" si="122"/>
        <v>51</v>
      </c>
      <c r="L651" t="str">
        <f t="shared" si="123"/>
        <v>Fourth level</v>
      </c>
      <c r="M651" t="s">
        <v>23</v>
      </c>
      <c r="N651" t="s">
        <v>24</v>
      </c>
      <c r="O651" t="s">
        <v>87</v>
      </c>
      <c r="P651">
        <v>9</v>
      </c>
      <c r="Q651">
        <f t="shared" si="124"/>
        <v>9</v>
      </c>
      <c r="R651" t="s">
        <v>40</v>
      </c>
      <c r="S651" s="8" t="s">
        <v>40</v>
      </c>
      <c r="T651" s="9">
        <v>40</v>
      </c>
      <c r="U651" s="9">
        <f t="shared" si="125"/>
        <v>40</v>
      </c>
      <c r="V651" s="10">
        <v>40</v>
      </c>
      <c r="X651" s="11">
        <f t="shared" si="126"/>
        <v>2.5954545454545466</v>
      </c>
      <c r="Y651" t="s">
        <v>2102</v>
      </c>
      <c r="Z651" t="str">
        <f t="shared" si="127"/>
        <v>No</v>
      </c>
      <c r="AA651" t="str">
        <f t="shared" si="128"/>
        <v>No</v>
      </c>
      <c r="AB651" t="str">
        <f t="shared" si="129"/>
        <v>No</v>
      </c>
      <c r="AC651" s="12">
        <v>60</v>
      </c>
      <c r="AD651" s="12">
        <f t="shared" si="130"/>
        <v>60</v>
      </c>
    </row>
    <row r="652" spans="1:30" x14ac:dyDescent="0.3">
      <c r="A652" t="s">
        <v>1393</v>
      </c>
      <c r="B652" t="s">
        <v>1394</v>
      </c>
      <c r="C652" t="s">
        <v>2395</v>
      </c>
      <c r="D652" t="s">
        <v>2763</v>
      </c>
      <c r="E652" t="str">
        <f t="shared" si="120"/>
        <v>Zachary Ochoa</v>
      </c>
      <c r="H652" t="s">
        <v>69</v>
      </c>
      <c r="I652" t="str">
        <f t="shared" si="121"/>
        <v>Male</v>
      </c>
      <c r="J652">
        <v>51</v>
      </c>
      <c r="K652">
        <f t="shared" si="122"/>
        <v>51</v>
      </c>
      <c r="L652" t="str">
        <f t="shared" si="123"/>
        <v>Fourth level</v>
      </c>
      <c r="M652" t="s">
        <v>75</v>
      </c>
      <c r="N652" t="s">
        <v>24</v>
      </c>
      <c r="O652" t="s">
        <v>49</v>
      </c>
      <c r="P652">
        <v>12</v>
      </c>
      <c r="Q652">
        <f t="shared" si="124"/>
        <v>12</v>
      </c>
      <c r="R652" t="s">
        <v>151</v>
      </c>
      <c r="S652" s="8" t="s">
        <v>151</v>
      </c>
      <c r="T652" s="9">
        <v>20</v>
      </c>
      <c r="U652" s="9">
        <f t="shared" si="125"/>
        <v>20</v>
      </c>
      <c r="V652" s="10">
        <v>20</v>
      </c>
      <c r="W652">
        <v>4</v>
      </c>
      <c r="X652" s="11">
        <f t="shared" si="126"/>
        <v>4</v>
      </c>
      <c r="Y652" t="s">
        <v>2102</v>
      </c>
      <c r="Z652" t="str">
        <f t="shared" si="127"/>
        <v>No</v>
      </c>
      <c r="AA652" t="str">
        <f t="shared" si="128"/>
        <v>No</v>
      </c>
      <c r="AB652" t="str">
        <f t="shared" si="129"/>
        <v>No</v>
      </c>
      <c r="AC652" s="12">
        <v>93</v>
      </c>
      <c r="AD652" s="12">
        <f t="shared" si="130"/>
        <v>93</v>
      </c>
    </row>
    <row r="653" spans="1:30" x14ac:dyDescent="0.3">
      <c r="A653" t="s">
        <v>1395</v>
      </c>
      <c r="B653" t="s">
        <v>1396</v>
      </c>
      <c r="C653" t="s">
        <v>2366</v>
      </c>
      <c r="D653" t="s">
        <v>2764</v>
      </c>
      <c r="E653" t="str">
        <f t="shared" si="120"/>
        <v>John Arroyo</v>
      </c>
      <c r="H653" t="s">
        <v>107</v>
      </c>
      <c r="I653" t="str">
        <f t="shared" si="121"/>
        <v>Male</v>
      </c>
      <c r="J653">
        <v>27</v>
      </c>
      <c r="K653">
        <f t="shared" si="122"/>
        <v>27</v>
      </c>
      <c r="L653" t="str">
        <f t="shared" si="123"/>
        <v>First level</v>
      </c>
      <c r="M653" t="s">
        <v>75</v>
      </c>
      <c r="N653" t="s">
        <v>24</v>
      </c>
      <c r="O653" t="s">
        <v>49</v>
      </c>
      <c r="P653">
        <v>3</v>
      </c>
      <c r="Q653">
        <f t="shared" si="124"/>
        <v>3</v>
      </c>
      <c r="R653" t="s">
        <v>108</v>
      </c>
      <c r="S653" s="8" t="s">
        <v>2095</v>
      </c>
      <c r="T653" s="9">
        <v>50</v>
      </c>
      <c r="U653" s="9">
        <f t="shared" si="125"/>
        <v>50</v>
      </c>
      <c r="V653" s="10">
        <v>50</v>
      </c>
      <c r="X653" s="11">
        <f t="shared" si="126"/>
        <v>2.5908794788273624</v>
      </c>
      <c r="Y653" t="s">
        <v>2102</v>
      </c>
      <c r="Z653" t="str">
        <f t="shared" si="127"/>
        <v>No</v>
      </c>
      <c r="AA653" t="str">
        <f t="shared" si="128"/>
        <v>No</v>
      </c>
      <c r="AB653" t="str">
        <f t="shared" si="129"/>
        <v>No</v>
      </c>
      <c r="AC653" s="12"/>
      <c r="AD653" s="12">
        <f t="shared" si="130"/>
        <v>79.948630136986296</v>
      </c>
    </row>
    <row r="654" spans="1:30" x14ac:dyDescent="0.3">
      <c r="A654" t="s">
        <v>1397</v>
      </c>
      <c r="B654" t="s">
        <v>1398</v>
      </c>
      <c r="C654" t="s">
        <v>2124</v>
      </c>
      <c r="D654" t="s">
        <v>2765</v>
      </c>
      <c r="E654" t="str">
        <f t="shared" si="120"/>
        <v>Matthew Fernandez</v>
      </c>
      <c r="H654" t="s">
        <v>69</v>
      </c>
      <c r="I654" t="str">
        <f t="shared" si="121"/>
        <v>Male</v>
      </c>
      <c r="J654">
        <v>42</v>
      </c>
      <c r="K654">
        <f t="shared" si="122"/>
        <v>42</v>
      </c>
      <c r="L654" t="str">
        <f t="shared" si="123"/>
        <v>Third level</v>
      </c>
      <c r="M654" t="s">
        <v>201</v>
      </c>
      <c r="N654" t="s">
        <v>81</v>
      </c>
      <c r="O654" t="s">
        <v>39</v>
      </c>
      <c r="P654">
        <v>13</v>
      </c>
      <c r="Q654">
        <f t="shared" si="124"/>
        <v>13</v>
      </c>
      <c r="R654" t="s">
        <v>44</v>
      </c>
      <c r="S654" s="8" t="s">
        <v>44</v>
      </c>
      <c r="T654" s="9">
        <v>30</v>
      </c>
      <c r="U654" s="9">
        <f t="shared" si="125"/>
        <v>30</v>
      </c>
      <c r="V654" s="10">
        <v>30</v>
      </c>
      <c r="W654">
        <v>0</v>
      </c>
      <c r="X654" s="11">
        <f t="shared" si="126"/>
        <v>0</v>
      </c>
      <c r="Y654" t="s">
        <v>2102</v>
      </c>
      <c r="Z654" t="str">
        <f t="shared" si="127"/>
        <v>No</v>
      </c>
      <c r="AA654" t="str">
        <f t="shared" si="128"/>
        <v>No</v>
      </c>
      <c r="AB654" t="str">
        <f t="shared" si="129"/>
        <v>No</v>
      </c>
      <c r="AC654" s="12">
        <v>74</v>
      </c>
      <c r="AD654" s="12">
        <f t="shared" si="130"/>
        <v>74</v>
      </c>
    </row>
    <row r="655" spans="1:30" x14ac:dyDescent="0.3">
      <c r="A655" t="s">
        <v>1399</v>
      </c>
      <c r="B655" t="s">
        <v>1400</v>
      </c>
      <c r="C655" t="s">
        <v>2766</v>
      </c>
      <c r="D655" t="s">
        <v>2458</v>
      </c>
      <c r="E655" t="str">
        <f t="shared" si="120"/>
        <v>Benjamin Stark</v>
      </c>
      <c r="H655" t="s">
        <v>69</v>
      </c>
      <c r="I655" t="str">
        <f t="shared" si="121"/>
        <v>Male</v>
      </c>
      <c r="J655">
        <v>25</v>
      </c>
      <c r="K655">
        <f t="shared" si="122"/>
        <v>25</v>
      </c>
      <c r="L655" t="str">
        <f t="shared" si="123"/>
        <v>First level</v>
      </c>
      <c r="M655" t="s">
        <v>31</v>
      </c>
      <c r="N655" t="s">
        <v>32</v>
      </c>
      <c r="O655" t="s">
        <v>82</v>
      </c>
      <c r="P655">
        <v>4</v>
      </c>
      <c r="Q655">
        <f t="shared" si="124"/>
        <v>4</v>
      </c>
      <c r="R655" t="s">
        <v>40</v>
      </c>
      <c r="S655" s="8" t="s">
        <v>40</v>
      </c>
      <c r="T655" s="9">
        <v>40</v>
      </c>
      <c r="U655" s="9">
        <f t="shared" si="125"/>
        <v>40</v>
      </c>
      <c r="V655" s="10">
        <v>40</v>
      </c>
      <c r="W655">
        <v>2.2999999999999998</v>
      </c>
      <c r="X655" s="11">
        <f t="shared" si="126"/>
        <v>2.2999999999999998</v>
      </c>
      <c r="Y655" t="s">
        <v>77</v>
      </c>
      <c r="Z655" t="str">
        <f t="shared" si="127"/>
        <v>yes</v>
      </c>
      <c r="AA655" t="str">
        <f t="shared" si="128"/>
        <v>yes</v>
      </c>
      <c r="AB655" t="str">
        <f t="shared" si="129"/>
        <v>Yes</v>
      </c>
      <c r="AC655" s="12">
        <v>73</v>
      </c>
      <c r="AD655" s="12">
        <f t="shared" si="130"/>
        <v>73</v>
      </c>
    </row>
    <row r="656" spans="1:30" x14ac:dyDescent="0.3">
      <c r="A656" t="s">
        <v>1401</v>
      </c>
      <c r="B656" t="s">
        <v>1402</v>
      </c>
      <c r="C656" t="s">
        <v>2532</v>
      </c>
      <c r="D656" t="s">
        <v>2767</v>
      </c>
      <c r="E656" t="str">
        <f t="shared" si="120"/>
        <v>Tammy Greer</v>
      </c>
      <c r="H656" t="s">
        <v>86</v>
      </c>
      <c r="I656" t="str">
        <f t="shared" si="121"/>
        <v>Female</v>
      </c>
      <c r="J656">
        <v>32</v>
      </c>
      <c r="K656">
        <f t="shared" si="122"/>
        <v>32</v>
      </c>
      <c r="L656" t="str">
        <f t="shared" si="123"/>
        <v>Second level</v>
      </c>
      <c r="M656" t="s">
        <v>31</v>
      </c>
      <c r="N656" t="s">
        <v>32</v>
      </c>
      <c r="O656" t="s">
        <v>57</v>
      </c>
      <c r="P656">
        <v>9</v>
      </c>
      <c r="Q656">
        <f t="shared" si="124"/>
        <v>9</v>
      </c>
      <c r="R656" t="s">
        <v>92</v>
      </c>
      <c r="S656" s="8" t="s">
        <v>92</v>
      </c>
      <c r="T656" s="9">
        <v>75</v>
      </c>
      <c r="U656" s="9">
        <f t="shared" si="125"/>
        <v>75</v>
      </c>
      <c r="V656" s="10">
        <v>75</v>
      </c>
      <c r="X656" s="11">
        <f t="shared" si="126"/>
        <v>2.6003278688524598</v>
      </c>
      <c r="Y656" t="s">
        <v>2102</v>
      </c>
      <c r="Z656" t="str">
        <f t="shared" si="127"/>
        <v>No</v>
      </c>
      <c r="AA656" t="str">
        <f t="shared" si="128"/>
        <v>No</v>
      </c>
      <c r="AB656" t="str">
        <f t="shared" si="129"/>
        <v>No</v>
      </c>
      <c r="AC656" s="12">
        <v>96</v>
      </c>
      <c r="AD656" s="12">
        <f t="shared" si="130"/>
        <v>96</v>
      </c>
    </row>
    <row r="657" spans="1:30" x14ac:dyDescent="0.3">
      <c r="A657" t="s">
        <v>1403</v>
      </c>
      <c r="B657" t="s">
        <v>1404</v>
      </c>
      <c r="C657" t="s">
        <v>2768</v>
      </c>
      <c r="D657" t="s">
        <v>2769</v>
      </c>
      <c r="E657" t="str">
        <f t="shared" si="120"/>
        <v>Cynthia Mckinney</v>
      </c>
      <c r="H657" t="s">
        <v>43</v>
      </c>
      <c r="I657" t="str">
        <f t="shared" si="121"/>
        <v>Female</v>
      </c>
      <c r="J657">
        <v>59</v>
      </c>
      <c r="K657">
        <f t="shared" si="122"/>
        <v>59</v>
      </c>
      <c r="L657" t="str">
        <f t="shared" si="123"/>
        <v>Fourth level</v>
      </c>
      <c r="M657" t="s">
        <v>138</v>
      </c>
      <c r="N657" t="s">
        <v>24</v>
      </c>
      <c r="O657" t="s">
        <v>33</v>
      </c>
      <c r="P657">
        <v>14</v>
      </c>
      <c r="Q657">
        <f t="shared" si="124"/>
        <v>14</v>
      </c>
      <c r="R657" t="s">
        <v>44</v>
      </c>
      <c r="S657" s="8" t="s">
        <v>44</v>
      </c>
      <c r="T657" s="9">
        <v>30</v>
      </c>
      <c r="U657" s="9">
        <f t="shared" si="125"/>
        <v>30</v>
      </c>
      <c r="V657" s="10">
        <v>30</v>
      </c>
      <c r="W657">
        <v>3.8</v>
      </c>
      <c r="X657" s="11">
        <f t="shared" si="126"/>
        <v>3.8</v>
      </c>
      <c r="Y657" t="s">
        <v>65</v>
      </c>
      <c r="AA657" t="str">
        <f t="shared" si="128"/>
        <v>Unknown</v>
      </c>
      <c r="AB657" t="str">
        <f t="shared" si="129"/>
        <v>Unknown</v>
      </c>
      <c r="AC657" s="12">
        <v>66</v>
      </c>
      <c r="AD657" s="12">
        <f t="shared" si="130"/>
        <v>66</v>
      </c>
    </row>
    <row r="658" spans="1:30" x14ac:dyDescent="0.3">
      <c r="A658" t="s">
        <v>1405</v>
      </c>
      <c r="B658" t="s">
        <v>1406</v>
      </c>
      <c r="C658" t="s">
        <v>2770</v>
      </c>
      <c r="D658" t="s">
        <v>2771</v>
      </c>
      <c r="E658" t="str">
        <f t="shared" si="120"/>
        <v>Wendy Rice</v>
      </c>
      <c r="H658" t="s">
        <v>22</v>
      </c>
      <c r="I658" t="str">
        <f t="shared" si="121"/>
        <v>Female</v>
      </c>
      <c r="J658">
        <v>59</v>
      </c>
      <c r="K658">
        <f t="shared" si="122"/>
        <v>59</v>
      </c>
      <c r="L658" t="str">
        <f t="shared" si="123"/>
        <v>Fourth level</v>
      </c>
      <c r="M658" t="s">
        <v>145</v>
      </c>
      <c r="N658" t="s">
        <v>146</v>
      </c>
      <c r="O658" t="s">
        <v>87</v>
      </c>
      <c r="P658">
        <v>37</v>
      </c>
      <c r="Q658">
        <f t="shared" si="124"/>
        <v>37</v>
      </c>
      <c r="R658" t="s">
        <v>44</v>
      </c>
      <c r="S658" s="8" t="s">
        <v>44</v>
      </c>
      <c r="T658" s="9">
        <v>30</v>
      </c>
      <c r="U658" s="9">
        <f t="shared" si="125"/>
        <v>30</v>
      </c>
      <c r="V658" s="10">
        <v>30</v>
      </c>
      <c r="W658">
        <v>4</v>
      </c>
      <c r="X658" s="11">
        <f t="shared" si="126"/>
        <v>4</v>
      </c>
      <c r="Y658" t="s">
        <v>2102</v>
      </c>
      <c r="Z658" t="str">
        <f t="shared" si="127"/>
        <v>No</v>
      </c>
      <c r="AA658" t="str">
        <f t="shared" si="128"/>
        <v>No</v>
      </c>
      <c r="AB658" t="str">
        <f t="shared" si="129"/>
        <v>No</v>
      </c>
      <c r="AC658" s="12">
        <v>62</v>
      </c>
      <c r="AD658" s="12">
        <f t="shared" si="130"/>
        <v>62</v>
      </c>
    </row>
    <row r="659" spans="1:30" x14ac:dyDescent="0.3">
      <c r="A659" t="s">
        <v>1407</v>
      </c>
      <c r="B659" t="s">
        <v>1408</v>
      </c>
      <c r="C659" t="s">
        <v>2772</v>
      </c>
      <c r="D659" t="s">
        <v>2773</v>
      </c>
      <c r="E659" t="str">
        <f t="shared" si="120"/>
        <v>Randy Bender</v>
      </c>
      <c r="H659" t="s">
        <v>107</v>
      </c>
      <c r="I659" t="str">
        <f t="shared" si="121"/>
        <v>Male</v>
      </c>
      <c r="J659">
        <v>29</v>
      </c>
      <c r="K659">
        <f t="shared" si="122"/>
        <v>29</v>
      </c>
      <c r="L659" t="str">
        <f t="shared" si="123"/>
        <v>First level</v>
      </c>
      <c r="M659" t="s">
        <v>31</v>
      </c>
      <c r="N659" t="s">
        <v>32</v>
      </c>
      <c r="O659" t="s">
        <v>33</v>
      </c>
      <c r="P659">
        <v>2</v>
      </c>
      <c r="Q659">
        <f t="shared" si="124"/>
        <v>2</v>
      </c>
      <c r="R659" t="s">
        <v>58</v>
      </c>
      <c r="S659" s="8" t="s">
        <v>2093</v>
      </c>
      <c r="T659" s="9">
        <v>75</v>
      </c>
      <c r="U659" s="9">
        <f t="shared" si="125"/>
        <v>75</v>
      </c>
      <c r="V659" s="10">
        <v>75</v>
      </c>
      <c r="W659">
        <v>2.2000000000000002</v>
      </c>
      <c r="X659" s="11">
        <f t="shared" si="126"/>
        <v>2.2000000000000002</v>
      </c>
      <c r="Y659" t="s">
        <v>2103</v>
      </c>
      <c r="Z659" t="str">
        <f t="shared" si="127"/>
        <v>Yes</v>
      </c>
      <c r="AA659" t="str">
        <f t="shared" si="128"/>
        <v>Yes</v>
      </c>
      <c r="AB659" t="str">
        <f t="shared" si="129"/>
        <v>Yes</v>
      </c>
      <c r="AC659" s="12">
        <v>85</v>
      </c>
      <c r="AD659" s="12">
        <f t="shared" si="130"/>
        <v>85</v>
      </c>
    </row>
    <row r="660" spans="1:30" x14ac:dyDescent="0.3">
      <c r="A660" t="s">
        <v>1409</v>
      </c>
      <c r="B660" t="s">
        <v>1410</v>
      </c>
      <c r="C660" t="s">
        <v>2428</v>
      </c>
      <c r="D660" t="s">
        <v>2774</v>
      </c>
      <c r="E660" t="str">
        <f t="shared" si="120"/>
        <v>Richard Dominguez</v>
      </c>
      <c r="H660" t="s">
        <v>69</v>
      </c>
      <c r="I660" t="str">
        <f t="shared" si="121"/>
        <v>Male</v>
      </c>
      <c r="J660">
        <v>58</v>
      </c>
      <c r="K660">
        <f t="shared" si="122"/>
        <v>58</v>
      </c>
      <c r="L660" t="str">
        <f t="shared" si="123"/>
        <v>Fourth level</v>
      </c>
      <c r="M660" t="s">
        <v>186</v>
      </c>
      <c r="N660" t="s">
        <v>187</v>
      </c>
      <c r="O660" t="s">
        <v>49</v>
      </c>
      <c r="P660">
        <v>11</v>
      </c>
      <c r="Q660">
        <f t="shared" si="124"/>
        <v>11</v>
      </c>
      <c r="R660" t="s">
        <v>18</v>
      </c>
      <c r="S660" s="8" t="s">
        <v>18</v>
      </c>
      <c r="T660" s="9">
        <v>100</v>
      </c>
      <c r="U660" s="9">
        <f t="shared" si="125"/>
        <v>100</v>
      </c>
      <c r="V660" s="10">
        <v>100</v>
      </c>
      <c r="W660">
        <v>4.3</v>
      </c>
      <c r="X660" s="11">
        <f t="shared" si="126"/>
        <v>4.3</v>
      </c>
      <c r="Y660" t="s">
        <v>2102</v>
      </c>
      <c r="Z660" t="str">
        <f t="shared" si="127"/>
        <v>No</v>
      </c>
      <c r="AA660" t="str">
        <f t="shared" si="128"/>
        <v>No</v>
      </c>
      <c r="AB660" t="str">
        <f t="shared" si="129"/>
        <v>No</v>
      </c>
      <c r="AC660" s="12">
        <v>66</v>
      </c>
      <c r="AD660" s="12">
        <f t="shared" si="130"/>
        <v>66</v>
      </c>
    </row>
    <row r="661" spans="1:30" x14ac:dyDescent="0.3">
      <c r="A661" t="s">
        <v>1411</v>
      </c>
      <c r="B661" t="s">
        <v>1412</v>
      </c>
      <c r="C661" t="s">
        <v>2389</v>
      </c>
      <c r="D661" t="s">
        <v>2775</v>
      </c>
      <c r="E661" t="str">
        <f t="shared" si="120"/>
        <v>Melissa Maldonado</v>
      </c>
      <c r="H661" t="s">
        <v>86</v>
      </c>
      <c r="I661" t="str">
        <f t="shared" si="121"/>
        <v>Female</v>
      </c>
      <c r="J661">
        <v>56</v>
      </c>
      <c r="K661">
        <f t="shared" si="122"/>
        <v>56</v>
      </c>
      <c r="L661" t="str">
        <f t="shared" si="123"/>
        <v>Fourth level</v>
      </c>
      <c r="M661" t="s">
        <v>138</v>
      </c>
      <c r="N661" t="s">
        <v>24</v>
      </c>
      <c r="O661" t="s">
        <v>87</v>
      </c>
      <c r="P661">
        <v>19</v>
      </c>
      <c r="Q661">
        <f t="shared" si="124"/>
        <v>19</v>
      </c>
      <c r="R661" t="s">
        <v>151</v>
      </c>
      <c r="S661" s="8" t="s">
        <v>151</v>
      </c>
      <c r="T661" s="9">
        <v>20</v>
      </c>
      <c r="U661" s="9">
        <f t="shared" si="125"/>
        <v>20</v>
      </c>
      <c r="V661" s="10">
        <v>20</v>
      </c>
      <c r="W661">
        <v>0</v>
      </c>
      <c r="X661" s="11">
        <f t="shared" si="126"/>
        <v>0</v>
      </c>
      <c r="Y661" t="s">
        <v>2102</v>
      </c>
      <c r="Z661" t="str">
        <f t="shared" si="127"/>
        <v>No</v>
      </c>
      <c r="AA661" t="str">
        <f t="shared" si="128"/>
        <v>No</v>
      </c>
      <c r="AB661" t="str">
        <f t="shared" si="129"/>
        <v>No</v>
      </c>
      <c r="AC661" s="12">
        <v>87</v>
      </c>
      <c r="AD661" s="12">
        <f t="shared" si="130"/>
        <v>87</v>
      </c>
    </row>
    <row r="662" spans="1:30" x14ac:dyDescent="0.3">
      <c r="A662" t="s">
        <v>1413</v>
      </c>
      <c r="B662" t="s">
        <v>1414</v>
      </c>
      <c r="C662" t="s">
        <v>2216</v>
      </c>
      <c r="D662" t="s">
        <v>2238</v>
      </c>
      <c r="E662" t="str">
        <f t="shared" si="120"/>
        <v>Leah Harris</v>
      </c>
      <c r="H662" t="s">
        <v>86</v>
      </c>
      <c r="I662" t="str">
        <f t="shared" si="121"/>
        <v>Female</v>
      </c>
      <c r="J662">
        <v>36</v>
      </c>
      <c r="K662">
        <f t="shared" si="122"/>
        <v>36</v>
      </c>
      <c r="L662" t="str">
        <f t="shared" si="123"/>
        <v>Second level</v>
      </c>
      <c r="M662" t="s">
        <v>64</v>
      </c>
      <c r="N662" t="s">
        <v>24</v>
      </c>
      <c r="O662" t="s">
        <v>124</v>
      </c>
      <c r="P662">
        <v>9</v>
      </c>
      <c r="Q662">
        <f t="shared" si="124"/>
        <v>9</v>
      </c>
      <c r="R662" t="s">
        <v>151</v>
      </c>
      <c r="S662" s="8" t="s">
        <v>151</v>
      </c>
      <c r="T662" s="9">
        <v>20</v>
      </c>
      <c r="U662" s="9">
        <f t="shared" si="125"/>
        <v>20</v>
      </c>
      <c r="V662" s="10">
        <v>20</v>
      </c>
      <c r="W662">
        <v>0</v>
      </c>
      <c r="X662" s="11">
        <f t="shared" si="126"/>
        <v>0</v>
      </c>
      <c r="Y662" t="s">
        <v>2103</v>
      </c>
      <c r="Z662" t="str">
        <f t="shared" si="127"/>
        <v>Yes</v>
      </c>
      <c r="AA662" t="str">
        <f t="shared" si="128"/>
        <v>Yes</v>
      </c>
      <c r="AB662" t="str">
        <f t="shared" si="129"/>
        <v>Yes</v>
      </c>
      <c r="AC662" s="12">
        <v>68</v>
      </c>
      <c r="AD662" s="12">
        <f t="shared" si="130"/>
        <v>68</v>
      </c>
    </row>
    <row r="663" spans="1:30" x14ac:dyDescent="0.3">
      <c r="A663" t="s">
        <v>1415</v>
      </c>
      <c r="B663" t="s">
        <v>1416</v>
      </c>
      <c r="C663" t="s">
        <v>2114</v>
      </c>
      <c r="D663" t="s">
        <v>146</v>
      </c>
      <c r="E663" t="str">
        <f t="shared" si="120"/>
        <v>Lynn French</v>
      </c>
      <c r="H663" t="s">
        <v>86</v>
      </c>
      <c r="I663" t="str">
        <f t="shared" si="121"/>
        <v>Female</v>
      </c>
      <c r="J663">
        <v>52</v>
      </c>
      <c r="K663">
        <f t="shared" si="122"/>
        <v>52</v>
      </c>
      <c r="L663" t="str">
        <f t="shared" si="123"/>
        <v>Fourth level</v>
      </c>
      <c r="M663" t="s">
        <v>138</v>
      </c>
      <c r="N663" t="s">
        <v>24</v>
      </c>
      <c r="O663" t="s">
        <v>82</v>
      </c>
      <c r="P663">
        <v>16</v>
      </c>
      <c r="Q663">
        <f t="shared" si="124"/>
        <v>16</v>
      </c>
      <c r="R663" t="s">
        <v>18</v>
      </c>
      <c r="S663" s="8" t="s">
        <v>18</v>
      </c>
      <c r="T663" s="9">
        <v>100</v>
      </c>
      <c r="U663" s="9">
        <f t="shared" si="125"/>
        <v>100</v>
      </c>
      <c r="V663" s="10">
        <v>100</v>
      </c>
      <c r="W663">
        <v>4</v>
      </c>
      <c r="X663" s="11">
        <f t="shared" si="126"/>
        <v>4</v>
      </c>
      <c r="Y663" t="s">
        <v>2103</v>
      </c>
      <c r="Z663" t="str">
        <f t="shared" si="127"/>
        <v>Yes</v>
      </c>
      <c r="AA663" t="str">
        <f t="shared" si="128"/>
        <v>Yes</v>
      </c>
      <c r="AB663" t="str">
        <f t="shared" si="129"/>
        <v>Yes</v>
      </c>
      <c r="AC663" s="12"/>
      <c r="AD663" s="12">
        <f t="shared" si="130"/>
        <v>80.098939929328623</v>
      </c>
    </row>
    <row r="664" spans="1:30" x14ac:dyDescent="0.3">
      <c r="A664" t="s">
        <v>1417</v>
      </c>
      <c r="B664" t="s">
        <v>1418</v>
      </c>
      <c r="C664" t="s">
        <v>2516</v>
      </c>
      <c r="D664" t="s">
        <v>2117</v>
      </c>
      <c r="E664" t="str">
        <f t="shared" si="120"/>
        <v>Angela Johnson</v>
      </c>
      <c r="H664" t="s">
        <v>86</v>
      </c>
      <c r="I664" t="str">
        <f t="shared" si="121"/>
        <v>Female</v>
      </c>
      <c r="J664">
        <v>42</v>
      </c>
      <c r="K664">
        <f t="shared" si="122"/>
        <v>42</v>
      </c>
      <c r="L664" t="str">
        <f t="shared" si="123"/>
        <v>Third level</v>
      </c>
      <c r="M664" t="s">
        <v>47</v>
      </c>
      <c r="N664" t="s">
        <v>48</v>
      </c>
      <c r="O664" t="s">
        <v>25</v>
      </c>
      <c r="P664">
        <v>8</v>
      </c>
      <c r="Q664">
        <f t="shared" si="124"/>
        <v>8</v>
      </c>
      <c r="R664" t="s">
        <v>108</v>
      </c>
      <c r="S664" s="8" t="s">
        <v>2095</v>
      </c>
      <c r="T664" s="9">
        <v>50</v>
      </c>
      <c r="U664" s="9">
        <f t="shared" si="125"/>
        <v>50</v>
      </c>
      <c r="V664" s="10">
        <v>50</v>
      </c>
      <c r="X664" s="11">
        <f t="shared" si="126"/>
        <v>2.600000000000001</v>
      </c>
      <c r="Y664" t="s">
        <v>65</v>
      </c>
      <c r="AA664" t="str">
        <f t="shared" si="128"/>
        <v>Unknown</v>
      </c>
      <c r="AB664" t="str">
        <f t="shared" si="129"/>
        <v>Unknown</v>
      </c>
      <c r="AC664" s="12"/>
      <c r="AD664" s="12">
        <f t="shared" si="130"/>
        <v>80.098939929328623</v>
      </c>
    </row>
    <row r="665" spans="1:30" x14ac:dyDescent="0.3">
      <c r="A665" t="s">
        <v>1419</v>
      </c>
      <c r="B665" t="s">
        <v>1420</v>
      </c>
      <c r="C665" t="s">
        <v>2452</v>
      </c>
      <c r="D665" t="s">
        <v>2349</v>
      </c>
      <c r="E665" t="str">
        <f t="shared" si="120"/>
        <v>Sarah Edwards</v>
      </c>
      <c r="H665" t="s">
        <v>22</v>
      </c>
      <c r="I665" t="str">
        <f t="shared" si="121"/>
        <v>Female</v>
      </c>
      <c r="J665">
        <v>59</v>
      </c>
      <c r="K665">
        <f t="shared" si="122"/>
        <v>59</v>
      </c>
      <c r="L665" t="str">
        <f t="shared" si="123"/>
        <v>Fourth level</v>
      </c>
      <c r="M665" t="s">
        <v>103</v>
      </c>
      <c r="N665" t="s">
        <v>104</v>
      </c>
      <c r="O665" t="s">
        <v>25</v>
      </c>
      <c r="P665">
        <v>34</v>
      </c>
      <c r="Q665">
        <f t="shared" si="124"/>
        <v>34</v>
      </c>
      <c r="R665" t="s">
        <v>18</v>
      </c>
      <c r="S665" s="8" t="s">
        <v>18</v>
      </c>
      <c r="T665" s="9">
        <v>100</v>
      </c>
      <c r="U665" s="9">
        <f t="shared" si="125"/>
        <v>100</v>
      </c>
      <c r="V665" s="10">
        <v>100</v>
      </c>
      <c r="W665">
        <v>2</v>
      </c>
      <c r="X665" s="11">
        <f t="shared" si="126"/>
        <v>2</v>
      </c>
      <c r="Y665" t="s">
        <v>2103</v>
      </c>
      <c r="Z665" t="str">
        <f t="shared" si="127"/>
        <v>Yes</v>
      </c>
      <c r="AA665" t="str">
        <f t="shared" si="128"/>
        <v>Yes</v>
      </c>
      <c r="AB665" t="str">
        <f t="shared" si="129"/>
        <v>Yes</v>
      </c>
      <c r="AC665" s="12">
        <v>79</v>
      </c>
      <c r="AD665" s="12">
        <f t="shared" si="130"/>
        <v>79</v>
      </c>
    </row>
    <row r="666" spans="1:30" x14ac:dyDescent="0.3">
      <c r="A666" t="s">
        <v>1421</v>
      </c>
      <c r="B666" t="s">
        <v>1422</v>
      </c>
      <c r="C666" t="s">
        <v>2776</v>
      </c>
      <c r="D666" t="s">
        <v>2629</v>
      </c>
      <c r="E666" t="str">
        <f t="shared" si="120"/>
        <v>Roy Collins</v>
      </c>
      <c r="H666" t="s">
        <v>30</v>
      </c>
      <c r="I666" t="str">
        <f t="shared" si="121"/>
        <v>Male</v>
      </c>
      <c r="J666">
        <v>33</v>
      </c>
      <c r="K666">
        <f t="shared" si="122"/>
        <v>33</v>
      </c>
      <c r="L666" t="str">
        <f t="shared" si="123"/>
        <v>Second level</v>
      </c>
      <c r="M666" t="s">
        <v>47</v>
      </c>
      <c r="N666" t="s">
        <v>48</v>
      </c>
      <c r="O666" t="s">
        <v>25</v>
      </c>
      <c r="P666">
        <v>5</v>
      </c>
      <c r="Q666">
        <f t="shared" si="124"/>
        <v>5</v>
      </c>
      <c r="R666" t="s">
        <v>72</v>
      </c>
      <c r="S666" s="8" t="s">
        <v>72</v>
      </c>
      <c r="T666" s="9">
        <v>50</v>
      </c>
      <c r="U666" s="9">
        <f t="shared" si="125"/>
        <v>50</v>
      </c>
      <c r="V666" s="10">
        <v>50</v>
      </c>
      <c r="W666">
        <v>4.7</v>
      </c>
      <c r="X666" s="11">
        <f t="shared" si="126"/>
        <v>4.7</v>
      </c>
      <c r="Y666" t="s">
        <v>2103</v>
      </c>
      <c r="Z666" t="str">
        <f t="shared" si="127"/>
        <v>Yes</v>
      </c>
      <c r="AA666" t="str">
        <f t="shared" si="128"/>
        <v>Yes</v>
      </c>
      <c r="AB666" t="str">
        <f t="shared" si="129"/>
        <v>Yes</v>
      </c>
      <c r="AC666" s="12">
        <v>88</v>
      </c>
      <c r="AD666" s="12">
        <f t="shared" si="130"/>
        <v>88</v>
      </c>
    </row>
    <row r="667" spans="1:30" x14ac:dyDescent="0.3">
      <c r="A667" t="s">
        <v>1423</v>
      </c>
      <c r="B667" t="s">
        <v>1424</v>
      </c>
      <c r="C667" t="s">
        <v>2187</v>
      </c>
      <c r="D667" t="s">
        <v>2777</v>
      </c>
      <c r="E667" t="str">
        <f t="shared" si="120"/>
        <v>Samantha Porter</v>
      </c>
      <c r="H667" t="s">
        <v>86</v>
      </c>
      <c r="I667" t="str">
        <f t="shared" si="121"/>
        <v>Female</v>
      </c>
      <c r="J667">
        <v>55</v>
      </c>
      <c r="K667">
        <f t="shared" si="122"/>
        <v>55</v>
      </c>
      <c r="L667" t="str">
        <f t="shared" si="123"/>
        <v>Fourth level</v>
      </c>
      <c r="M667" t="s">
        <v>138</v>
      </c>
      <c r="N667" t="s">
        <v>24</v>
      </c>
      <c r="O667" t="s">
        <v>39</v>
      </c>
      <c r="P667">
        <v>14</v>
      </c>
      <c r="Q667">
        <f t="shared" si="124"/>
        <v>14</v>
      </c>
      <c r="R667" t="s">
        <v>108</v>
      </c>
      <c r="S667" s="8" t="s">
        <v>2095</v>
      </c>
      <c r="T667" s="9">
        <v>50</v>
      </c>
      <c r="U667" s="9">
        <f t="shared" si="125"/>
        <v>50</v>
      </c>
      <c r="V667" s="10">
        <v>50</v>
      </c>
      <c r="W667">
        <v>3.6</v>
      </c>
      <c r="X667" s="11">
        <f t="shared" si="126"/>
        <v>3.6</v>
      </c>
      <c r="Y667" t="s">
        <v>2103</v>
      </c>
      <c r="Z667" t="str">
        <f t="shared" si="127"/>
        <v>Yes</v>
      </c>
      <c r="AA667" t="str">
        <f t="shared" si="128"/>
        <v>Yes</v>
      </c>
      <c r="AB667" t="str">
        <f t="shared" si="129"/>
        <v>Yes</v>
      </c>
      <c r="AC667" s="12">
        <v>81</v>
      </c>
      <c r="AD667" s="12">
        <f t="shared" si="130"/>
        <v>81</v>
      </c>
    </row>
    <row r="668" spans="1:30" x14ac:dyDescent="0.3">
      <c r="A668" t="s">
        <v>1425</v>
      </c>
      <c r="B668" t="s">
        <v>1426</v>
      </c>
      <c r="C668" t="s">
        <v>2110</v>
      </c>
      <c r="D668" t="s">
        <v>2676</v>
      </c>
      <c r="E668" t="str">
        <f t="shared" si="120"/>
        <v>Juan Elliott</v>
      </c>
      <c r="H668" t="s">
        <v>30</v>
      </c>
      <c r="I668" t="str">
        <f t="shared" si="121"/>
        <v>Male</v>
      </c>
      <c r="J668">
        <v>47</v>
      </c>
      <c r="K668">
        <f t="shared" si="122"/>
        <v>47</v>
      </c>
      <c r="L668" t="str">
        <f t="shared" si="123"/>
        <v>Third level</v>
      </c>
      <c r="M668" t="s">
        <v>122</v>
      </c>
      <c r="N668" t="s">
        <v>123</v>
      </c>
      <c r="O668" t="s">
        <v>82</v>
      </c>
      <c r="P668">
        <v>17</v>
      </c>
      <c r="Q668">
        <f t="shared" si="124"/>
        <v>17</v>
      </c>
      <c r="R668" t="s">
        <v>34</v>
      </c>
      <c r="S668" s="8" t="s">
        <v>34</v>
      </c>
      <c r="T668" s="9">
        <v>50</v>
      </c>
      <c r="U668" s="9">
        <f t="shared" si="125"/>
        <v>50</v>
      </c>
      <c r="V668" s="10">
        <v>50</v>
      </c>
      <c r="W668">
        <v>1.2</v>
      </c>
      <c r="X668" s="11">
        <f t="shared" si="126"/>
        <v>1.2</v>
      </c>
      <c r="Y668" t="s">
        <v>2102</v>
      </c>
      <c r="Z668" t="str">
        <f t="shared" si="127"/>
        <v>No</v>
      </c>
      <c r="AA668" t="str">
        <f t="shared" si="128"/>
        <v>No</v>
      </c>
      <c r="AB668" t="str">
        <f t="shared" si="129"/>
        <v>No</v>
      </c>
      <c r="AC668" s="12"/>
      <c r="AD668" s="12">
        <f t="shared" si="130"/>
        <v>80.071428571428569</v>
      </c>
    </row>
    <row r="669" spans="1:30" x14ac:dyDescent="0.3">
      <c r="A669" t="s">
        <v>1427</v>
      </c>
      <c r="B669" t="s">
        <v>1428</v>
      </c>
      <c r="C669" t="s">
        <v>2287</v>
      </c>
      <c r="D669" t="s">
        <v>2551</v>
      </c>
      <c r="E669" t="str">
        <f t="shared" si="120"/>
        <v>Elizabeth Phillips</v>
      </c>
      <c r="H669" t="s">
        <v>22</v>
      </c>
      <c r="I669" t="str">
        <f t="shared" si="121"/>
        <v>Female</v>
      </c>
      <c r="J669">
        <v>29</v>
      </c>
      <c r="K669">
        <f t="shared" si="122"/>
        <v>29</v>
      </c>
      <c r="L669" t="str">
        <f t="shared" si="123"/>
        <v>First level</v>
      </c>
      <c r="M669" t="s">
        <v>190</v>
      </c>
      <c r="N669" t="s">
        <v>81</v>
      </c>
      <c r="O669" t="s">
        <v>49</v>
      </c>
      <c r="P669">
        <v>10</v>
      </c>
      <c r="Q669">
        <f t="shared" si="124"/>
        <v>10</v>
      </c>
      <c r="R669" t="s">
        <v>65</v>
      </c>
      <c r="S669" s="8" t="s">
        <v>65</v>
      </c>
      <c r="T669" s="9"/>
      <c r="U669" s="9">
        <f t="shared" si="125"/>
        <v>53.442622950819676</v>
      </c>
      <c r="V669" s="10">
        <v>53.442622950819676</v>
      </c>
      <c r="W669">
        <v>4.4000000000000004</v>
      </c>
      <c r="X669" s="11">
        <f t="shared" si="126"/>
        <v>4.4000000000000004</v>
      </c>
      <c r="Y669" t="s">
        <v>2103</v>
      </c>
      <c r="Z669" t="str">
        <f t="shared" si="127"/>
        <v>Yes</v>
      </c>
      <c r="AA669" t="str">
        <f t="shared" si="128"/>
        <v>Yes</v>
      </c>
      <c r="AB669" t="str">
        <f t="shared" si="129"/>
        <v>Yes</v>
      </c>
      <c r="AC669" s="12">
        <v>67</v>
      </c>
      <c r="AD669" s="12">
        <f t="shared" si="130"/>
        <v>67</v>
      </c>
    </row>
    <row r="670" spans="1:30" x14ac:dyDescent="0.3">
      <c r="A670" t="s">
        <v>1429</v>
      </c>
      <c r="B670" t="s">
        <v>1430</v>
      </c>
      <c r="C670" t="s">
        <v>2137</v>
      </c>
      <c r="D670" t="s">
        <v>2426</v>
      </c>
      <c r="E670" t="str">
        <f t="shared" si="120"/>
        <v>Laura Evans</v>
      </c>
      <c r="H670" t="s">
        <v>86</v>
      </c>
      <c r="I670" t="str">
        <f t="shared" si="121"/>
        <v>Female</v>
      </c>
      <c r="J670">
        <v>30</v>
      </c>
      <c r="K670">
        <f t="shared" si="122"/>
        <v>30</v>
      </c>
      <c r="L670" t="str">
        <f t="shared" si="123"/>
        <v>First level</v>
      </c>
      <c r="M670" t="s">
        <v>75</v>
      </c>
      <c r="N670" t="s">
        <v>24</v>
      </c>
      <c r="O670" t="s">
        <v>99</v>
      </c>
      <c r="P670">
        <v>8</v>
      </c>
      <c r="Q670">
        <f t="shared" si="124"/>
        <v>8</v>
      </c>
      <c r="R670" t="s">
        <v>18</v>
      </c>
      <c r="S670" s="8" t="s">
        <v>18</v>
      </c>
      <c r="T670" s="9">
        <v>100</v>
      </c>
      <c r="U670" s="9">
        <f t="shared" si="125"/>
        <v>100</v>
      </c>
      <c r="V670" s="10">
        <v>100</v>
      </c>
      <c r="W670">
        <v>1.4</v>
      </c>
      <c r="X670" s="11">
        <f t="shared" si="126"/>
        <v>1.4</v>
      </c>
      <c r="Y670" t="s">
        <v>77</v>
      </c>
      <c r="Z670" t="str">
        <f t="shared" si="127"/>
        <v>yes</v>
      </c>
      <c r="AA670" t="str">
        <f t="shared" si="128"/>
        <v>yes</v>
      </c>
      <c r="AB670" t="str">
        <f t="shared" si="129"/>
        <v>Yes</v>
      </c>
      <c r="AC670" s="12">
        <v>62</v>
      </c>
      <c r="AD670" s="12">
        <f t="shared" si="130"/>
        <v>62</v>
      </c>
    </row>
    <row r="671" spans="1:30" x14ac:dyDescent="0.3">
      <c r="A671" t="s">
        <v>1431</v>
      </c>
      <c r="B671" t="s">
        <v>1432</v>
      </c>
      <c r="C671" t="s">
        <v>2112</v>
      </c>
      <c r="D671" t="s">
        <v>2350</v>
      </c>
      <c r="E671" t="str">
        <f t="shared" si="120"/>
        <v>Amanda Mitchell</v>
      </c>
      <c r="H671" t="s">
        <v>22</v>
      </c>
      <c r="I671" t="str">
        <f t="shared" si="121"/>
        <v>Female</v>
      </c>
      <c r="J671">
        <v>25</v>
      </c>
      <c r="K671">
        <f t="shared" si="122"/>
        <v>25</v>
      </c>
      <c r="L671" t="str">
        <f t="shared" si="123"/>
        <v>First level</v>
      </c>
      <c r="M671" t="s">
        <v>138</v>
      </c>
      <c r="N671" t="s">
        <v>24</v>
      </c>
      <c r="O671" t="s">
        <v>99</v>
      </c>
      <c r="P671">
        <v>1</v>
      </c>
      <c r="Q671">
        <f t="shared" si="124"/>
        <v>1</v>
      </c>
      <c r="R671" t="s">
        <v>119</v>
      </c>
      <c r="S671" s="8" t="s">
        <v>2096</v>
      </c>
      <c r="T671" s="9">
        <v>30</v>
      </c>
      <c r="U671" s="9">
        <f t="shared" si="125"/>
        <v>30</v>
      </c>
      <c r="V671" s="10">
        <v>30</v>
      </c>
      <c r="W671">
        <v>3.2</v>
      </c>
      <c r="X671" s="11">
        <f t="shared" si="126"/>
        <v>3.2</v>
      </c>
      <c r="Y671" t="s">
        <v>2102</v>
      </c>
      <c r="Z671" t="str">
        <f t="shared" si="127"/>
        <v>No</v>
      </c>
      <c r="AA671" t="str">
        <f t="shared" si="128"/>
        <v>No</v>
      </c>
      <c r="AB671" t="str">
        <f t="shared" si="129"/>
        <v>No</v>
      </c>
      <c r="AC671" s="12">
        <v>87</v>
      </c>
      <c r="AD671" s="12">
        <f t="shared" si="130"/>
        <v>87</v>
      </c>
    </row>
    <row r="672" spans="1:30" x14ac:dyDescent="0.3">
      <c r="A672" t="s">
        <v>1433</v>
      </c>
      <c r="B672" t="s">
        <v>1434</v>
      </c>
      <c r="C672" t="s">
        <v>2723</v>
      </c>
      <c r="D672" t="s">
        <v>2181</v>
      </c>
      <c r="E672" t="str">
        <f t="shared" si="120"/>
        <v>Sandra Williams</v>
      </c>
      <c r="H672" t="s">
        <v>43</v>
      </c>
      <c r="I672" t="str">
        <f t="shared" si="121"/>
        <v>Female</v>
      </c>
      <c r="J672">
        <v>28</v>
      </c>
      <c r="K672">
        <f t="shared" si="122"/>
        <v>28</v>
      </c>
      <c r="L672" t="str">
        <f t="shared" si="123"/>
        <v>First level</v>
      </c>
      <c r="M672" t="s">
        <v>149</v>
      </c>
      <c r="N672" t="s">
        <v>150</v>
      </c>
      <c r="O672" t="s">
        <v>87</v>
      </c>
      <c r="P672">
        <v>10</v>
      </c>
      <c r="Q672">
        <f t="shared" si="124"/>
        <v>10</v>
      </c>
      <c r="R672" t="s">
        <v>65</v>
      </c>
      <c r="S672" s="8" t="s">
        <v>65</v>
      </c>
      <c r="T672" s="9"/>
      <c r="U672" s="9">
        <f t="shared" si="125"/>
        <v>53.300330033003299</v>
      </c>
      <c r="V672" s="10">
        <v>53.300330033003299</v>
      </c>
      <c r="W672">
        <v>3.8</v>
      </c>
      <c r="X672" s="11">
        <f t="shared" si="126"/>
        <v>3.8</v>
      </c>
      <c r="Y672" t="s">
        <v>77</v>
      </c>
      <c r="Z672" t="str">
        <f t="shared" si="127"/>
        <v>yes</v>
      </c>
      <c r="AA672" t="str">
        <f t="shared" si="128"/>
        <v>yes</v>
      </c>
      <c r="AB672" t="str">
        <f t="shared" si="129"/>
        <v>Yes</v>
      </c>
      <c r="AC672" s="12">
        <v>98</v>
      </c>
      <c r="AD672" s="12">
        <f t="shared" si="130"/>
        <v>98</v>
      </c>
    </row>
    <row r="673" spans="1:30" x14ac:dyDescent="0.3">
      <c r="A673" t="s">
        <v>1435</v>
      </c>
      <c r="B673" t="s">
        <v>1436</v>
      </c>
      <c r="C673" t="s">
        <v>2118</v>
      </c>
      <c r="D673" t="s">
        <v>2117</v>
      </c>
      <c r="E673" t="str">
        <f t="shared" si="120"/>
        <v>Eric Johnson</v>
      </c>
      <c r="H673" t="s">
        <v>30</v>
      </c>
      <c r="I673" t="str">
        <f t="shared" si="121"/>
        <v>Male</v>
      </c>
      <c r="J673">
        <v>29</v>
      </c>
      <c r="K673">
        <f t="shared" si="122"/>
        <v>29</v>
      </c>
      <c r="L673" t="str">
        <f t="shared" si="123"/>
        <v>First level</v>
      </c>
      <c r="M673" t="s">
        <v>122</v>
      </c>
      <c r="N673" t="s">
        <v>123</v>
      </c>
      <c r="O673" t="s">
        <v>17</v>
      </c>
      <c r="P673">
        <v>0</v>
      </c>
      <c r="Q673">
        <f t="shared" si="124"/>
        <v>0</v>
      </c>
      <c r="R673" t="s">
        <v>181</v>
      </c>
      <c r="S673" s="8" t="s">
        <v>181</v>
      </c>
      <c r="T673" s="9">
        <v>75</v>
      </c>
      <c r="U673" s="9">
        <f t="shared" si="125"/>
        <v>75</v>
      </c>
      <c r="V673" s="10">
        <v>75</v>
      </c>
      <c r="W673">
        <v>1.5</v>
      </c>
      <c r="X673" s="11">
        <f t="shared" si="126"/>
        <v>1.5</v>
      </c>
      <c r="Y673" t="s">
        <v>2103</v>
      </c>
      <c r="Z673" t="str">
        <f t="shared" si="127"/>
        <v>Yes</v>
      </c>
      <c r="AA673" t="str">
        <f t="shared" si="128"/>
        <v>Yes</v>
      </c>
      <c r="AB673" t="str">
        <f t="shared" si="129"/>
        <v>Yes</v>
      </c>
      <c r="AC673" s="12">
        <v>64</v>
      </c>
      <c r="AD673" s="12">
        <f t="shared" si="130"/>
        <v>64</v>
      </c>
    </row>
    <row r="674" spans="1:30" x14ac:dyDescent="0.3">
      <c r="A674" t="s">
        <v>1437</v>
      </c>
      <c r="B674" t="s">
        <v>1438</v>
      </c>
      <c r="C674" t="s">
        <v>2778</v>
      </c>
      <c r="D674" t="s">
        <v>2779</v>
      </c>
      <c r="E674" t="str">
        <f t="shared" si="120"/>
        <v>Javier Hobbs</v>
      </c>
      <c r="H674" t="s">
        <v>107</v>
      </c>
      <c r="I674" t="str">
        <f t="shared" si="121"/>
        <v>Male</v>
      </c>
      <c r="J674">
        <v>30</v>
      </c>
      <c r="K674">
        <f t="shared" si="122"/>
        <v>30</v>
      </c>
      <c r="L674" t="str">
        <f t="shared" si="123"/>
        <v>First level</v>
      </c>
      <c r="M674" t="s">
        <v>201</v>
      </c>
      <c r="N674" t="s">
        <v>81</v>
      </c>
      <c r="O674" t="s">
        <v>33</v>
      </c>
      <c r="P674">
        <v>4</v>
      </c>
      <c r="Q674">
        <f t="shared" si="124"/>
        <v>4</v>
      </c>
      <c r="R674" t="s">
        <v>65</v>
      </c>
      <c r="S674" s="8" t="s">
        <v>65</v>
      </c>
      <c r="T674" s="9"/>
      <c r="U674" s="9">
        <f t="shared" si="125"/>
        <v>53.377483443708613</v>
      </c>
      <c r="V674" s="10">
        <v>53.377483443708613</v>
      </c>
      <c r="W674">
        <v>2.8</v>
      </c>
      <c r="X674" s="11">
        <f t="shared" si="126"/>
        <v>2.8</v>
      </c>
      <c r="Y674" t="s">
        <v>2103</v>
      </c>
      <c r="Z674" t="str">
        <f t="shared" si="127"/>
        <v>Yes</v>
      </c>
      <c r="AA674" t="str">
        <f t="shared" si="128"/>
        <v>Yes</v>
      </c>
      <c r="AB674" t="str">
        <f t="shared" si="129"/>
        <v>Yes</v>
      </c>
      <c r="AC674" s="12">
        <v>71</v>
      </c>
      <c r="AD674" s="12">
        <f t="shared" si="130"/>
        <v>71</v>
      </c>
    </row>
    <row r="675" spans="1:30" x14ac:dyDescent="0.3">
      <c r="A675" t="s">
        <v>1439</v>
      </c>
      <c r="B675" t="s">
        <v>1440</v>
      </c>
      <c r="C675" t="s">
        <v>2418</v>
      </c>
      <c r="D675" t="s">
        <v>2159</v>
      </c>
      <c r="E675" t="str">
        <f t="shared" si="120"/>
        <v>Jacob Jones</v>
      </c>
      <c r="H675" t="s">
        <v>30</v>
      </c>
      <c r="I675" t="str">
        <f t="shared" si="121"/>
        <v>Male</v>
      </c>
      <c r="J675">
        <v>47</v>
      </c>
      <c r="K675">
        <f t="shared" si="122"/>
        <v>47</v>
      </c>
      <c r="L675" t="str">
        <f t="shared" si="123"/>
        <v>Third level</v>
      </c>
      <c r="M675" t="s">
        <v>149</v>
      </c>
      <c r="N675" t="s">
        <v>150</v>
      </c>
      <c r="O675" t="s">
        <v>49</v>
      </c>
      <c r="P675">
        <v>2</v>
      </c>
      <c r="Q675">
        <f t="shared" si="124"/>
        <v>2</v>
      </c>
      <c r="R675" t="s">
        <v>34</v>
      </c>
      <c r="S675" s="8" t="s">
        <v>34</v>
      </c>
      <c r="T675" s="9">
        <v>50</v>
      </c>
      <c r="U675" s="9">
        <f t="shared" si="125"/>
        <v>50</v>
      </c>
      <c r="V675" s="10">
        <v>50</v>
      </c>
      <c r="W675">
        <v>2.7</v>
      </c>
      <c r="X675" s="11">
        <f t="shared" si="126"/>
        <v>2.7</v>
      </c>
      <c r="Y675" t="s">
        <v>170</v>
      </c>
      <c r="Z675" t="str">
        <f t="shared" si="127"/>
        <v>no</v>
      </c>
      <c r="AA675" t="str">
        <f t="shared" si="128"/>
        <v>no</v>
      </c>
      <c r="AB675" t="str">
        <f t="shared" si="129"/>
        <v>No</v>
      </c>
      <c r="AC675" s="12">
        <v>96</v>
      </c>
      <c r="AD675" s="12">
        <f t="shared" si="130"/>
        <v>96</v>
      </c>
    </row>
    <row r="676" spans="1:30" x14ac:dyDescent="0.3">
      <c r="A676" t="s">
        <v>1441</v>
      </c>
      <c r="B676" t="s">
        <v>1442</v>
      </c>
      <c r="C676" t="s">
        <v>2395</v>
      </c>
      <c r="D676" t="s">
        <v>2445</v>
      </c>
      <c r="E676" t="str">
        <f t="shared" si="120"/>
        <v>Zachary Murphy</v>
      </c>
      <c r="H676" t="s">
        <v>69</v>
      </c>
      <c r="I676" t="str">
        <f t="shared" si="121"/>
        <v>Male</v>
      </c>
      <c r="J676">
        <v>34</v>
      </c>
      <c r="K676">
        <f t="shared" si="122"/>
        <v>34</v>
      </c>
      <c r="L676" t="str">
        <f t="shared" si="123"/>
        <v>Second level</v>
      </c>
      <c r="M676" t="s">
        <v>23</v>
      </c>
      <c r="N676" t="s">
        <v>24</v>
      </c>
      <c r="O676" t="s">
        <v>17</v>
      </c>
      <c r="P676">
        <v>10</v>
      </c>
      <c r="Q676">
        <f t="shared" si="124"/>
        <v>10</v>
      </c>
      <c r="R676" t="s">
        <v>50</v>
      </c>
      <c r="S676" s="8" t="s">
        <v>50</v>
      </c>
      <c r="T676" s="9">
        <v>30</v>
      </c>
      <c r="U676" s="9">
        <f t="shared" si="125"/>
        <v>30</v>
      </c>
      <c r="V676" s="10">
        <v>30</v>
      </c>
      <c r="W676">
        <v>3.9</v>
      </c>
      <c r="X676" s="11">
        <f t="shared" si="126"/>
        <v>3.9</v>
      </c>
      <c r="Y676" t="s">
        <v>65</v>
      </c>
      <c r="AA676" t="str">
        <f t="shared" si="128"/>
        <v>Unknown</v>
      </c>
      <c r="AB676" t="str">
        <f t="shared" si="129"/>
        <v>Unknown</v>
      </c>
      <c r="AC676" s="12"/>
      <c r="AD676" s="12">
        <f t="shared" si="130"/>
        <v>80.128205128205124</v>
      </c>
    </row>
    <row r="677" spans="1:30" x14ac:dyDescent="0.3">
      <c r="A677" t="s">
        <v>1443</v>
      </c>
      <c r="B677" t="s">
        <v>1444</v>
      </c>
      <c r="C677" t="s">
        <v>2327</v>
      </c>
      <c r="D677" t="s">
        <v>2780</v>
      </c>
      <c r="E677" t="str">
        <f t="shared" si="120"/>
        <v>Joshua Owens</v>
      </c>
      <c r="H677" t="s">
        <v>107</v>
      </c>
      <c r="I677" t="str">
        <f t="shared" si="121"/>
        <v>Male</v>
      </c>
      <c r="J677">
        <v>45</v>
      </c>
      <c r="K677">
        <f t="shared" si="122"/>
        <v>45</v>
      </c>
      <c r="L677" t="str">
        <f t="shared" si="123"/>
        <v>Third level</v>
      </c>
      <c r="M677" t="s">
        <v>64</v>
      </c>
      <c r="N677" t="s">
        <v>24</v>
      </c>
      <c r="O677" t="s">
        <v>33</v>
      </c>
      <c r="P677">
        <v>16</v>
      </c>
      <c r="Q677">
        <f t="shared" si="124"/>
        <v>16</v>
      </c>
      <c r="R677" t="s">
        <v>18</v>
      </c>
      <c r="S677" s="8" t="s">
        <v>18</v>
      </c>
      <c r="T677" s="9">
        <v>100</v>
      </c>
      <c r="U677" s="9">
        <f t="shared" si="125"/>
        <v>100</v>
      </c>
      <c r="V677" s="10">
        <v>100</v>
      </c>
      <c r="W677">
        <v>4.5999999999999996</v>
      </c>
      <c r="X677" s="11">
        <f t="shared" si="126"/>
        <v>4.5999999999999996</v>
      </c>
      <c r="Y677" t="s">
        <v>2102</v>
      </c>
      <c r="Z677" t="str">
        <f t="shared" si="127"/>
        <v>No</v>
      </c>
      <c r="AA677" t="str">
        <f t="shared" si="128"/>
        <v>No</v>
      </c>
      <c r="AB677" t="str">
        <f t="shared" si="129"/>
        <v>No</v>
      </c>
      <c r="AC677" s="12">
        <v>78</v>
      </c>
      <c r="AD677" s="12">
        <f t="shared" si="130"/>
        <v>78</v>
      </c>
    </row>
    <row r="678" spans="1:30" x14ac:dyDescent="0.3">
      <c r="A678" t="s">
        <v>1445</v>
      </c>
      <c r="B678" t="s">
        <v>1446</v>
      </c>
      <c r="C678" t="s">
        <v>2714</v>
      </c>
      <c r="D678" t="s">
        <v>2350</v>
      </c>
      <c r="E678" t="str">
        <f t="shared" si="120"/>
        <v>Dawn Mitchell</v>
      </c>
      <c r="H678" t="s">
        <v>86</v>
      </c>
      <c r="I678" t="str">
        <f t="shared" si="121"/>
        <v>Female</v>
      </c>
      <c r="J678">
        <v>56</v>
      </c>
      <c r="K678">
        <f t="shared" si="122"/>
        <v>56</v>
      </c>
      <c r="L678" t="str">
        <f t="shared" si="123"/>
        <v>Fourth level</v>
      </c>
      <c r="M678" t="s">
        <v>201</v>
      </c>
      <c r="N678" t="s">
        <v>81</v>
      </c>
      <c r="O678" t="s">
        <v>87</v>
      </c>
      <c r="P678">
        <v>27</v>
      </c>
      <c r="Q678">
        <f t="shared" si="124"/>
        <v>27</v>
      </c>
      <c r="R678" t="s">
        <v>131</v>
      </c>
      <c r="S678" s="8" t="s">
        <v>131</v>
      </c>
      <c r="T678" s="9">
        <v>20</v>
      </c>
      <c r="U678" s="9">
        <f t="shared" si="125"/>
        <v>20</v>
      </c>
      <c r="V678" s="10">
        <v>20</v>
      </c>
      <c r="W678">
        <v>2.2000000000000002</v>
      </c>
      <c r="X678" s="11">
        <f t="shared" si="126"/>
        <v>2.2000000000000002</v>
      </c>
      <c r="Y678" t="s">
        <v>2102</v>
      </c>
      <c r="Z678" t="str">
        <f t="shared" si="127"/>
        <v>No</v>
      </c>
      <c r="AA678" t="str">
        <f t="shared" si="128"/>
        <v>No</v>
      </c>
      <c r="AB678" t="str">
        <f t="shared" si="129"/>
        <v>No</v>
      </c>
      <c r="AC678" s="12">
        <v>70</v>
      </c>
      <c r="AD678" s="12">
        <f t="shared" si="130"/>
        <v>70</v>
      </c>
    </row>
    <row r="679" spans="1:30" x14ac:dyDescent="0.3">
      <c r="A679" t="s">
        <v>1447</v>
      </c>
      <c r="B679" t="s">
        <v>1448</v>
      </c>
      <c r="C679" t="s">
        <v>2613</v>
      </c>
      <c r="D679" t="s">
        <v>2398</v>
      </c>
      <c r="E679" t="str">
        <f t="shared" si="120"/>
        <v>Regina Dunn</v>
      </c>
      <c r="H679" t="s">
        <v>43</v>
      </c>
      <c r="I679" t="str">
        <f t="shared" si="121"/>
        <v>Female</v>
      </c>
      <c r="J679">
        <v>49</v>
      </c>
      <c r="K679">
        <f t="shared" si="122"/>
        <v>49</v>
      </c>
      <c r="L679" t="str">
        <f t="shared" si="123"/>
        <v>Third level</v>
      </c>
      <c r="M679" t="s">
        <v>186</v>
      </c>
      <c r="N679" t="s">
        <v>187</v>
      </c>
      <c r="O679" t="s">
        <v>99</v>
      </c>
      <c r="P679">
        <v>20</v>
      </c>
      <c r="Q679">
        <f t="shared" si="124"/>
        <v>20</v>
      </c>
      <c r="R679" t="s">
        <v>34</v>
      </c>
      <c r="S679" s="8" t="s">
        <v>34</v>
      </c>
      <c r="T679" s="9">
        <v>50</v>
      </c>
      <c r="U679" s="9">
        <f t="shared" si="125"/>
        <v>50</v>
      </c>
      <c r="V679" s="10">
        <v>50</v>
      </c>
      <c r="W679">
        <v>2.5</v>
      </c>
      <c r="X679" s="11">
        <f t="shared" si="126"/>
        <v>2.5</v>
      </c>
      <c r="Y679" t="s">
        <v>2102</v>
      </c>
      <c r="Z679" t="str">
        <f t="shared" si="127"/>
        <v>No</v>
      </c>
      <c r="AA679" t="str">
        <f t="shared" si="128"/>
        <v>No</v>
      </c>
      <c r="AB679" t="str">
        <f t="shared" si="129"/>
        <v>No</v>
      </c>
      <c r="AC679" s="12">
        <v>82</v>
      </c>
      <c r="AD679" s="12">
        <f t="shared" si="130"/>
        <v>82</v>
      </c>
    </row>
    <row r="680" spans="1:30" x14ac:dyDescent="0.3">
      <c r="A680" t="s">
        <v>1449</v>
      </c>
      <c r="B680" t="s">
        <v>1450</v>
      </c>
      <c r="C680" t="s">
        <v>2781</v>
      </c>
      <c r="D680" t="s">
        <v>2782</v>
      </c>
      <c r="E680" t="str">
        <f t="shared" si="120"/>
        <v>Ernest Cole</v>
      </c>
      <c r="H680" t="s">
        <v>69</v>
      </c>
      <c r="I680" t="str">
        <f t="shared" si="121"/>
        <v>Male</v>
      </c>
      <c r="J680">
        <v>48</v>
      </c>
      <c r="K680">
        <f t="shared" si="122"/>
        <v>48</v>
      </c>
      <c r="L680" t="str">
        <f t="shared" si="123"/>
        <v>Third level</v>
      </c>
      <c r="M680" t="s">
        <v>145</v>
      </c>
      <c r="N680" t="s">
        <v>146</v>
      </c>
      <c r="O680" t="s">
        <v>49</v>
      </c>
      <c r="P680">
        <v>10</v>
      </c>
      <c r="Q680">
        <f t="shared" si="124"/>
        <v>10</v>
      </c>
      <c r="R680" t="s">
        <v>65</v>
      </c>
      <c r="S680" s="8" t="s">
        <v>65</v>
      </c>
      <c r="T680" s="9"/>
      <c r="U680" s="9">
        <f t="shared" si="125"/>
        <v>53.350168350168353</v>
      </c>
      <c r="V680" s="10">
        <v>53.350168350168353</v>
      </c>
      <c r="W680">
        <v>3.1</v>
      </c>
      <c r="X680" s="11">
        <f t="shared" si="126"/>
        <v>3.1</v>
      </c>
      <c r="Y680" t="s">
        <v>2102</v>
      </c>
      <c r="Z680" t="str">
        <f t="shared" si="127"/>
        <v>No</v>
      </c>
      <c r="AA680" t="str">
        <f t="shared" si="128"/>
        <v>No</v>
      </c>
      <c r="AB680" t="str">
        <f t="shared" si="129"/>
        <v>No</v>
      </c>
      <c r="AC680" s="12"/>
      <c r="AD680" s="12">
        <f t="shared" si="130"/>
        <v>80.166666666666671</v>
      </c>
    </row>
    <row r="681" spans="1:30" x14ac:dyDescent="0.3">
      <c r="A681" t="s">
        <v>1451</v>
      </c>
      <c r="B681" t="s">
        <v>1452</v>
      </c>
      <c r="C681" t="s">
        <v>2783</v>
      </c>
      <c r="D681" t="s">
        <v>2378</v>
      </c>
      <c r="E681" t="str">
        <f t="shared" si="120"/>
        <v>Hannah Sanders</v>
      </c>
      <c r="H681" t="s">
        <v>43</v>
      </c>
      <c r="I681" t="str">
        <f t="shared" si="121"/>
        <v>Female</v>
      </c>
      <c r="J681">
        <v>29</v>
      </c>
      <c r="K681">
        <f t="shared" si="122"/>
        <v>29</v>
      </c>
      <c r="L681" t="str">
        <f t="shared" si="123"/>
        <v>First level</v>
      </c>
      <c r="M681" t="s">
        <v>122</v>
      </c>
      <c r="N681" t="s">
        <v>123</v>
      </c>
      <c r="O681" t="s">
        <v>33</v>
      </c>
      <c r="P681">
        <v>0</v>
      </c>
      <c r="Q681">
        <f t="shared" si="124"/>
        <v>0</v>
      </c>
      <c r="R681" t="s">
        <v>131</v>
      </c>
      <c r="S681" s="8" t="s">
        <v>131</v>
      </c>
      <c r="T681" s="9">
        <v>20</v>
      </c>
      <c r="U681" s="9">
        <f t="shared" si="125"/>
        <v>20</v>
      </c>
      <c r="V681" s="10">
        <v>20</v>
      </c>
      <c r="X681" s="11">
        <f t="shared" si="126"/>
        <v>2.57872340425532</v>
      </c>
      <c r="Y681" t="s">
        <v>2103</v>
      </c>
      <c r="Z681" t="str">
        <f t="shared" si="127"/>
        <v>Yes</v>
      </c>
      <c r="AA681" t="str">
        <f t="shared" si="128"/>
        <v>Yes</v>
      </c>
      <c r="AB681" t="str">
        <f t="shared" si="129"/>
        <v>Yes</v>
      </c>
      <c r="AC681" s="12">
        <v>99</v>
      </c>
      <c r="AD681" s="12">
        <f t="shared" si="130"/>
        <v>99</v>
      </c>
    </row>
    <row r="682" spans="1:30" x14ac:dyDescent="0.3">
      <c r="A682" t="s">
        <v>1453</v>
      </c>
      <c r="B682" t="s">
        <v>1454</v>
      </c>
      <c r="C682" t="s">
        <v>2784</v>
      </c>
      <c r="D682" t="s">
        <v>2640</v>
      </c>
      <c r="E682" t="str">
        <f t="shared" si="120"/>
        <v>Ellen Bowman</v>
      </c>
      <c r="H682" t="s">
        <v>86</v>
      </c>
      <c r="I682" t="str">
        <f t="shared" si="121"/>
        <v>Female</v>
      </c>
      <c r="J682">
        <v>49</v>
      </c>
      <c r="K682">
        <f t="shared" si="122"/>
        <v>49</v>
      </c>
      <c r="L682" t="str">
        <f t="shared" si="123"/>
        <v>Third level</v>
      </c>
      <c r="M682" t="s">
        <v>47</v>
      </c>
      <c r="N682" t="s">
        <v>48</v>
      </c>
      <c r="O682" t="s">
        <v>39</v>
      </c>
      <c r="P682">
        <v>11</v>
      </c>
      <c r="Q682">
        <f t="shared" si="124"/>
        <v>11</v>
      </c>
      <c r="R682" t="s">
        <v>92</v>
      </c>
      <c r="S682" s="8" t="s">
        <v>92</v>
      </c>
      <c r="T682" s="9">
        <v>75</v>
      </c>
      <c r="U682" s="9">
        <f t="shared" si="125"/>
        <v>75</v>
      </c>
      <c r="V682" s="10">
        <v>75</v>
      </c>
      <c r="W682">
        <v>3.8</v>
      </c>
      <c r="X682" s="11">
        <f t="shared" si="126"/>
        <v>3.8</v>
      </c>
      <c r="Y682" t="s">
        <v>2103</v>
      </c>
      <c r="Z682" t="str">
        <f t="shared" si="127"/>
        <v>Yes</v>
      </c>
      <c r="AA682" t="str">
        <f t="shared" si="128"/>
        <v>Yes</v>
      </c>
      <c r="AB682" t="str">
        <f t="shared" si="129"/>
        <v>Yes</v>
      </c>
      <c r="AC682" s="12">
        <v>93</v>
      </c>
      <c r="AD682" s="12">
        <f t="shared" si="130"/>
        <v>93</v>
      </c>
    </row>
    <row r="683" spans="1:30" x14ac:dyDescent="0.3">
      <c r="A683" t="s">
        <v>1455</v>
      </c>
      <c r="B683" t="s">
        <v>1456</v>
      </c>
      <c r="C683" t="s">
        <v>2476</v>
      </c>
      <c r="D683" t="s">
        <v>2415</v>
      </c>
      <c r="E683" t="str">
        <f t="shared" si="120"/>
        <v>Nancy Moore</v>
      </c>
      <c r="H683" t="s">
        <v>22</v>
      </c>
      <c r="I683" t="str">
        <f t="shared" si="121"/>
        <v>Female</v>
      </c>
      <c r="J683">
        <v>22</v>
      </c>
      <c r="K683">
        <f t="shared" si="122"/>
        <v>22</v>
      </c>
      <c r="L683" t="str">
        <f t="shared" si="123"/>
        <v>First level</v>
      </c>
      <c r="M683" t="s">
        <v>186</v>
      </c>
      <c r="N683" t="s">
        <v>187</v>
      </c>
      <c r="O683" t="s">
        <v>17</v>
      </c>
      <c r="P683">
        <v>1</v>
      </c>
      <c r="Q683">
        <f t="shared" si="124"/>
        <v>1</v>
      </c>
      <c r="R683" t="s">
        <v>18</v>
      </c>
      <c r="S683" s="8" t="s">
        <v>18</v>
      </c>
      <c r="T683" s="9">
        <v>100</v>
      </c>
      <c r="U683" s="9">
        <f t="shared" si="125"/>
        <v>100</v>
      </c>
      <c r="V683" s="10">
        <v>100</v>
      </c>
      <c r="W683">
        <v>4.8</v>
      </c>
      <c r="X683" s="11">
        <f t="shared" si="126"/>
        <v>4.8</v>
      </c>
      <c r="Y683" t="s">
        <v>2103</v>
      </c>
      <c r="Z683" t="str">
        <f t="shared" si="127"/>
        <v>Yes</v>
      </c>
      <c r="AA683" t="str">
        <f t="shared" si="128"/>
        <v>Yes</v>
      </c>
      <c r="AB683" t="str">
        <f t="shared" si="129"/>
        <v>Yes</v>
      </c>
      <c r="AC683" s="12">
        <v>75</v>
      </c>
      <c r="AD683" s="12">
        <f t="shared" si="130"/>
        <v>75</v>
      </c>
    </row>
    <row r="684" spans="1:30" x14ac:dyDescent="0.3">
      <c r="A684" t="s">
        <v>1457</v>
      </c>
      <c r="B684" t="s">
        <v>1458</v>
      </c>
      <c r="C684" t="s">
        <v>2380</v>
      </c>
      <c r="D684" t="s">
        <v>2696</v>
      </c>
      <c r="E684" t="str">
        <f t="shared" si="120"/>
        <v>Joseph Wood</v>
      </c>
      <c r="H684" t="s">
        <v>107</v>
      </c>
      <c r="I684" t="str">
        <f t="shared" si="121"/>
        <v>Male</v>
      </c>
      <c r="J684">
        <v>52</v>
      </c>
      <c r="K684">
        <f t="shared" si="122"/>
        <v>52</v>
      </c>
      <c r="L684" t="str">
        <f t="shared" si="123"/>
        <v>Fourth level</v>
      </c>
      <c r="M684" t="s">
        <v>190</v>
      </c>
      <c r="N684" t="s">
        <v>81</v>
      </c>
      <c r="O684" t="s">
        <v>33</v>
      </c>
      <c r="P684">
        <v>30</v>
      </c>
      <c r="Q684">
        <f t="shared" si="124"/>
        <v>30</v>
      </c>
      <c r="R684" t="s">
        <v>26</v>
      </c>
      <c r="S684" s="8" t="s">
        <v>18</v>
      </c>
      <c r="T684" s="9">
        <v>100</v>
      </c>
      <c r="U684" s="9">
        <f t="shared" si="125"/>
        <v>100</v>
      </c>
      <c r="V684" s="10">
        <v>100</v>
      </c>
      <c r="W684">
        <v>2.5</v>
      </c>
      <c r="X684" s="11">
        <f t="shared" si="126"/>
        <v>2.5</v>
      </c>
      <c r="Y684" t="s">
        <v>65</v>
      </c>
      <c r="AA684" t="str">
        <f t="shared" si="128"/>
        <v>Unknown</v>
      </c>
      <c r="AB684" t="str">
        <f t="shared" si="129"/>
        <v>Unknown</v>
      </c>
      <c r="AC684" s="12">
        <v>61</v>
      </c>
      <c r="AD684" s="12">
        <f t="shared" si="130"/>
        <v>61</v>
      </c>
    </row>
    <row r="685" spans="1:30" x14ac:dyDescent="0.3">
      <c r="A685" t="s">
        <v>1459</v>
      </c>
      <c r="B685" t="s">
        <v>1460</v>
      </c>
      <c r="C685" t="s">
        <v>2166</v>
      </c>
      <c r="D685" t="s">
        <v>2785</v>
      </c>
      <c r="E685" t="str">
        <f t="shared" si="120"/>
        <v>Michael Harrell</v>
      </c>
      <c r="H685" t="s">
        <v>69</v>
      </c>
      <c r="I685" t="str">
        <f t="shared" si="121"/>
        <v>Male</v>
      </c>
      <c r="J685">
        <v>60</v>
      </c>
      <c r="K685">
        <f t="shared" si="122"/>
        <v>60</v>
      </c>
      <c r="L685" t="str">
        <f t="shared" si="123"/>
        <v>Fourth level</v>
      </c>
      <c r="M685" t="s">
        <v>138</v>
      </c>
      <c r="N685" t="s">
        <v>24</v>
      </c>
      <c r="O685" t="s">
        <v>17</v>
      </c>
      <c r="P685">
        <v>7</v>
      </c>
      <c r="Q685">
        <f t="shared" si="124"/>
        <v>7</v>
      </c>
      <c r="R685" t="s">
        <v>119</v>
      </c>
      <c r="S685" s="8" t="s">
        <v>2096</v>
      </c>
      <c r="T685" s="9">
        <v>30</v>
      </c>
      <c r="U685" s="9">
        <f t="shared" si="125"/>
        <v>30</v>
      </c>
      <c r="V685" s="10">
        <v>30</v>
      </c>
      <c r="W685">
        <v>0</v>
      </c>
      <c r="X685" s="11">
        <f t="shared" si="126"/>
        <v>0</v>
      </c>
      <c r="Y685" t="s">
        <v>170</v>
      </c>
      <c r="Z685" t="str">
        <f t="shared" si="127"/>
        <v>no</v>
      </c>
      <c r="AA685" t="str">
        <f t="shared" si="128"/>
        <v>no</v>
      </c>
      <c r="AB685" t="str">
        <f t="shared" si="129"/>
        <v>No</v>
      </c>
      <c r="AC685" s="12">
        <v>97</v>
      </c>
      <c r="AD685" s="12">
        <f t="shared" si="130"/>
        <v>97</v>
      </c>
    </row>
    <row r="686" spans="1:30" x14ac:dyDescent="0.3">
      <c r="A686" t="s">
        <v>1461</v>
      </c>
      <c r="B686" t="s">
        <v>1462</v>
      </c>
      <c r="C686" t="s">
        <v>2786</v>
      </c>
      <c r="D686" t="s">
        <v>2618</v>
      </c>
      <c r="E686" t="str">
        <f t="shared" si="120"/>
        <v>Connie Mcclain</v>
      </c>
      <c r="H686" t="s">
        <v>86</v>
      </c>
      <c r="I686" t="str">
        <f t="shared" si="121"/>
        <v>Female</v>
      </c>
      <c r="J686">
        <v>33</v>
      </c>
      <c r="K686">
        <f t="shared" si="122"/>
        <v>33</v>
      </c>
      <c r="L686" t="str">
        <f t="shared" si="123"/>
        <v>Second level</v>
      </c>
      <c r="M686" t="s">
        <v>95</v>
      </c>
      <c r="N686" t="s">
        <v>96</v>
      </c>
      <c r="O686" t="s">
        <v>82</v>
      </c>
      <c r="P686">
        <v>0</v>
      </c>
      <c r="Q686">
        <f t="shared" si="124"/>
        <v>0</v>
      </c>
      <c r="R686" t="s">
        <v>240</v>
      </c>
      <c r="S686" s="8" t="s">
        <v>18</v>
      </c>
      <c r="T686" s="9">
        <v>100</v>
      </c>
      <c r="U686" s="9">
        <f t="shared" si="125"/>
        <v>100</v>
      </c>
      <c r="V686" s="10">
        <v>100</v>
      </c>
      <c r="W686">
        <v>1.7</v>
      </c>
      <c r="X686" s="11">
        <f t="shared" si="126"/>
        <v>1.7</v>
      </c>
      <c r="Y686" t="s">
        <v>2103</v>
      </c>
      <c r="Z686" t="str">
        <f t="shared" si="127"/>
        <v>Yes</v>
      </c>
      <c r="AA686" t="str">
        <f t="shared" si="128"/>
        <v>Yes</v>
      </c>
      <c r="AB686" t="str">
        <f t="shared" si="129"/>
        <v>Yes</v>
      </c>
      <c r="AC686" s="12">
        <v>95</v>
      </c>
      <c r="AD686" s="12">
        <f t="shared" si="130"/>
        <v>95</v>
      </c>
    </row>
    <row r="687" spans="1:30" x14ac:dyDescent="0.3">
      <c r="A687" t="s">
        <v>1463</v>
      </c>
      <c r="B687" t="s">
        <v>1464</v>
      </c>
      <c r="C687" t="s">
        <v>2124</v>
      </c>
      <c r="D687" t="s">
        <v>2501</v>
      </c>
      <c r="E687" t="str">
        <f t="shared" si="120"/>
        <v>Matthew Baldwin</v>
      </c>
      <c r="H687" t="s">
        <v>107</v>
      </c>
      <c r="I687" t="str">
        <f t="shared" si="121"/>
        <v>Male</v>
      </c>
      <c r="J687">
        <v>52</v>
      </c>
      <c r="K687">
        <f t="shared" si="122"/>
        <v>52</v>
      </c>
      <c r="L687" t="str">
        <f t="shared" si="123"/>
        <v>Fourth level</v>
      </c>
      <c r="M687" t="s">
        <v>122</v>
      </c>
      <c r="N687" t="s">
        <v>123</v>
      </c>
      <c r="O687" t="s">
        <v>33</v>
      </c>
      <c r="P687">
        <v>21</v>
      </c>
      <c r="Q687">
        <f t="shared" si="124"/>
        <v>21</v>
      </c>
      <c r="R687" t="s">
        <v>61</v>
      </c>
      <c r="S687" s="8" t="s">
        <v>2094</v>
      </c>
      <c r="T687" s="9">
        <v>40</v>
      </c>
      <c r="U687" s="9">
        <f t="shared" si="125"/>
        <v>40</v>
      </c>
      <c r="V687" s="10">
        <v>40</v>
      </c>
      <c r="W687">
        <v>4</v>
      </c>
      <c r="X687" s="11">
        <f t="shared" si="126"/>
        <v>4</v>
      </c>
      <c r="Y687" t="s">
        <v>65</v>
      </c>
      <c r="AA687" t="str">
        <f t="shared" si="128"/>
        <v>Unknown</v>
      </c>
      <c r="AB687" t="str">
        <f t="shared" si="129"/>
        <v>Unknown</v>
      </c>
      <c r="AC687" s="12">
        <v>69</v>
      </c>
      <c r="AD687" s="12">
        <f t="shared" si="130"/>
        <v>69</v>
      </c>
    </row>
    <row r="688" spans="1:30" x14ac:dyDescent="0.3">
      <c r="A688" t="s">
        <v>1465</v>
      </c>
      <c r="B688" t="s">
        <v>1466</v>
      </c>
      <c r="C688" t="s">
        <v>2522</v>
      </c>
      <c r="D688" t="s">
        <v>2111</v>
      </c>
      <c r="E688" t="str">
        <f t="shared" si="120"/>
        <v>Danielle Nelson</v>
      </c>
      <c r="H688" t="s">
        <v>86</v>
      </c>
      <c r="I688" t="str">
        <f t="shared" si="121"/>
        <v>Female</v>
      </c>
      <c r="J688">
        <v>25</v>
      </c>
      <c r="K688">
        <f t="shared" si="122"/>
        <v>25</v>
      </c>
      <c r="L688" t="str">
        <f t="shared" si="123"/>
        <v>First level</v>
      </c>
      <c r="M688" t="s">
        <v>31</v>
      </c>
      <c r="N688" t="s">
        <v>32</v>
      </c>
      <c r="O688" t="s">
        <v>99</v>
      </c>
      <c r="P688">
        <v>7</v>
      </c>
      <c r="Q688">
        <f t="shared" si="124"/>
        <v>7</v>
      </c>
      <c r="R688" t="s">
        <v>26</v>
      </c>
      <c r="S688" s="8" t="s">
        <v>18</v>
      </c>
      <c r="T688" s="9">
        <v>100</v>
      </c>
      <c r="U688" s="9">
        <f t="shared" si="125"/>
        <v>100</v>
      </c>
      <c r="V688" s="10">
        <v>100</v>
      </c>
      <c r="W688">
        <v>1.9</v>
      </c>
      <c r="X688" s="11">
        <f t="shared" si="126"/>
        <v>1.9</v>
      </c>
      <c r="Y688" t="s">
        <v>2102</v>
      </c>
      <c r="Z688" t="str">
        <f t="shared" si="127"/>
        <v>No</v>
      </c>
      <c r="AA688" t="str">
        <f t="shared" si="128"/>
        <v>No</v>
      </c>
      <c r="AB688" t="str">
        <f t="shared" si="129"/>
        <v>No</v>
      </c>
      <c r="AC688" s="12">
        <v>63</v>
      </c>
      <c r="AD688" s="12">
        <f t="shared" si="130"/>
        <v>63</v>
      </c>
    </row>
    <row r="689" spans="1:30" x14ac:dyDescent="0.3">
      <c r="A689" t="s">
        <v>1467</v>
      </c>
      <c r="B689" t="s">
        <v>1468</v>
      </c>
      <c r="C689" t="s">
        <v>2336</v>
      </c>
      <c r="D689" t="s">
        <v>2415</v>
      </c>
      <c r="E689" t="str">
        <f t="shared" si="120"/>
        <v>Steven Moore</v>
      </c>
      <c r="H689" t="s">
        <v>107</v>
      </c>
      <c r="I689" t="str">
        <f t="shared" si="121"/>
        <v>Male</v>
      </c>
      <c r="J689">
        <v>33</v>
      </c>
      <c r="K689">
        <f t="shared" si="122"/>
        <v>33</v>
      </c>
      <c r="L689" t="str">
        <f t="shared" si="123"/>
        <v>Second level</v>
      </c>
      <c r="M689" t="s">
        <v>95</v>
      </c>
      <c r="N689" t="s">
        <v>96</v>
      </c>
      <c r="O689" t="s">
        <v>87</v>
      </c>
      <c r="Q689">
        <f t="shared" si="124"/>
        <v>9</v>
      </c>
      <c r="R689" t="s">
        <v>119</v>
      </c>
      <c r="S689" s="8" t="s">
        <v>2096</v>
      </c>
      <c r="T689" s="9">
        <v>30</v>
      </c>
      <c r="U689" s="9">
        <f t="shared" si="125"/>
        <v>30</v>
      </c>
      <c r="V689" s="10">
        <v>30</v>
      </c>
      <c r="W689">
        <v>4.4000000000000004</v>
      </c>
      <c r="X689" s="11">
        <f t="shared" si="126"/>
        <v>4.4000000000000004</v>
      </c>
      <c r="Y689" t="s">
        <v>2103</v>
      </c>
      <c r="Z689" t="str">
        <f t="shared" si="127"/>
        <v>Yes</v>
      </c>
      <c r="AA689" t="str">
        <f t="shared" si="128"/>
        <v>Yes</v>
      </c>
      <c r="AB689" t="str">
        <f t="shared" si="129"/>
        <v>Yes</v>
      </c>
      <c r="AC689" s="12">
        <v>65</v>
      </c>
      <c r="AD689" s="12">
        <f t="shared" si="130"/>
        <v>65</v>
      </c>
    </row>
    <row r="690" spans="1:30" x14ac:dyDescent="0.3">
      <c r="A690" t="s">
        <v>1469</v>
      </c>
      <c r="B690" t="s">
        <v>1470</v>
      </c>
      <c r="C690" t="s">
        <v>2158</v>
      </c>
      <c r="D690" t="s">
        <v>2530</v>
      </c>
      <c r="E690" t="str">
        <f t="shared" si="120"/>
        <v>Megan Hudson</v>
      </c>
      <c r="H690" t="s">
        <v>86</v>
      </c>
      <c r="I690" t="str">
        <f t="shared" si="121"/>
        <v>Female</v>
      </c>
      <c r="J690">
        <v>33</v>
      </c>
      <c r="K690">
        <f t="shared" si="122"/>
        <v>33</v>
      </c>
      <c r="L690" t="str">
        <f t="shared" si="123"/>
        <v>Second level</v>
      </c>
      <c r="M690" t="s">
        <v>186</v>
      </c>
      <c r="N690" t="s">
        <v>187</v>
      </c>
      <c r="O690" t="s">
        <v>25</v>
      </c>
      <c r="Q690">
        <f t="shared" si="124"/>
        <v>9</v>
      </c>
      <c r="R690" t="s">
        <v>65</v>
      </c>
      <c r="S690" s="8" t="s">
        <v>65</v>
      </c>
      <c r="T690" s="9"/>
      <c r="U690" s="9">
        <f t="shared" si="125"/>
        <v>52.881944444444443</v>
      </c>
      <c r="V690" s="10">
        <v>52.881944444444443</v>
      </c>
      <c r="W690">
        <v>4.2</v>
      </c>
      <c r="X690" s="11">
        <f t="shared" si="126"/>
        <v>4.2</v>
      </c>
      <c r="Y690" t="s">
        <v>2103</v>
      </c>
      <c r="Z690" t="str">
        <f t="shared" si="127"/>
        <v>Yes</v>
      </c>
      <c r="AA690" t="str">
        <f t="shared" si="128"/>
        <v>Yes</v>
      </c>
      <c r="AB690" t="str">
        <f t="shared" si="129"/>
        <v>Yes</v>
      </c>
      <c r="AC690" s="12">
        <v>90</v>
      </c>
      <c r="AD690" s="12">
        <f t="shared" si="130"/>
        <v>90</v>
      </c>
    </row>
    <row r="691" spans="1:30" x14ac:dyDescent="0.3">
      <c r="A691" t="s">
        <v>1471</v>
      </c>
      <c r="B691" t="s">
        <v>46</v>
      </c>
      <c r="C691" t="s">
        <v>2116</v>
      </c>
      <c r="D691" t="s">
        <v>2117</v>
      </c>
      <c r="E691" t="str">
        <f t="shared" si="120"/>
        <v>Lisa Johnson</v>
      </c>
      <c r="H691" t="s">
        <v>86</v>
      </c>
      <c r="I691" t="str">
        <f t="shared" si="121"/>
        <v>Female</v>
      </c>
      <c r="J691">
        <v>52</v>
      </c>
      <c r="K691">
        <f t="shared" si="122"/>
        <v>52</v>
      </c>
      <c r="L691" t="str">
        <f t="shared" si="123"/>
        <v>Fourth level</v>
      </c>
      <c r="M691" t="s">
        <v>138</v>
      </c>
      <c r="N691" t="s">
        <v>24</v>
      </c>
      <c r="O691" t="s">
        <v>82</v>
      </c>
      <c r="P691">
        <v>25</v>
      </c>
      <c r="Q691">
        <f t="shared" si="124"/>
        <v>25</v>
      </c>
      <c r="R691" t="s">
        <v>18</v>
      </c>
      <c r="S691" s="8" t="s">
        <v>18</v>
      </c>
      <c r="T691" s="9">
        <v>100</v>
      </c>
      <c r="U691" s="9">
        <f t="shared" si="125"/>
        <v>100</v>
      </c>
      <c r="V691" s="10">
        <v>100</v>
      </c>
      <c r="W691">
        <v>4.8</v>
      </c>
      <c r="X691" s="11">
        <f t="shared" si="126"/>
        <v>4.8</v>
      </c>
      <c r="Y691" t="s">
        <v>2102</v>
      </c>
      <c r="Z691" t="str">
        <f t="shared" si="127"/>
        <v>No</v>
      </c>
      <c r="AA691" t="str">
        <f t="shared" si="128"/>
        <v>No</v>
      </c>
      <c r="AB691" t="str">
        <f t="shared" si="129"/>
        <v>No</v>
      </c>
      <c r="AC691" s="12"/>
      <c r="AD691" s="12">
        <f t="shared" si="130"/>
        <v>80.146153846153851</v>
      </c>
    </row>
    <row r="692" spans="1:30" x14ac:dyDescent="0.3">
      <c r="A692" t="s">
        <v>1472</v>
      </c>
      <c r="B692" t="s">
        <v>1473</v>
      </c>
      <c r="C692" t="s">
        <v>2787</v>
      </c>
      <c r="D692" t="s">
        <v>2176</v>
      </c>
      <c r="E692" t="str">
        <f t="shared" si="120"/>
        <v>Tracy White</v>
      </c>
      <c r="H692" t="s">
        <v>86</v>
      </c>
      <c r="I692" t="str">
        <f t="shared" si="121"/>
        <v>Female</v>
      </c>
      <c r="J692">
        <v>20</v>
      </c>
      <c r="K692">
        <f t="shared" si="122"/>
        <v>20</v>
      </c>
      <c r="L692" t="str">
        <f t="shared" si="123"/>
        <v>First level</v>
      </c>
      <c r="M692" t="s">
        <v>55</v>
      </c>
      <c r="N692" t="s">
        <v>56</v>
      </c>
      <c r="O692" t="s">
        <v>39</v>
      </c>
      <c r="P692">
        <v>1</v>
      </c>
      <c r="Q692">
        <f t="shared" si="124"/>
        <v>1</v>
      </c>
      <c r="R692" t="s">
        <v>119</v>
      </c>
      <c r="S692" s="8" t="s">
        <v>2096</v>
      </c>
      <c r="T692" s="9">
        <v>30</v>
      </c>
      <c r="U692" s="9">
        <f t="shared" si="125"/>
        <v>30</v>
      </c>
      <c r="V692" s="10">
        <v>30</v>
      </c>
      <c r="W692">
        <v>2</v>
      </c>
      <c r="X692" s="11">
        <f t="shared" si="126"/>
        <v>2</v>
      </c>
      <c r="Y692" t="s">
        <v>170</v>
      </c>
      <c r="Z692" t="str">
        <f t="shared" si="127"/>
        <v>no</v>
      </c>
      <c r="AA692" t="str">
        <f t="shared" si="128"/>
        <v>no</v>
      </c>
      <c r="AB692" t="str">
        <f t="shared" si="129"/>
        <v>No</v>
      </c>
      <c r="AC692" s="12">
        <v>89</v>
      </c>
      <c r="AD692" s="12">
        <f t="shared" si="130"/>
        <v>89</v>
      </c>
    </row>
    <row r="693" spans="1:30" x14ac:dyDescent="0.3">
      <c r="A693" t="s">
        <v>1474</v>
      </c>
      <c r="B693" t="s">
        <v>1475</v>
      </c>
      <c r="C693" t="s">
        <v>2609</v>
      </c>
      <c r="D693" t="s">
        <v>2788</v>
      </c>
      <c r="E693" t="str">
        <f t="shared" si="120"/>
        <v>Natalie Diaz</v>
      </c>
      <c r="H693" t="s">
        <v>22</v>
      </c>
      <c r="I693" t="str">
        <f t="shared" si="121"/>
        <v>Female</v>
      </c>
      <c r="J693">
        <v>43</v>
      </c>
      <c r="K693">
        <f t="shared" si="122"/>
        <v>43</v>
      </c>
      <c r="L693" t="str">
        <f t="shared" si="123"/>
        <v>Third level</v>
      </c>
      <c r="M693" t="s">
        <v>134</v>
      </c>
      <c r="N693" t="s">
        <v>135</v>
      </c>
      <c r="O693" t="s">
        <v>57</v>
      </c>
      <c r="P693">
        <v>7</v>
      </c>
      <c r="Q693">
        <f t="shared" si="124"/>
        <v>7</v>
      </c>
      <c r="R693" t="s">
        <v>108</v>
      </c>
      <c r="S693" s="8" t="s">
        <v>2095</v>
      </c>
      <c r="T693" s="9">
        <v>50</v>
      </c>
      <c r="U693" s="9">
        <f t="shared" si="125"/>
        <v>50</v>
      </c>
      <c r="V693" s="10">
        <v>50</v>
      </c>
      <c r="X693" s="11">
        <f t="shared" si="126"/>
        <v>2.5575645756457575</v>
      </c>
      <c r="Y693" t="s">
        <v>2103</v>
      </c>
      <c r="Z693" t="str">
        <f t="shared" si="127"/>
        <v>Yes</v>
      </c>
      <c r="AA693" t="str">
        <f t="shared" si="128"/>
        <v>Yes</v>
      </c>
      <c r="AB693" t="str">
        <f t="shared" si="129"/>
        <v>Yes</v>
      </c>
      <c r="AC693" s="12">
        <v>80</v>
      </c>
      <c r="AD693" s="12">
        <f t="shared" si="130"/>
        <v>80</v>
      </c>
    </row>
    <row r="694" spans="1:30" x14ac:dyDescent="0.3">
      <c r="A694" t="s">
        <v>1476</v>
      </c>
      <c r="B694" t="s">
        <v>1432</v>
      </c>
      <c r="C694" t="s">
        <v>2112</v>
      </c>
      <c r="D694" t="s">
        <v>2350</v>
      </c>
      <c r="E694" t="str">
        <f t="shared" si="120"/>
        <v>Amanda Mitchell</v>
      </c>
      <c r="H694" t="s">
        <v>43</v>
      </c>
      <c r="I694" t="str">
        <f t="shared" si="121"/>
        <v>Female</v>
      </c>
      <c r="J694">
        <v>31</v>
      </c>
      <c r="K694">
        <f t="shared" si="122"/>
        <v>31</v>
      </c>
      <c r="L694" t="str">
        <f t="shared" si="123"/>
        <v>Second level</v>
      </c>
      <c r="M694" t="s">
        <v>145</v>
      </c>
      <c r="N694" t="s">
        <v>146</v>
      </c>
      <c r="O694" t="s">
        <v>25</v>
      </c>
      <c r="Q694">
        <f t="shared" si="124"/>
        <v>9</v>
      </c>
      <c r="R694" t="s">
        <v>34</v>
      </c>
      <c r="S694" s="8" t="s">
        <v>34</v>
      </c>
      <c r="T694" s="9">
        <v>50</v>
      </c>
      <c r="U694" s="9">
        <f t="shared" si="125"/>
        <v>50</v>
      </c>
      <c r="V694" s="10">
        <v>50</v>
      </c>
      <c r="W694">
        <v>1.4</v>
      </c>
      <c r="X694" s="11">
        <f t="shared" si="126"/>
        <v>1.4</v>
      </c>
      <c r="Y694" t="s">
        <v>170</v>
      </c>
      <c r="Z694" t="str">
        <f t="shared" si="127"/>
        <v>no</v>
      </c>
      <c r="AA694" t="str">
        <f t="shared" si="128"/>
        <v>no</v>
      </c>
      <c r="AB694" t="str">
        <f t="shared" si="129"/>
        <v>No</v>
      </c>
      <c r="AC694" s="12">
        <v>80</v>
      </c>
      <c r="AD694" s="12">
        <f t="shared" si="130"/>
        <v>80</v>
      </c>
    </row>
    <row r="695" spans="1:30" x14ac:dyDescent="0.3">
      <c r="A695" t="s">
        <v>1477</v>
      </c>
      <c r="B695" t="s">
        <v>1478</v>
      </c>
      <c r="C695" t="s">
        <v>2425</v>
      </c>
      <c r="D695" t="s">
        <v>2138</v>
      </c>
      <c r="E695" t="str">
        <f t="shared" si="120"/>
        <v>Karen Scott</v>
      </c>
      <c r="H695" t="s">
        <v>22</v>
      </c>
      <c r="I695" t="str">
        <f t="shared" si="121"/>
        <v>Female</v>
      </c>
      <c r="J695">
        <v>29</v>
      </c>
      <c r="K695">
        <f t="shared" si="122"/>
        <v>29</v>
      </c>
      <c r="L695" t="str">
        <f t="shared" si="123"/>
        <v>First level</v>
      </c>
      <c r="M695" t="s">
        <v>31</v>
      </c>
      <c r="N695" t="s">
        <v>32</v>
      </c>
      <c r="O695" t="s">
        <v>57</v>
      </c>
      <c r="P695">
        <v>6</v>
      </c>
      <c r="Q695">
        <f t="shared" si="124"/>
        <v>6</v>
      </c>
      <c r="R695" t="s">
        <v>18</v>
      </c>
      <c r="S695" s="8" t="s">
        <v>18</v>
      </c>
      <c r="T695" s="9">
        <v>100</v>
      </c>
      <c r="U695" s="9">
        <f t="shared" si="125"/>
        <v>100</v>
      </c>
      <c r="V695" s="10">
        <v>100</v>
      </c>
      <c r="W695">
        <v>1.8</v>
      </c>
      <c r="X695" s="11">
        <f t="shared" si="126"/>
        <v>1.8</v>
      </c>
      <c r="Y695" t="s">
        <v>2102</v>
      </c>
      <c r="Z695" t="str">
        <f t="shared" si="127"/>
        <v>No</v>
      </c>
      <c r="AA695" t="str">
        <f t="shared" si="128"/>
        <v>No</v>
      </c>
      <c r="AB695" t="str">
        <f t="shared" si="129"/>
        <v>No</v>
      </c>
      <c r="AC695" s="12"/>
      <c r="AD695" s="12">
        <f t="shared" si="130"/>
        <v>80.112840466926073</v>
      </c>
    </row>
    <row r="696" spans="1:30" x14ac:dyDescent="0.3">
      <c r="A696" t="s">
        <v>1479</v>
      </c>
      <c r="B696" t="s">
        <v>850</v>
      </c>
      <c r="C696" t="s">
        <v>2492</v>
      </c>
      <c r="D696" t="s">
        <v>2186</v>
      </c>
      <c r="E696" t="str">
        <f t="shared" si="120"/>
        <v>Mary Brown</v>
      </c>
      <c r="H696" t="s">
        <v>22</v>
      </c>
      <c r="I696" t="str">
        <f t="shared" si="121"/>
        <v>Female</v>
      </c>
      <c r="J696">
        <v>53</v>
      </c>
      <c r="K696">
        <f t="shared" si="122"/>
        <v>53</v>
      </c>
      <c r="L696" t="str">
        <f t="shared" si="123"/>
        <v>Fourth level</v>
      </c>
      <c r="M696" t="s">
        <v>164</v>
      </c>
      <c r="N696" t="s">
        <v>165</v>
      </c>
      <c r="O696" t="s">
        <v>33</v>
      </c>
      <c r="P696">
        <v>35</v>
      </c>
      <c r="Q696">
        <f t="shared" si="124"/>
        <v>35</v>
      </c>
      <c r="R696" t="s">
        <v>65</v>
      </c>
      <c r="S696" s="8" t="s">
        <v>65</v>
      </c>
      <c r="T696" s="9"/>
      <c r="U696" s="9">
        <f t="shared" si="125"/>
        <v>52.897526501766784</v>
      </c>
      <c r="V696" s="10">
        <v>52.897526501766784</v>
      </c>
      <c r="W696">
        <v>0</v>
      </c>
      <c r="X696" s="11">
        <f t="shared" si="126"/>
        <v>0</v>
      </c>
      <c r="Y696" t="s">
        <v>2103</v>
      </c>
      <c r="Z696" t="str">
        <f t="shared" si="127"/>
        <v>Yes</v>
      </c>
      <c r="AA696" t="str">
        <f t="shared" si="128"/>
        <v>Yes</v>
      </c>
      <c r="AB696" t="str">
        <f t="shared" si="129"/>
        <v>Yes</v>
      </c>
      <c r="AC696" s="12">
        <v>67</v>
      </c>
      <c r="AD696" s="12">
        <f t="shared" si="130"/>
        <v>67</v>
      </c>
    </row>
    <row r="697" spans="1:30" x14ac:dyDescent="0.3">
      <c r="A697" t="s">
        <v>1480</v>
      </c>
      <c r="B697" t="s">
        <v>1481</v>
      </c>
      <c r="C697" t="s">
        <v>2298</v>
      </c>
      <c r="D697" t="s">
        <v>2159</v>
      </c>
      <c r="E697" t="str">
        <f t="shared" si="120"/>
        <v>Jon Jones</v>
      </c>
      <c r="H697" t="s">
        <v>30</v>
      </c>
      <c r="I697" t="str">
        <f t="shared" si="121"/>
        <v>Male</v>
      </c>
      <c r="J697">
        <v>38</v>
      </c>
      <c r="K697">
        <f t="shared" si="122"/>
        <v>38</v>
      </c>
      <c r="L697" t="str">
        <f t="shared" si="123"/>
        <v>Second level</v>
      </c>
      <c r="M697" t="s">
        <v>103</v>
      </c>
      <c r="N697" t="s">
        <v>104</v>
      </c>
      <c r="O697" t="s">
        <v>25</v>
      </c>
      <c r="P697">
        <v>1</v>
      </c>
      <c r="Q697">
        <f t="shared" si="124"/>
        <v>1</v>
      </c>
      <c r="R697" t="s">
        <v>61</v>
      </c>
      <c r="S697" s="8" t="s">
        <v>2094</v>
      </c>
      <c r="T697" s="9">
        <v>40</v>
      </c>
      <c r="U697" s="9">
        <f t="shared" si="125"/>
        <v>40</v>
      </c>
      <c r="V697" s="10">
        <v>40</v>
      </c>
      <c r="W697">
        <v>0</v>
      </c>
      <c r="X697" s="11">
        <f t="shared" si="126"/>
        <v>0</v>
      </c>
      <c r="Y697" t="s">
        <v>2102</v>
      </c>
      <c r="Z697" t="str">
        <f t="shared" si="127"/>
        <v>No</v>
      </c>
      <c r="AA697" t="str">
        <f t="shared" si="128"/>
        <v>No</v>
      </c>
      <c r="AB697" t="str">
        <f t="shared" si="129"/>
        <v>No</v>
      </c>
      <c r="AC697" s="12">
        <v>96</v>
      </c>
      <c r="AD697" s="12">
        <f t="shared" si="130"/>
        <v>96</v>
      </c>
    </row>
    <row r="698" spans="1:30" x14ac:dyDescent="0.3">
      <c r="A698" t="s">
        <v>1482</v>
      </c>
      <c r="B698" t="s">
        <v>1483</v>
      </c>
      <c r="C698" t="s">
        <v>2184</v>
      </c>
      <c r="D698" t="s">
        <v>2551</v>
      </c>
      <c r="E698" t="str">
        <f t="shared" si="120"/>
        <v>Jason Phillips</v>
      </c>
      <c r="H698" t="s">
        <v>107</v>
      </c>
      <c r="I698" t="str">
        <f t="shared" si="121"/>
        <v>Male</v>
      </c>
      <c r="J698">
        <v>29</v>
      </c>
      <c r="K698">
        <f t="shared" si="122"/>
        <v>29</v>
      </c>
      <c r="L698" t="str">
        <f t="shared" si="123"/>
        <v>First level</v>
      </c>
      <c r="M698" t="s">
        <v>201</v>
      </c>
      <c r="N698" t="s">
        <v>81</v>
      </c>
      <c r="O698" t="s">
        <v>33</v>
      </c>
      <c r="Q698">
        <f t="shared" si="124"/>
        <v>3</v>
      </c>
      <c r="R698" t="s">
        <v>151</v>
      </c>
      <c r="S698" s="8" t="s">
        <v>151</v>
      </c>
      <c r="T698" s="9">
        <v>20</v>
      </c>
      <c r="U698" s="9">
        <f t="shared" si="125"/>
        <v>20</v>
      </c>
      <c r="V698" s="10">
        <v>20</v>
      </c>
      <c r="W698">
        <v>0</v>
      </c>
      <c r="X698" s="11">
        <f t="shared" si="126"/>
        <v>0</v>
      </c>
      <c r="Y698" t="s">
        <v>2102</v>
      </c>
      <c r="Z698" t="str">
        <f t="shared" si="127"/>
        <v>No</v>
      </c>
      <c r="AA698" t="str">
        <f t="shared" si="128"/>
        <v>No</v>
      </c>
      <c r="AB698" t="str">
        <f t="shared" si="129"/>
        <v>No</v>
      </c>
      <c r="AC698" s="12">
        <v>90</v>
      </c>
      <c r="AD698" s="12">
        <f t="shared" si="130"/>
        <v>90</v>
      </c>
    </row>
    <row r="699" spans="1:30" x14ac:dyDescent="0.3">
      <c r="A699" t="s">
        <v>1484</v>
      </c>
      <c r="B699" t="s">
        <v>1485</v>
      </c>
      <c r="C699" t="s">
        <v>2118</v>
      </c>
      <c r="D699" t="s">
        <v>2789</v>
      </c>
      <c r="E699" t="str">
        <f t="shared" si="120"/>
        <v>Eric Walsh</v>
      </c>
      <c r="H699" t="s">
        <v>107</v>
      </c>
      <c r="I699" t="str">
        <f t="shared" si="121"/>
        <v>Male</v>
      </c>
      <c r="J699">
        <v>42</v>
      </c>
      <c r="K699">
        <f t="shared" si="122"/>
        <v>42</v>
      </c>
      <c r="L699" t="str">
        <f t="shared" si="123"/>
        <v>Third level</v>
      </c>
      <c r="M699" t="s">
        <v>122</v>
      </c>
      <c r="N699" t="s">
        <v>123</v>
      </c>
      <c r="O699" t="s">
        <v>82</v>
      </c>
      <c r="P699">
        <v>0</v>
      </c>
      <c r="Q699">
        <f t="shared" si="124"/>
        <v>0</v>
      </c>
      <c r="R699" t="s">
        <v>65</v>
      </c>
      <c r="S699" s="8" t="s">
        <v>65</v>
      </c>
      <c r="T699" s="9"/>
      <c r="U699" s="9">
        <f t="shared" si="125"/>
        <v>52.77580071174377</v>
      </c>
      <c r="V699" s="10">
        <v>52.77580071174377</v>
      </c>
      <c r="W699">
        <v>3.9</v>
      </c>
      <c r="X699" s="11">
        <f t="shared" si="126"/>
        <v>3.9</v>
      </c>
      <c r="Y699" t="s">
        <v>2102</v>
      </c>
      <c r="Z699" t="str">
        <f t="shared" si="127"/>
        <v>No</v>
      </c>
      <c r="AA699" t="str">
        <f t="shared" si="128"/>
        <v>No</v>
      </c>
      <c r="AB699" t="str">
        <f t="shared" si="129"/>
        <v>No</v>
      </c>
      <c r="AC699" s="12">
        <v>62</v>
      </c>
      <c r="AD699" s="12">
        <f t="shared" si="130"/>
        <v>62</v>
      </c>
    </row>
    <row r="700" spans="1:30" x14ac:dyDescent="0.3">
      <c r="A700" t="s">
        <v>1486</v>
      </c>
      <c r="B700" t="s">
        <v>1487</v>
      </c>
      <c r="C700" t="s">
        <v>2790</v>
      </c>
      <c r="D700" t="s">
        <v>2130</v>
      </c>
      <c r="E700" t="str">
        <f t="shared" si="120"/>
        <v>Carol Schneider</v>
      </c>
      <c r="H700" t="s">
        <v>86</v>
      </c>
      <c r="I700" t="str">
        <f t="shared" si="121"/>
        <v>Female</v>
      </c>
      <c r="J700">
        <v>54</v>
      </c>
      <c r="K700">
        <f t="shared" si="122"/>
        <v>54</v>
      </c>
      <c r="L700" t="str">
        <f t="shared" si="123"/>
        <v>Fourth level</v>
      </c>
      <c r="M700" t="s">
        <v>64</v>
      </c>
      <c r="N700" t="s">
        <v>24</v>
      </c>
      <c r="O700" t="s">
        <v>124</v>
      </c>
      <c r="P700">
        <v>9</v>
      </c>
      <c r="Q700">
        <f t="shared" si="124"/>
        <v>9</v>
      </c>
      <c r="R700" t="s">
        <v>18</v>
      </c>
      <c r="S700" s="8" t="s">
        <v>18</v>
      </c>
      <c r="T700" s="9">
        <v>100</v>
      </c>
      <c r="U700" s="9">
        <f t="shared" si="125"/>
        <v>100</v>
      </c>
      <c r="V700" s="10">
        <v>100</v>
      </c>
      <c r="X700" s="11">
        <f t="shared" si="126"/>
        <v>2.5886792452830201</v>
      </c>
      <c r="Y700" t="s">
        <v>2102</v>
      </c>
      <c r="Z700" t="str">
        <f t="shared" si="127"/>
        <v>No</v>
      </c>
      <c r="AA700" t="str">
        <f t="shared" si="128"/>
        <v>No</v>
      </c>
      <c r="AB700" t="str">
        <f t="shared" si="129"/>
        <v>No</v>
      </c>
      <c r="AC700" s="12">
        <v>72</v>
      </c>
      <c r="AD700" s="12">
        <f t="shared" si="130"/>
        <v>72</v>
      </c>
    </row>
    <row r="701" spans="1:30" x14ac:dyDescent="0.3">
      <c r="A701" t="s">
        <v>1488</v>
      </c>
      <c r="B701" t="s">
        <v>1489</v>
      </c>
      <c r="C701" t="s">
        <v>2110</v>
      </c>
      <c r="D701" t="s">
        <v>2791</v>
      </c>
      <c r="E701" t="str">
        <f t="shared" si="120"/>
        <v>Juan Hines</v>
      </c>
      <c r="H701" t="s">
        <v>69</v>
      </c>
      <c r="I701" t="str">
        <f t="shared" si="121"/>
        <v>Male</v>
      </c>
      <c r="J701">
        <v>56</v>
      </c>
      <c r="K701">
        <f t="shared" si="122"/>
        <v>56</v>
      </c>
      <c r="L701" t="str">
        <f t="shared" si="123"/>
        <v>Fourth level</v>
      </c>
      <c r="M701" t="s">
        <v>186</v>
      </c>
      <c r="N701" t="s">
        <v>187</v>
      </c>
      <c r="O701" t="s">
        <v>82</v>
      </c>
      <c r="P701">
        <v>18</v>
      </c>
      <c r="Q701">
        <f t="shared" si="124"/>
        <v>18</v>
      </c>
      <c r="R701" t="s">
        <v>108</v>
      </c>
      <c r="S701" s="8" t="s">
        <v>2095</v>
      </c>
      <c r="T701" s="9">
        <v>50</v>
      </c>
      <c r="U701" s="9">
        <f t="shared" si="125"/>
        <v>50</v>
      </c>
      <c r="V701" s="10">
        <v>50</v>
      </c>
      <c r="W701">
        <v>4.4000000000000004</v>
      </c>
      <c r="X701" s="11">
        <f t="shared" si="126"/>
        <v>4.4000000000000004</v>
      </c>
      <c r="Y701" t="s">
        <v>2103</v>
      </c>
      <c r="Z701" t="str">
        <f t="shared" si="127"/>
        <v>Yes</v>
      </c>
      <c r="AA701" t="str">
        <f t="shared" si="128"/>
        <v>Yes</v>
      </c>
      <c r="AB701" t="str">
        <f t="shared" si="129"/>
        <v>Yes</v>
      </c>
      <c r="AC701" s="12">
        <v>83</v>
      </c>
      <c r="AD701" s="12">
        <f t="shared" si="130"/>
        <v>83</v>
      </c>
    </row>
    <row r="702" spans="1:30" x14ac:dyDescent="0.3">
      <c r="A702" t="s">
        <v>1490</v>
      </c>
      <c r="B702" t="s">
        <v>1491</v>
      </c>
      <c r="C702" t="s">
        <v>2738</v>
      </c>
      <c r="D702" t="s">
        <v>2792</v>
      </c>
      <c r="E702" t="str">
        <f t="shared" si="120"/>
        <v>Martha Sweeney</v>
      </c>
      <c r="H702" t="s">
        <v>86</v>
      </c>
      <c r="I702" t="str">
        <f t="shared" si="121"/>
        <v>Female</v>
      </c>
      <c r="J702">
        <v>47</v>
      </c>
      <c r="K702">
        <f t="shared" si="122"/>
        <v>47</v>
      </c>
      <c r="L702" t="str">
        <f t="shared" si="123"/>
        <v>Third level</v>
      </c>
      <c r="M702" t="s">
        <v>70</v>
      </c>
      <c r="N702" t="s">
        <v>71</v>
      </c>
      <c r="O702" t="s">
        <v>33</v>
      </c>
      <c r="P702">
        <v>22</v>
      </c>
      <c r="Q702">
        <f t="shared" si="124"/>
        <v>22</v>
      </c>
      <c r="R702" t="s">
        <v>18</v>
      </c>
      <c r="S702" s="8" t="s">
        <v>18</v>
      </c>
      <c r="T702" s="9">
        <v>100</v>
      </c>
      <c r="U702" s="9">
        <f t="shared" si="125"/>
        <v>100</v>
      </c>
      <c r="V702" s="10">
        <v>100</v>
      </c>
      <c r="W702">
        <v>4.4000000000000004</v>
      </c>
      <c r="X702" s="11">
        <f t="shared" si="126"/>
        <v>4.4000000000000004</v>
      </c>
      <c r="Y702" t="s">
        <v>170</v>
      </c>
      <c r="Z702" t="str">
        <f t="shared" si="127"/>
        <v>no</v>
      </c>
      <c r="AA702" t="str">
        <f t="shared" si="128"/>
        <v>no</v>
      </c>
      <c r="AB702" t="str">
        <f t="shared" si="129"/>
        <v>No</v>
      </c>
      <c r="AC702" s="12">
        <v>70</v>
      </c>
      <c r="AD702" s="12">
        <f t="shared" si="130"/>
        <v>70</v>
      </c>
    </row>
    <row r="703" spans="1:30" x14ac:dyDescent="0.3">
      <c r="A703" t="s">
        <v>1492</v>
      </c>
      <c r="B703" t="s">
        <v>1493</v>
      </c>
      <c r="C703" t="s">
        <v>2184</v>
      </c>
      <c r="D703" t="s">
        <v>2615</v>
      </c>
      <c r="E703" t="str">
        <f t="shared" si="120"/>
        <v>Jason Weaver</v>
      </c>
      <c r="H703" t="s">
        <v>107</v>
      </c>
      <c r="I703" t="str">
        <f t="shared" si="121"/>
        <v>Male</v>
      </c>
      <c r="J703">
        <v>45</v>
      </c>
      <c r="K703">
        <f t="shared" si="122"/>
        <v>45</v>
      </c>
      <c r="L703" t="str">
        <f t="shared" si="123"/>
        <v>Third level</v>
      </c>
      <c r="M703" t="s">
        <v>134</v>
      </c>
      <c r="N703" t="s">
        <v>135</v>
      </c>
      <c r="O703" t="s">
        <v>17</v>
      </c>
      <c r="P703">
        <v>25</v>
      </c>
      <c r="Q703">
        <f t="shared" si="124"/>
        <v>25</v>
      </c>
      <c r="R703" t="s">
        <v>34</v>
      </c>
      <c r="S703" s="8" t="s">
        <v>34</v>
      </c>
      <c r="T703" s="9">
        <v>50</v>
      </c>
      <c r="U703" s="9">
        <f t="shared" si="125"/>
        <v>50</v>
      </c>
      <c r="V703" s="10">
        <v>50</v>
      </c>
      <c r="W703">
        <v>0</v>
      </c>
      <c r="X703" s="11">
        <f t="shared" si="126"/>
        <v>0</v>
      </c>
      <c r="Y703" t="s">
        <v>170</v>
      </c>
      <c r="Z703" t="str">
        <f t="shared" si="127"/>
        <v>no</v>
      </c>
      <c r="AA703" t="str">
        <f t="shared" si="128"/>
        <v>no</v>
      </c>
      <c r="AB703" t="str">
        <f t="shared" si="129"/>
        <v>No</v>
      </c>
      <c r="AC703" s="12">
        <v>99</v>
      </c>
      <c r="AD703" s="12">
        <f t="shared" si="130"/>
        <v>99</v>
      </c>
    </row>
    <row r="704" spans="1:30" x14ac:dyDescent="0.3">
      <c r="A704" t="s">
        <v>1494</v>
      </c>
      <c r="B704" t="s">
        <v>1495</v>
      </c>
      <c r="C704" t="s">
        <v>2766</v>
      </c>
      <c r="D704" t="s">
        <v>2529</v>
      </c>
      <c r="E704" t="str">
        <f t="shared" si="120"/>
        <v>Benjamin Stevens</v>
      </c>
      <c r="H704" t="s">
        <v>107</v>
      </c>
      <c r="I704" t="str">
        <f t="shared" si="121"/>
        <v>Male</v>
      </c>
      <c r="J704">
        <v>45</v>
      </c>
      <c r="K704">
        <f t="shared" si="122"/>
        <v>45</v>
      </c>
      <c r="L704" t="str">
        <f t="shared" si="123"/>
        <v>Third level</v>
      </c>
      <c r="M704" t="s">
        <v>186</v>
      </c>
      <c r="N704" t="s">
        <v>187</v>
      </c>
      <c r="O704" t="s">
        <v>57</v>
      </c>
      <c r="P704">
        <v>6</v>
      </c>
      <c r="Q704">
        <f t="shared" si="124"/>
        <v>6</v>
      </c>
      <c r="R704" t="s">
        <v>34</v>
      </c>
      <c r="S704" s="8" t="s">
        <v>34</v>
      </c>
      <c r="T704" s="9">
        <v>50</v>
      </c>
      <c r="U704" s="9">
        <f t="shared" si="125"/>
        <v>50</v>
      </c>
      <c r="V704" s="10">
        <v>50</v>
      </c>
      <c r="W704">
        <v>1.4</v>
      </c>
      <c r="X704" s="11">
        <f t="shared" si="126"/>
        <v>1.4</v>
      </c>
      <c r="Y704" t="s">
        <v>65</v>
      </c>
      <c r="AA704" t="str">
        <f t="shared" si="128"/>
        <v>Unknown</v>
      </c>
      <c r="AB704" t="str">
        <f t="shared" si="129"/>
        <v>Unknown</v>
      </c>
      <c r="AC704" s="12">
        <v>97</v>
      </c>
      <c r="AD704" s="12">
        <f t="shared" si="130"/>
        <v>97</v>
      </c>
    </row>
    <row r="705" spans="1:30" x14ac:dyDescent="0.3">
      <c r="A705" t="s">
        <v>1496</v>
      </c>
      <c r="B705" t="s">
        <v>1497</v>
      </c>
      <c r="C705" t="s">
        <v>2447</v>
      </c>
      <c r="D705" t="s">
        <v>2354</v>
      </c>
      <c r="E705" t="str">
        <f t="shared" si="120"/>
        <v>Daniel Lopez</v>
      </c>
      <c r="H705" t="s">
        <v>107</v>
      </c>
      <c r="I705" t="str">
        <f t="shared" si="121"/>
        <v>Male</v>
      </c>
      <c r="J705">
        <v>35</v>
      </c>
      <c r="K705">
        <f t="shared" si="122"/>
        <v>35</v>
      </c>
      <c r="L705" t="str">
        <f t="shared" si="123"/>
        <v>Second level</v>
      </c>
      <c r="M705" t="s">
        <v>138</v>
      </c>
      <c r="N705" t="s">
        <v>24</v>
      </c>
      <c r="O705" t="s">
        <v>124</v>
      </c>
      <c r="P705">
        <v>10</v>
      </c>
      <c r="Q705">
        <f t="shared" si="124"/>
        <v>10</v>
      </c>
      <c r="R705" t="s">
        <v>151</v>
      </c>
      <c r="S705" s="8" t="s">
        <v>151</v>
      </c>
      <c r="T705" s="9">
        <v>20</v>
      </c>
      <c r="U705" s="9">
        <f t="shared" si="125"/>
        <v>20</v>
      </c>
      <c r="V705" s="10">
        <v>20</v>
      </c>
      <c r="W705">
        <v>3.2</v>
      </c>
      <c r="X705" s="11">
        <f t="shared" si="126"/>
        <v>3.2</v>
      </c>
      <c r="Y705" t="s">
        <v>2103</v>
      </c>
      <c r="Z705" t="str">
        <f t="shared" si="127"/>
        <v>Yes</v>
      </c>
      <c r="AA705" t="str">
        <f t="shared" si="128"/>
        <v>Yes</v>
      </c>
      <c r="AB705" t="str">
        <f t="shared" si="129"/>
        <v>Yes</v>
      </c>
      <c r="AC705" s="12">
        <v>77</v>
      </c>
      <c r="AD705" s="12">
        <f t="shared" si="130"/>
        <v>77</v>
      </c>
    </row>
    <row r="706" spans="1:30" x14ac:dyDescent="0.3">
      <c r="A706" t="s">
        <v>1498</v>
      </c>
      <c r="B706" t="s">
        <v>1499</v>
      </c>
      <c r="C706" t="s">
        <v>2366</v>
      </c>
      <c r="D706" t="s">
        <v>2204</v>
      </c>
      <c r="E706" t="str">
        <f t="shared" si="120"/>
        <v>John Simpson</v>
      </c>
      <c r="H706" t="s">
        <v>30</v>
      </c>
      <c r="I706" t="str">
        <f t="shared" si="121"/>
        <v>Male</v>
      </c>
      <c r="J706">
        <v>51</v>
      </c>
      <c r="K706">
        <f t="shared" si="122"/>
        <v>51</v>
      </c>
      <c r="L706" t="str">
        <f t="shared" si="123"/>
        <v>Fourth level</v>
      </c>
      <c r="M706" t="s">
        <v>138</v>
      </c>
      <c r="N706" t="s">
        <v>24</v>
      </c>
      <c r="O706" t="s">
        <v>99</v>
      </c>
      <c r="P706">
        <v>4</v>
      </c>
      <c r="Q706">
        <f t="shared" si="124"/>
        <v>4</v>
      </c>
      <c r="R706" t="s">
        <v>108</v>
      </c>
      <c r="S706" s="8" t="s">
        <v>2095</v>
      </c>
      <c r="T706" s="9">
        <v>50</v>
      </c>
      <c r="U706" s="9">
        <f t="shared" si="125"/>
        <v>50</v>
      </c>
      <c r="V706" s="10">
        <v>50</v>
      </c>
      <c r="W706">
        <v>2</v>
      </c>
      <c r="X706" s="11">
        <f t="shared" si="126"/>
        <v>2</v>
      </c>
      <c r="Y706" t="s">
        <v>170</v>
      </c>
      <c r="Z706" t="str">
        <f t="shared" si="127"/>
        <v>no</v>
      </c>
      <c r="AA706" t="str">
        <f t="shared" si="128"/>
        <v>no</v>
      </c>
      <c r="AB706" t="str">
        <f t="shared" si="129"/>
        <v>No</v>
      </c>
      <c r="AC706" s="12">
        <v>92</v>
      </c>
      <c r="AD706" s="12">
        <f t="shared" si="130"/>
        <v>92</v>
      </c>
    </row>
    <row r="707" spans="1:30" x14ac:dyDescent="0.3">
      <c r="A707" t="s">
        <v>1500</v>
      </c>
      <c r="B707" t="s">
        <v>1501</v>
      </c>
      <c r="C707" t="s">
        <v>2793</v>
      </c>
      <c r="D707" t="s">
        <v>2513</v>
      </c>
      <c r="E707" t="str">
        <f t="shared" ref="E707:E770" si="131">CONCATENATE(C707," ",D707)</f>
        <v>Katrina Schultz</v>
      </c>
      <c r="H707" t="s">
        <v>86</v>
      </c>
      <c r="I707" t="str">
        <f t="shared" ref="I707:I770" si="132">PROPER(H707)</f>
        <v>Female</v>
      </c>
      <c r="J707">
        <v>34</v>
      </c>
      <c r="K707">
        <f t="shared" ref="K707:K770" si="133">IF(ISBLANK(J707),ROUND(AVERAGEIF($I$2:$I$1001,I707,$J$2:$J$1001),0),J707)</f>
        <v>34</v>
      </c>
      <c r="L707" t="str">
        <f t="shared" ref="L707:L770" si="134">IF(AND(K707&gt;=20,K707&lt;=30),"First level",IF(AND(K707&gt;30,K707&lt;=40),"Second level",IF(AND(K707&gt;40,K707&lt;=50),"Third level",IF(H714&gt;50,"Fourth level"))))</f>
        <v>Second level</v>
      </c>
      <c r="M707" t="s">
        <v>201</v>
      </c>
      <c r="N707" t="s">
        <v>81</v>
      </c>
      <c r="O707" t="s">
        <v>25</v>
      </c>
      <c r="P707">
        <v>11</v>
      </c>
      <c r="Q707">
        <f t="shared" ref="Q707:Q770" si="135">IF(ISBLANK(P707),ROUND(AVERAGEIF($L$2:$L$1001,L707,$P$2:$P$1001),0),P707)</f>
        <v>11</v>
      </c>
      <c r="R707" t="s">
        <v>34</v>
      </c>
      <c r="S707" s="8" t="s">
        <v>34</v>
      </c>
      <c r="T707" s="9">
        <v>50</v>
      </c>
      <c r="U707" s="9">
        <f t="shared" ref="U707:U770" si="136">IF(ISBLANK(T707),AVERAGE(T706:T1706),T707)</f>
        <v>50</v>
      </c>
      <c r="V707" s="10">
        <v>50</v>
      </c>
      <c r="W707">
        <v>3.3</v>
      </c>
      <c r="X707" s="11">
        <f t="shared" ref="X707:X770" si="137">IF(ISBLANK(W707),AVERAGE(W707:W1706),W707)</f>
        <v>3.3</v>
      </c>
      <c r="Y707" t="s">
        <v>77</v>
      </c>
      <c r="Z707" t="str">
        <f t="shared" ref="Z707:Z769" si="138">CLEAN(Y707)</f>
        <v>yes</v>
      </c>
      <c r="AA707" t="str">
        <f t="shared" ref="AA707:AA770" si="139">IF(ISBLANK(Z707),"Unknown",Z707)</f>
        <v>yes</v>
      </c>
      <c r="AB707" t="str">
        <f t="shared" ref="AB707:AB770" si="140">PROPER(AA707)</f>
        <v>Yes</v>
      </c>
      <c r="AC707" s="12">
        <v>76</v>
      </c>
      <c r="AD707" s="12">
        <f t="shared" ref="AD707:AD770" si="141">IF(ISBLANK(AC707),AVERAGE(AC707:AC1706),AC707)</f>
        <v>76</v>
      </c>
    </row>
    <row r="708" spans="1:30" x14ac:dyDescent="0.3">
      <c r="A708" t="s">
        <v>1502</v>
      </c>
      <c r="B708" t="s">
        <v>1503</v>
      </c>
      <c r="C708" t="s">
        <v>2522</v>
      </c>
      <c r="D708" t="s">
        <v>2794</v>
      </c>
      <c r="E708" t="str">
        <f t="shared" si="131"/>
        <v>Danielle Bell</v>
      </c>
      <c r="H708" t="s">
        <v>22</v>
      </c>
      <c r="I708" t="str">
        <f t="shared" si="132"/>
        <v>Female</v>
      </c>
      <c r="J708">
        <v>51</v>
      </c>
      <c r="K708">
        <f t="shared" si="133"/>
        <v>51</v>
      </c>
      <c r="L708" t="str">
        <f t="shared" si="134"/>
        <v>Fourth level</v>
      </c>
      <c r="M708" t="s">
        <v>55</v>
      </c>
      <c r="N708" t="s">
        <v>56</v>
      </c>
      <c r="O708" t="s">
        <v>33</v>
      </c>
      <c r="P708">
        <v>1</v>
      </c>
      <c r="Q708">
        <f t="shared" si="135"/>
        <v>1</v>
      </c>
      <c r="R708" t="s">
        <v>72</v>
      </c>
      <c r="S708" s="8" t="s">
        <v>72</v>
      </c>
      <c r="T708" s="9">
        <v>50</v>
      </c>
      <c r="U708" s="9">
        <f t="shared" si="136"/>
        <v>50</v>
      </c>
      <c r="V708" s="10">
        <v>50</v>
      </c>
      <c r="W708">
        <v>0</v>
      </c>
      <c r="X708" s="11">
        <f t="shared" si="137"/>
        <v>0</v>
      </c>
      <c r="Y708" t="s">
        <v>2103</v>
      </c>
      <c r="Z708" t="str">
        <f t="shared" si="138"/>
        <v>Yes</v>
      </c>
      <c r="AA708" t="str">
        <f t="shared" si="139"/>
        <v>Yes</v>
      </c>
      <c r="AB708" t="str">
        <f t="shared" si="140"/>
        <v>Yes</v>
      </c>
      <c r="AC708" s="12">
        <v>97</v>
      </c>
      <c r="AD708" s="12">
        <f t="shared" si="141"/>
        <v>97</v>
      </c>
    </row>
    <row r="709" spans="1:30" x14ac:dyDescent="0.3">
      <c r="A709" t="s">
        <v>1504</v>
      </c>
      <c r="B709" t="s">
        <v>1505</v>
      </c>
      <c r="C709" t="s">
        <v>2184</v>
      </c>
      <c r="D709" t="s">
        <v>2795</v>
      </c>
      <c r="E709" t="str">
        <f t="shared" si="131"/>
        <v>Jason Brady</v>
      </c>
      <c r="H709" t="s">
        <v>107</v>
      </c>
      <c r="I709" t="str">
        <f t="shared" si="132"/>
        <v>Male</v>
      </c>
      <c r="J709">
        <v>58</v>
      </c>
      <c r="K709">
        <f t="shared" si="133"/>
        <v>58</v>
      </c>
      <c r="L709" t="str">
        <f t="shared" si="134"/>
        <v>Fourth level</v>
      </c>
      <c r="M709" t="s">
        <v>149</v>
      </c>
      <c r="N709" t="s">
        <v>150</v>
      </c>
      <c r="O709" t="s">
        <v>33</v>
      </c>
      <c r="P709">
        <v>35</v>
      </c>
      <c r="Q709">
        <f t="shared" si="135"/>
        <v>35</v>
      </c>
      <c r="R709" t="s">
        <v>26</v>
      </c>
      <c r="S709" s="8" t="s">
        <v>18</v>
      </c>
      <c r="T709" s="9">
        <v>100</v>
      </c>
      <c r="U709" s="9">
        <f t="shared" si="136"/>
        <v>100</v>
      </c>
      <c r="V709" s="10">
        <v>100</v>
      </c>
      <c r="W709">
        <v>2.2999999999999998</v>
      </c>
      <c r="X709" s="11">
        <f t="shared" si="137"/>
        <v>2.2999999999999998</v>
      </c>
      <c r="Y709" t="s">
        <v>2103</v>
      </c>
      <c r="Z709" t="str">
        <f t="shared" si="138"/>
        <v>Yes</v>
      </c>
      <c r="AA709" t="str">
        <f t="shared" si="139"/>
        <v>Yes</v>
      </c>
      <c r="AB709" t="str">
        <f t="shared" si="140"/>
        <v>Yes</v>
      </c>
      <c r="AC709" s="12"/>
      <c r="AD709" s="12">
        <f t="shared" si="141"/>
        <v>79.963114754098356</v>
      </c>
    </row>
    <row r="710" spans="1:30" x14ac:dyDescent="0.3">
      <c r="A710" t="s">
        <v>1506</v>
      </c>
      <c r="B710" t="s">
        <v>1507</v>
      </c>
      <c r="C710" t="s">
        <v>2158</v>
      </c>
      <c r="D710" t="s">
        <v>2796</v>
      </c>
      <c r="E710" t="str">
        <f t="shared" si="131"/>
        <v>Megan Bright</v>
      </c>
      <c r="H710" t="s">
        <v>86</v>
      </c>
      <c r="I710" t="str">
        <f t="shared" si="132"/>
        <v>Female</v>
      </c>
      <c r="J710">
        <v>36</v>
      </c>
      <c r="K710">
        <f t="shared" si="133"/>
        <v>36</v>
      </c>
      <c r="L710" t="str">
        <f t="shared" si="134"/>
        <v>Second level</v>
      </c>
      <c r="M710" t="s">
        <v>47</v>
      </c>
      <c r="N710" t="s">
        <v>48</v>
      </c>
      <c r="O710" t="s">
        <v>39</v>
      </c>
      <c r="P710">
        <v>17</v>
      </c>
      <c r="Q710">
        <f t="shared" si="135"/>
        <v>17</v>
      </c>
      <c r="R710" t="s">
        <v>131</v>
      </c>
      <c r="S710" s="8" t="s">
        <v>131</v>
      </c>
      <c r="T710" s="9">
        <v>20</v>
      </c>
      <c r="U710" s="9">
        <f t="shared" si="136"/>
        <v>20</v>
      </c>
      <c r="V710" s="10">
        <v>20</v>
      </c>
      <c r="W710">
        <v>0</v>
      </c>
      <c r="X710" s="11">
        <f t="shared" si="137"/>
        <v>0</v>
      </c>
      <c r="Y710" t="s">
        <v>2103</v>
      </c>
      <c r="Z710" t="str">
        <f t="shared" si="138"/>
        <v>Yes</v>
      </c>
      <c r="AA710" t="str">
        <f t="shared" si="139"/>
        <v>Yes</v>
      </c>
      <c r="AB710" t="str">
        <f t="shared" si="140"/>
        <v>Yes</v>
      </c>
      <c r="AC710" s="12">
        <v>99</v>
      </c>
      <c r="AD710" s="12">
        <f t="shared" si="141"/>
        <v>99</v>
      </c>
    </row>
    <row r="711" spans="1:30" x14ac:dyDescent="0.3">
      <c r="A711" t="s">
        <v>1508</v>
      </c>
      <c r="B711" t="s">
        <v>1509</v>
      </c>
      <c r="C711" t="s">
        <v>2273</v>
      </c>
      <c r="D711" t="s">
        <v>2194</v>
      </c>
      <c r="E711" t="str">
        <f t="shared" si="131"/>
        <v>David Griffin</v>
      </c>
      <c r="H711" t="s">
        <v>69</v>
      </c>
      <c r="I711" t="str">
        <f t="shared" si="132"/>
        <v>Male</v>
      </c>
      <c r="K711">
        <f t="shared" si="133"/>
        <v>41</v>
      </c>
      <c r="L711" t="str">
        <f t="shared" si="134"/>
        <v>Third level</v>
      </c>
      <c r="M711" t="s">
        <v>134</v>
      </c>
      <c r="N711" t="s">
        <v>135</v>
      </c>
      <c r="O711" t="s">
        <v>49</v>
      </c>
      <c r="P711">
        <v>12</v>
      </c>
      <c r="Q711">
        <f t="shared" si="135"/>
        <v>12</v>
      </c>
      <c r="R711" t="s">
        <v>44</v>
      </c>
      <c r="S711" s="8" t="s">
        <v>44</v>
      </c>
      <c r="T711" s="9">
        <v>30</v>
      </c>
      <c r="U711" s="9">
        <f t="shared" si="136"/>
        <v>30</v>
      </c>
      <c r="V711" s="10">
        <v>30</v>
      </c>
      <c r="W711">
        <v>2.6</v>
      </c>
      <c r="X711" s="11">
        <f t="shared" si="137"/>
        <v>2.6</v>
      </c>
      <c r="Y711" t="s">
        <v>2103</v>
      </c>
      <c r="Z711" t="str">
        <f t="shared" si="138"/>
        <v>Yes</v>
      </c>
      <c r="AA711" t="str">
        <f t="shared" si="139"/>
        <v>Yes</v>
      </c>
      <c r="AB711" t="str">
        <f t="shared" si="140"/>
        <v>Yes</v>
      </c>
      <c r="AC711" s="12"/>
      <c r="AD711" s="12">
        <f t="shared" si="141"/>
        <v>79.884773662551439</v>
      </c>
    </row>
    <row r="712" spans="1:30" x14ac:dyDescent="0.3">
      <c r="A712" t="s">
        <v>1510</v>
      </c>
      <c r="B712" t="s">
        <v>1511</v>
      </c>
      <c r="C712" t="s">
        <v>2166</v>
      </c>
      <c r="D712" t="s">
        <v>2315</v>
      </c>
      <c r="E712" t="str">
        <f t="shared" si="131"/>
        <v>Michael Clark</v>
      </c>
      <c r="H712" t="s">
        <v>107</v>
      </c>
      <c r="I712" t="str">
        <f t="shared" si="132"/>
        <v>Male</v>
      </c>
      <c r="J712">
        <v>56</v>
      </c>
      <c r="K712">
        <f t="shared" si="133"/>
        <v>56</v>
      </c>
      <c r="L712" t="str">
        <f t="shared" si="134"/>
        <v>Fourth level</v>
      </c>
      <c r="M712" t="s">
        <v>164</v>
      </c>
      <c r="N712" t="s">
        <v>165</v>
      </c>
      <c r="O712" t="s">
        <v>124</v>
      </c>
      <c r="P712">
        <v>30</v>
      </c>
      <c r="Q712">
        <f t="shared" si="135"/>
        <v>30</v>
      </c>
      <c r="R712" t="s">
        <v>76</v>
      </c>
      <c r="S712" s="8" t="s">
        <v>76</v>
      </c>
      <c r="T712" s="9">
        <v>40</v>
      </c>
      <c r="U712" s="9">
        <f t="shared" si="136"/>
        <v>40</v>
      </c>
      <c r="V712" s="10">
        <v>40</v>
      </c>
      <c r="W712">
        <v>3.3</v>
      </c>
      <c r="X712" s="11">
        <f t="shared" si="137"/>
        <v>3.3</v>
      </c>
      <c r="Y712" t="s">
        <v>77</v>
      </c>
      <c r="Z712" t="str">
        <f t="shared" si="138"/>
        <v>yes</v>
      </c>
      <c r="AA712" t="str">
        <f t="shared" si="139"/>
        <v>yes</v>
      </c>
      <c r="AB712" t="str">
        <f t="shared" si="140"/>
        <v>Yes</v>
      </c>
      <c r="AC712" s="12">
        <v>82</v>
      </c>
      <c r="AD712" s="12">
        <f t="shared" si="141"/>
        <v>82</v>
      </c>
    </row>
    <row r="713" spans="1:30" x14ac:dyDescent="0.3">
      <c r="A713" t="s">
        <v>1512</v>
      </c>
      <c r="B713" t="s">
        <v>1513</v>
      </c>
      <c r="C713" t="s">
        <v>2351</v>
      </c>
      <c r="D713" t="s">
        <v>2797</v>
      </c>
      <c r="E713" t="str">
        <f t="shared" si="131"/>
        <v>Rebecca Barker</v>
      </c>
      <c r="H713" t="s">
        <v>86</v>
      </c>
      <c r="I713" t="str">
        <f t="shared" si="132"/>
        <v>Female</v>
      </c>
      <c r="J713">
        <v>58</v>
      </c>
      <c r="K713">
        <f t="shared" si="133"/>
        <v>58</v>
      </c>
      <c r="L713" t="str">
        <f t="shared" si="134"/>
        <v>Fourth level</v>
      </c>
      <c r="M713" t="s">
        <v>138</v>
      </c>
      <c r="N713" t="s">
        <v>24</v>
      </c>
      <c r="O713" t="s">
        <v>87</v>
      </c>
      <c r="P713">
        <v>20</v>
      </c>
      <c r="Q713">
        <f t="shared" si="135"/>
        <v>20</v>
      </c>
      <c r="R713" t="s">
        <v>92</v>
      </c>
      <c r="S713" s="8" t="s">
        <v>92</v>
      </c>
      <c r="T713" s="9">
        <v>75</v>
      </c>
      <c r="U713" s="9">
        <f t="shared" si="136"/>
        <v>75</v>
      </c>
      <c r="V713" s="10">
        <v>75</v>
      </c>
      <c r="W713">
        <v>3.6</v>
      </c>
      <c r="X713" s="11">
        <f t="shared" si="137"/>
        <v>3.6</v>
      </c>
      <c r="Y713" t="s">
        <v>77</v>
      </c>
      <c r="Z713" t="str">
        <f t="shared" si="138"/>
        <v>yes</v>
      </c>
      <c r="AA713" t="str">
        <f t="shared" si="139"/>
        <v>yes</v>
      </c>
      <c r="AB713" t="str">
        <f t="shared" si="140"/>
        <v>Yes</v>
      </c>
      <c r="AC713" s="12">
        <v>78</v>
      </c>
      <c r="AD713" s="12">
        <f t="shared" si="141"/>
        <v>78</v>
      </c>
    </row>
    <row r="714" spans="1:30" x14ac:dyDescent="0.3">
      <c r="A714" t="s">
        <v>1514</v>
      </c>
      <c r="B714" t="s">
        <v>1515</v>
      </c>
      <c r="C714" t="s">
        <v>2516</v>
      </c>
      <c r="D714" t="s">
        <v>2161</v>
      </c>
      <c r="E714" t="str">
        <f t="shared" si="131"/>
        <v>Angela Smith</v>
      </c>
      <c r="H714" t="s">
        <v>86</v>
      </c>
      <c r="I714" t="str">
        <f t="shared" si="132"/>
        <v>Female</v>
      </c>
      <c r="J714">
        <v>58</v>
      </c>
      <c r="K714">
        <f t="shared" si="133"/>
        <v>58</v>
      </c>
      <c r="L714" t="str">
        <f t="shared" si="134"/>
        <v>Fourth level</v>
      </c>
      <c r="M714" t="s">
        <v>64</v>
      </c>
      <c r="N714" t="s">
        <v>24</v>
      </c>
      <c r="O714" t="s">
        <v>87</v>
      </c>
      <c r="P714">
        <v>22</v>
      </c>
      <c r="Q714">
        <f t="shared" si="135"/>
        <v>22</v>
      </c>
      <c r="R714" t="s">
        <v>18</v>
      </c>
      <c r="S714" s="8" t="s">
        <v>18</v>
      </c>
      <c r="T714" s="9">
        <v>100</v>
      </c>
      <c r="U714" s="9">
        <f t="shared" si="136"/>
        <v>100</v>
      </c>
      <c r="V714" s="10">
        <v>100</v>
      </c>
      <c r="W714">
        <v>3.7</v>
      </c>
      <c r="X714" s="11">
        <f t="shared" si="137"/>
        <v>3.7</v>
      </c>
      <c r="Y714" t="s">
        <v>2102</v>
      </c>
      <c r="Z714" t="str">
        <f t="shared" si="138"/>
        <v>No</v>
      </c>
      <c r="AA714" t="str">
        <f t="shared" si="139"/>
        <v>No</v>
      </c>
      <c r="AB714" t="str">
        <f t="shared" si="140"/>
        <v>No</v>
      </c>
      <c r="AC714" s="12"/>
      <c r="AD714" s="12">
        <f t="shared" si="141"/>
        <v>79.883817427385893</v>
      </c>
    </row>
    <row r="715" spans="1:30" x14ac:dyDescent="0.3">
      <c r="A715" t="s">
        <v>1516</v>
      </c>
      <c r="B715" t="s">
        <v>1517</v>
      </c>
      <c r="C715" t="s">
        <v>2558</v>
      </c>
      <c r="D715" t="s">
        <v>2207</v>
      </c>
      <c r="E715" t="str">
        <f t="shared" si="131"/>
        <v>Christina Wright</v>
      </c>
      <c r="H715" t="s">
        <v>86</v>
      </c>
      <c r="I715" t="str">
        <f t="shared" si="132"/>
        <v>Female</v>
      </c>
      <c r="J715">
        <v>54</v>
      </c>
      <c r="K715">
        <f t="shared" si="133"/>
        <v>54</v>
      </c>
      <c r="L715" t="str">
        <f t="shared" si="134"/>
        <v>Fourth level</v>
      </c>
      <c r="M715" t="s">
        <v>75</v>
      </c>
      <c r="N715" t="s">
        <v>24</v>
      </c>
      <c r="O715" t="s">
        <v>49</v>
      </c>
      <c r="P715">
        <v>32</v>
      </c>
      <c r="Q715">
        <f t="shared" si="135"/>
        <v>32</v>
      </c>
      <c r="R715" t="s">
        <v>131</v>
      </c>
      <c r="S715" s="8" t="s">
        <v>131</v>
      </c>
      <c r="T715" s="9">
        <v>20</v>
      </c>
      <c r="U715" s="9">
        <f t="shared" si="136"/>
        <v>20</v>
      </c>
      <c r="V715" s="10">
        <v>20</v>
      </c>
      <c r="W715">
        <v>3.4</v>
      </c>
      <c r="X715" s="11">
        <f t="shared" si="137"/>
        <v>3.4</v>
      </c>
      <c r="Y715" t="s">
        <v>170</v>
      </c>
      <c r="Z715" t="str">
        <f t="shared" si="138"/>
        <v>no</v>
      </c>
      <c r="AA715" t="str">
        <f t="shared" si="139"/>
        <v>no</v>
      </c>
      <c r="AB715" t="str">
        <f t="shared" si="140"/>
        <v>No</v>
      </c>
      <c r="AC715" s="12"/>
      <c r="AD715" s="12">
        <f t="shared" si="141"/>
        <v>79.883817427385893</v>
      </c>
    </row>
    <row r="716" spans="1:30" x14ac:dyDescent="0.3">
      <c r="A716" t="s">
        <v>1518</v>
      </c>
      <c r="B716" t="s">
        <v>1519</v>
      </c>
      <c r="C716" t="s">
        <v>2214</v>
      </c>
      <c r="D716" t="s">
        <v>2798</v>
      </c>
      <c r="E716" t="str">
        <f t="shared" si="131"/>
        <v>Todd Turner</v>
      </c>
      <c r="H716" t="s">
        <v>30</v>
      </c>
      <c r="I716" t="str">
        <f t="shared" si="132"/>
        <v>Male</v>
      </c>
      <c r="J716">
        <v>53</v>
      </c>
      <c r="K716">
        <f t="shared" si="133"/>
        <v>53</v>
      </c>
      <c r="L716" t="str">
        <f t="shared" si="134"/>
        <v>Fourth level</v>
      </c>
      <c r="M716" t="s">
        <v>23</v>
      </c>
      <c r="N716" t="s">
        <v>24</v>
      </c>
      <c r="O716" t="s">
        <v>82</v>
      </c>
      <c r="P716">
        <v>9</v>
      </c>
      <c r="Q716">
        <f t="shared" si="135"/>
        <v>9</v>
      </c>
      <c r="R716" t="s">
        <v>34</v>
      </c>
      <c r="S716" s="8" t="s">
        <v>34</v>
      </c>
      <c r="T716" s="9">
        <v>50</v>
      </c>
      <c r="U716" s="9">
        <f t="shared" si="136"/>
        <v>50</v>
      </c>
      <c r="V716" s="10">
        <v>50</v>
      </c>
      <c r="W716">
        <v>4</v>
      </c>
      <c r="X716" s="11">
        <f t="shared" si="137"/>
        <v>4</v>
      </c>
      <c r="Y716" t="s">
        <v>2103</v>
      </c>
      <c r="Z716" t="str">
        <f t="shared" si="138"/>
        <v>Yes</v>
      </c>
      <c r="AA716" t="str">
        <f t="shared" si="139"/>
        <v>Yes</v>
      </c>
      <c r="AB716" t="str">
        <f t="shared" si="140"/>
        <v>Yes</v>
      </c>
      <c r="AC716" s="12">
        <v>72</v>
      </c>
      <c r="AD716" s="12">
        <f t="shared" si="141"/>
        <v>72</v>
      </c>
    </row>
    <row r="717" spans="1:30" x14ac:dyDescent="0.3">
      <c r="A717" t="s">
        <v>1520</v>
      </c>
      <c r="B717" t="s">
        <v>1521</v>
      </c>
      <c r="C717" t="s">
        <v>2287</v>
      </c>
      <c r="D717" t="s">
        <v>2257</v>
      </c>
      <c r="E717" t="str">
        <f t="shared" si="131"/>
        <v>Elizabeth Green</v>
      </c>
      <c r="H717" t="s">
        <v>86</v>
      </c>
      <c r="I717" t="str">
        <f t="shared" si="132"/>
        <v>Female</v>
      </c>
      <c r="J717">
        <v>43</v>
      </c>
      <c r="K717">
        <f t="shared" si="133"/>
        <v>43</v>
      </c>
      <c r="L717" t="str">
        <f t="shared" si="134"/>
        <v>Third level</v>
      </c>
      <c r="M717" t="s">
        <v>23</v>
      </c>
      <c r="N717" t="s">
        <v>24</v>
      </c>
      <c r="O717" t="s">
        <v>39</v>
      </c>
      <c r="P717">
        <v>22</v>
      </c>
      <c r="Q717">
        <f t="shared" si="135"/>
        <v>22</v>
      </c>
      <c r="R717" t="s">
        <v>76</v>
      </c>
      <c r="S717" s="8" t="s">
        <v>76</v>
      </c>
      <c r="T717" s="9">
        <v>40</v>
      </c>
      <c r="U717" s="9">
        <f t="shared" si="136"/>
        <v>40</v>
      </c>
      <c r="V717" s="10">
        <v>40</v>
      </c>
      <c r="W717">
        <v>4.5</v>
      </c>
      <c r="X717" s="11">
        <f t="shared" si="137"/>
        <v>4.5</v>
      </c>
      <c r="Y717" t="s">
        <v>65</v>
      </c>
      <c r="AA717" t="str">
        <f t="shared" si="139"/>
        <v>Unknown</v>
      </c>
      <c r="AB717" t="str">
        <f t="shared" si="140"/>
        <v>Unknown</v>
      </c>
      <c r="AC717" s="12"/>
      <c r="AD717" s="12">
        <f t="shared" si="141"/>
        <v>79.916666666666671</v>
      </c>
    </row>
    <row r="718" spans="1:30" x14ac:dyDescent="0.3">
      <c r="A718" t="s">
        <v>1522</v>
      </c>
      <c r="B718" t="s">
        <v>1523</v>
      </c>
      <c r="C718" t="s">
        <v>2488</v>
      </c>
      <c r="D718" t="s">
        <v>2161</v>
      </c>
      <c r="E718" t="str">
        <f t="shared" si="131"/>
        <v>Alex Smith</v>
      </c>
      <c r="H718" t="s">
        <v>107</v>
      </c>
      <c r="I718" t="str">
        <f t="shared" si="132"/>
        <v>Male</v>
      </c>
      <c r="J718">
        <v>44</v>
      </c>
      <c r="K718">
        <f t="shared" si="133"/>
        <v>44</v>
      </c>
      <c r="L718" t="str">
        <f t="shared" si="134"/>
        <v>Third level</v>
      </c>
      <c r="M718" t="s">
        <v>122</v>
      </c>
      <c r="N718" t="s">
        <v>123</v>
      </c>
      <c r="O718" t="s">
        <v>124</v>
      </c>
      <c r="P718">
        <v>1</v>
      </c>
      <c r="Q718">
        <f t="shared" si="135"/>
        <v>1</v>
      </c>
      <c r="R718" t="s">
        <v>92</v>
      </c>
      <c r="S718" s="8" t="s">
        <v>92</v>
      </c>
      <c r="T718" s="9">
        <v>75</v>
      </c>
      <c r="U718" s="9">
        <f t="shared" si="136"/>
        <v>75</v>
      </c>
      <c r="V718" s="10">
        <v>75</v>
      </c>
      <c r="W718">
        <v>4.3</v>
      </c>
      <c r="X718" s="11">
        <f t="shared" si="137"/>
        <v>4.3</v>
      </c>
      <c r="Y718" t="s">
        <v>2103</v>
      </c>
      <c r="Z718" t="str">
        <f t="shared" si="138"/>
        <v>Yes</v>
      </c>
      <c r="AA718" t="str">
        <f t="shared" si="139"/>
        <v>Yes</v>
      </c>
      <c r="AB718" t="str">
        <f t="shared" si="140"/>
        <v>Yes</v>
      </c>
      <c r="AC718" s="12"/>
      <c r="AD718" s="12">
        <f t="shared" si="141"/>
        <v>79.916666666666671</v>
      </c>
    </row>
    <row r="719" spans="1:30" x14ac:dyDescent="0.3">
      <c r="A719" t="s">
        <v>1524</v>
      </c>
      <c r="B719" t="s">
        <v>1525</v>
      </c>
      <c r="C719" t="s">
        <v>2799</v>
      </c>
      <c r="D719" t="s">
        <v>2800</v>
      </c>
      <c r="E719" t="str">
        <f t="shared" si="131"/>
        <v>Shane Hale</v>
      </c>
      <c r="H719" t="s">
        <v>107</v>
      </c>
      <c r="I719" t="str">
        <f t="shared" si="132"/>
        <v>Male</v>
      </c>
      <c r="J719">
        <v>34</v>
      </c>
      <c r="K719">
        <f t="shared" si="133"/>
        <v>34</v>
      </c>
      <c r="L719" t="str">
        <f t="shared" si="134"/>
        <v>Second level</v>
      </c>
      <c r="M719" t="s">
        <v>138</v>
      </c>
      <c r="N719" t="s">
        <v>24</v>
      </c>
      <c r="O719" t="s">
        <v>87</v>
      </c>
      <c r="P719">
        <v>4</v>
      </c>
      <c r="Q719">
        <f t="shared" si="135"/>
        <v>4</v>
      </c>
      <c r="R719" t="s">
        <v>92</v>
      </c>
      <c r="S719" s="8" t="s">
        <v>92</v>
      </c>
      <c r="T719" s="9">
        <v>75</v>
      </c>
      <c r="U719" s="9">
        <f t="shared" si="136"/>
        <v>75</v>
      </c>
      <c r="V719" s="10">
        <v>75</v>
      </c>
      <c r="W719">
        <v>4</v>
      </c>
      <c r="X719" s="11">
        <f t="shared" si="137"/>
        <v>4</v>
      </c>
      <c r="Y719" t="s">
        <v>2103</v>
      </c>
      <c r="Z719" t="str">
        <f t="shared" si="138"/>
        <v>Yes</v>
      </c>
      <c r="AA719" t="str">
        <f t="shared" si="139"/>
        <v>Yes</v>
      </c>
      <c r="AB719" t="str">
        <f t="shared" si="140"/>
        <v>Yes</v>
      </c>
      <c r="AC719" s="12"/>
      <c r="AD719" s="12">
        <f t="shared" si="141"/>
        <v>79.916666666666671</v>
      </c>
    </row>
    <row r="720" spans="1:30" x14ac:dyDescent="0.3">
      <c r="A720" t="s">
        <v>1526</v>
      </c>
      <c r="B720" t="s">
        <v>1527</v>
      </c>
      <c r="C720" t="s">
        <v>2711</v>
      </c>
      <c r="D720" t="s">
        <v>2801</v>
      </c>
      <c r="E720" t="str">
        <f t="shared" si="131"/>
        <v>Kathy Grimes</v>
      </c>
      <c r="H720" t="s">
        <v>43</v>
      </c>
      <c r="I720" t="str">
        <f t="shared" si="132"/>
        <v>Female</v>
      </c>
      <c r="J720">
        <v>27</v>
      </c>
      <c r="K720">
        <f t="shared" si="133"/>
        <v>27</v>
      </c>
      <c r="L720" t="str">
        <f t="shared" si="134"/>
        <v>First level</v>
      </c>
      <c r="M720" t="s">
        <v>117</v>
      </c>
      <c r="N720" t="s">
        <v>118</v>
      </c>
      <c r="O720" t="s">
        <v>25</v>
      </c>
      <c r="P720">
        <v>8</v>
      </c>
      <c r="Q720">
        <f t="shared" si="135"/>
        <v>8</v>
      </c>
      <c r="R720" t="s">
        <v>72</v>
      </c>
      <c r="S720" s="8" t="s">
        <v>72</v>
      </c>
      <c r="T720" s="9">
        <v>50</v>
      </c>
      <c r="U720" s="9">
        <f t="shared" si="136"/>
        <v>50</v>
      </c>
      <c r="V720" s="10">
        <v>50</v>
      </c>
      <c r="W720">
        <v>1.6</v>
      </c>
      <c r="X720" s="11">
        <f t="shared" si="137"/>
        <v>1.6</v>
      </c>
      <c r="Y720" t="s">
        <v>77</v>
      </c>
      <c r="Z720" t="str">
        <f t="shared" si="138"/>
        <v>yes</v>
      </c>
      <c r="AA720" t="str">
        <f t="shared" si="139"/>
        <v>yes</v>
      </c>
      <c r="AB720" t="str">
        <f t="shared" si="140"/>
        <v>Yes</v>
      </c>
      <c r="AC720" s="12"/>
      <c r="AD720" s="12">
        <f t="shared" si="141"/>
        <v>79.916666666666671</v>
      </c>
    </row>
    <row r="721" spans="1:30" x14ac:dyDescent="0.3">
      <c r="A721" t="s">
        <v>1528</v>
      </c>
      <c r="B721" t="s">
        <v>1529</v>
      </c>
      <c r="C721" t="s">
        <v>2273</v>
      </c>
      <c r="D721" t="s">
        <v>2144</v>
      </c>
      <c r="E721" t="str">
        <f t="shared" si="131"/>
        <v>David Cherry</v>
      </c>
      <c r="H721" t="s">
        <v>107</v>
      </c>
      <c r="I721" t="str">
        <f t="shared" si="132"/>
        <v>Male</v>
      </c>
      <c r="J721">
        <v>50</v>
      </c>
      <c r="K721">
        <f t="shared" si="133"/>
        <v>50</v>
      </c>
      <c r="L721" t="str">
        <f t="shared" si="134"/>
        <v>Third level</v>
      </c>
      <c r="M721" t="s">
        <v>95</v>
      </c>
      <c r="N721" t="s">
        <v>96</v>
      </c>
      <c r="O721" t="s">
        <v>57</v>
      </c>
      <c r="P721">
        <v>3</v>
      </c>
      <c r="Q721">
        <f t="shared" si="135"/>
        <v>3</v>
      </c>
      <c r="R721" t="s">
        <v>18</v>
      </c>
      <c r="S721" s="8" t="s">
        <v>18</v>
      </c>
      <c r="T721" s="9">
        <v>100</v>
      </c>
      <c r="U721" s="9">
        <f t="shared" si="136"/>
        <v>100</v>
      </c>
      <c r="V721" s="10">
        <v>100</v>
      </c>
      <c r="W721">
        <v>0</v>
      </c>
      <c r="X721" s="11">
        <f t="shared" si="137"/>
        <v>0</v>
      </c>
      <c r="Y721" t="s">
        <v>2103</v>
      </c>
      <c r="Z721" t="str">
        <f t="shared" si="138"/>
        <v>Yes</v>
      </c>
      <c r="AA721" t="str">
        <f t="shared" si="139"/>
        <v>Yes</v>
      </c>
      <c r="AB721" t="str">
        <f t="shared" si="140"/>
        <v>Yes</v>
      </c>
      <c r="AC721" s="12"/>
      <c r="AD721" s="12">
        <f t="shared" si="141"/>
        <v>79.916666666666671</v>
      </c>
    </row>
    <row r="722" spans="1:30" x14ac:dyDescent="0.3">
      <c r="A722" t="s">
        <v>1530</v>
      </c>
      <c r="B722" t="s">
        <v>1531</v>
      </c>
      <c r="C722" t="s">
        <v>2733</v>
      </c>
      <c r="D722" t="s">
        <v>2179</v>
      </c>
      <c r="E722" t="str">
        <f t="shared" si="131"/>
        <v>Rachel Rogers</v>
      </c>
      <c r="H722" t="s">
        <v>43</v>
      </c>
      <c r="I722" t="str">
        <f t="shared" si="132"/>
        <v>Female</v>
      </c>
      <c r="J722">
        <v>52</v>
      </c>
      <c r="K722">
        <f t="shared" si="133"/>
        <v>52</v>
      </c>
      <c r="L722" t="str">
        <f t="shared" si="134"/>
        <v>Fourth level</v>
      </c>
      <c r="M722" t="s">
        <v>122</v>
      </c>
      <c r="N722" t="s">
        <v>123</v>
      </c>
      <c r="O722" t="s">
        <v>82</v>
      </c>
      <c r="P722">
        <v>30</v>
      </c>
      <c r="Q722">
        <f t="shared" si="135"/>
        <v>30</v>
      </c>
      <c r="R722" t="s">
        <v>92</v>
      </c>
      <c r="S722" s="8" t="s">
        <v>92</v>
      </c>
      <c r="T722" s="9">
        <v>75</v>
      </c>
      <c r="U722" s="9">
        <f t="shared" si="136"/>
        <v>75</v>
      </c>
      <c r="V722" s="10">
        <v>75</v>
      </c>
      <c r="X722" s="11">
        <f t="shared" si="137"/>
        <v>2.5819672131147549</v>
      </c>
      <c r="Y722" t="s">
        <v>170</v>
      </c>
      <c r="Z722" t="str">
        <f t="shared" si="138"/>
        <v>no</v>
      </c>
      <c r="AA722" t="str">
        <f t="shared" si="139"/>
        <v>no</v>
      </c>
      <c r="AB722" t="str">
        <f t="shared" si="140"/>
        <v>No</v>
      </c>
      <c r="AC722" s="12">
        <v>94</v>
      </c>
      <c r="AD722" s="12">
        <f t="shared" si="141"/>
        <v>94</v>
      </c>
    </row>
    <row r="723" spans="1:30" x14ac:dyDescent="0.3">
      <c r="A723" t="s">
        <v>1532</v>
      </c>
      <c r="B723" t="s">
        <v>1533</v>
      </c>
      <c r="C723" t="s">
        <v>2283</v>
      </c>
      <c r="D723" t="s">
        <v>2802</v>
      </c>
      <c r="E723" t="str">
        <f t="shared" si="131"/>
        <v>Travis Braun</v>
      </c>
      <c r="H723" t="s">
        <v>69</v>
      </c>
      <c r="I723" t="str">
        <f t="shared" si="132"/>
        <v>Male</v>
      </c>
      <c r="J723">
        <v>57</v>
      </c>
      <c r="K723">
        <f t="shared" si="133"/>
        <v>57</v>
      </c>
      <c r="L723" t="str">
        <f t="shared" si="134"/>
        <v>Fourth level</v>
      </c>
      <c r="M723" t="s">
        <v>201</v>
      </c>
      <c r="N723" t="s">
        <v>81</v>
      </c>
      <c r="O723" t="s">
        <v>17</v>
      </c>
      <c r="P723">
        <v>11</v>
      </c>
      <c r="Q723">
        <f t="shared" si="135"/>
        <v>11</v>
      </c>
      <c r="R723" t="s">
        <v>325</v>
      </c>
      <c r="S723" s="8" t="s">
        <v>2097</v>
      </c>
      <c r="T723" s="9">
        <v>20</v>
      </c>
      <c r="U723" s="9">
        <f t="shared" si="136"/>
        <v>20</v>
      </c>
      <c r="V723" s="10">
        <v>20</v>
      </c>
      <c r="W723">
        <v>4.9000000000000004</v>
      </c>
      <c r="X723" s="11">
        <f t="shared" si="137"/>
        <v>4.9000000000000004</v>
      </c>
      <c r="Y723" t="s">
        <v>2103</v>
      </c>
      <c r="Z723" t="str">
        <f t="shared" si="138"/>
        <v>Yes</v>
      </c>
      <c r="AA723" t="str">
        <f t="shared" si="139"/>
        <v>Yes</v>
      </c>
      <c r="AB723" t="str">
        <f t="shared" si="140"/>
        <v>Yes</v>
      </c>
      <c r="AC723" s="12"/>
      <c r="AD723" s="12">
        <f t="shared" si="141"/>
        <v>79.857740585774053</v>
      </c>
    </row>
    <row r="724" spans="1:30" x14ac:dyDescent="0.3">
      <c r="A724" t="s">
        <v>1534</v>
      </c>
      <c r="B724" t="s">
        <v>1535</v>
      </c>
      <c r="C724" t="s">
        <v>2803</v>
      </c>
      <c r="D724" t="s">
        <v>2804</v>
      </c>
      <c r="E724" t="str">
        <f t="shared" si="131"/>
        <v>Shawna Palmer</v>
      </c>
      <c r="H724" t="s">
        <v>43</v>
      </c>
      <c r="I724" t="str">
        <f t="shared" si="132"/>
        <v>Female</v>
      </c>
      <c r="J724">
        <v>53</v>
      </c>
      <c r="K724">
        <f t="shared" si="133"/>
        <v>53</v>
      </c>
      <c r="L724" t="str">
        <f t="shared" si="134"/>
        <v>Fourth level</v>
      </c>
      <c r="M724" t="s">
        <v>190</v>
      </c>
      <c r="N724" t="s">
        <v>81</v>
      </c>
      <c r="O724" t="s">
        <v>99</v>
      </c>
      <c r="P724">
        <v>8</v>
      </c>
      <c r="Q724">
        <f t="shared" si="135"/>
        <v>8</v>
      </c>
      <c r="R724" t="s">
        <v>151</v>
      </c>
      <c r="S724" s="8" t="s">
        <v>151</v>
      </c>
      <c r="T724" s="9">
        <v>20</v>
      </c>
      <c r="U724" s="9">
        <f t="shared" si="136"/>
        <v>20</v>
      </c>
      <c r="V724" s="10">
        <v>20</v>
      </c>
      <c r="W724">
        <v>2.8</v>
      </c>
      <c r="X724" s="11">
        <f t="shared" si="137"/>
        <v>2.8</v>
      </c>
      <c r="Y724" t="s">
        <v>2103</v>
      </c>
      <c r="Z724" t="str">
        <f t="shared" si="138"/>
        <v>Yes</v>
      </c>
      <c r="AA724" t="str">
        <f t="shared" si="139"/>
        <v>Yes</v>
      </c>
      <c r="AB724" t="str">
        <f t="shared" si="140"/>
        <v>Yes</v>
      </c>
      <c r="AC724" s="12"/>
      <c r="AD724" s="12">
        <f t="shared" si="141"/>
        <v>79.857740585774053</v>
      </c>
    </row>
    <row r="725" spans="1:30" x14ac:dyDescent="0.3">
      <c r="A725" t="s">
        <v>1536</v>
      </c>
      <c r="B725" t="s">
        <v>1537</v>
      </c>
      <c r="C725" t="s">
        <v>2561</v>
      </c>
      <c r="D725" t="s">
        <v>2478</v>
      </c>
      <c r="E725" t="str">
        <f t="shared" si="131"/>
        <v>Bradley Gaines</v>
      </c>
      <c r="H725" t="s">
        <v>107</v>
      </c>
      <c r="I725" t="str">
        <f t="shared" si="132"/>
        <v>Male</v>
      </c>
      <c r="J725">
        <v>51</v>
      </c>
      <c r="K725">
        <f t="shared" si="133"/>
        <v>51</v>
      </c>
      <c r="L725" t="str">
        <f t="shared" si="134"/>
        <v>Fourth level</v>
      </c>
      <c r="M725" t="s">
        <v>70</v>
      </c>
      <c r="N725" t="s">
        <v>71</v>
      </c>
      <c r="O725" t="s">
        <v>82</v>
      </c>
      <c r="P725">
        <v>11</v>
      </c>
      <c r="Q725">
        <f t="shared" si="135"/>
        <v>11</v>
      </c>
      <c r="R725" t="s">
        <v>119</v>
      </c>
      <c r="S725" s="8" t="s">
        <v>2096</v>
      </c>
      <c r="T725" s="9">
        <v>30</v>
      </c>
      <c r="U725" s="9">
        <f t="shared" si="136"/>
        <v>30</v>
      </c>
      <c r="V725" s="10">
        <v>30</v>
      </c>
      <c r="W725">
        <v>3.6</v>
      </c>
      <c r="X725" s="11">
        <f t="shared" si="137"/>
        <v>3.6</v>
      </c>
      <c r="Y725" t="s">
        <v>2103</v>
      </c>
      <c r="Z725" t="str">
        <f t="shared" si="138"/>
        <v>Yes</v>
      </c>
      <c r="AA725" t="str">
        <f t="shared" si="139"/>
        <v>Yes</v>
      </c>
      <c r="AB725" t="str">
        <f t="shared" si="140"/>
        <v>Yes</v>
      </c>
      <c r="AC725" s="12">
        <v>77</v>
      </c>
      <c r="AD725" s="12">
        <f t="shared" si="141"/>
        <v>77</v>
      </c>
    </row>
    <row r="726" spans="1:30" x14ac:dyDescent="0.3">
      <c r="A726" t="s">
        <v>1538</v>
      </c>
      <c r="B726" t="s">
        <v>1539</v>
      </c>
      <c r="C726" t="s">
        <v>2805</v>
      </c>
      <c r="D726" t="s">
        <v>2383</v>
      </c>
      <c r="E726" t="str">
        <f t="shared" si="131"/>
        <v>April Ford</v>
      </c>
      <c r="H726" t="s">
        <v>22</v>
      </c>
      <c r="I726" t="str">
        <f t="shared" si="132"/>
        <v>Female</v>
      </c>
      <c r="J726">
        <v>37</v>
      </c>
      <c r="K726">
        <f t="shared" si="133"/>
        <v>37</v>
      </c>
      <c r="L726" t="str">
        <f t="shared" si="134"/>
        <v>Second level</v>
      </c>
      <c r="M726" t="s">
        <v>138</v>
      </c>
      <c r="N726" t="s">
        <v>24</v>
      </c>
      <c r="O726" t="s">
        <v>87</v>
      </c>
      <c r="P726">
        <v>9</v>
      </c>
      <c r="Q726">
        <f t="shared" si="135"/>
        <v>9</v>
      </c>
      <c r="R726" t="s">
        <v>72</v>
      </c>
      <c r="S726" s="8" t="s">
        <v>72</v>
      </c>
      <c r="T726" s="9">
        <v>50</v>
      </c>
      <c r="U726" s="9">
        <f t="shared" si="136"/>
        <v>50</v>
      </c>
      <c r="V726" s="10">
        <v>50</v>
      </c>
      <c r="X726" s="11">
        <f t="shared" si="137"/>
        <v>2.5672199170124488</v>
      </c>
      <c r="Y726" t="s">
        <v>77</v>
      </c>
      <c r="Z726" t="str">
        <f t="shared" si="138"/>
        <v>yes</v>
      </c>
      <c r="AA726" t="str">
        <f t="shared" si="139"/>
        <v>yes</v>
      </c>
      <c r="AB726" t="str">
        <f t="shared" si="140"/>
        <v>Yes</v>
      </c>
      <c r="AC726" s="12">
        <v>84</v>
      </c>
      <c r="AD726" s="12">
        <f t="shared" si="141"/>
        <v>84</v>
      </c>
    </row>
    <row r="727" spans="1:30" x14ac:dyDescent="0.3">
      <c r="A727" t="s">
        <v>1540</v>
      </c>
      <c r="B727" t="s">
        <v>1541</v>
      </c>
      <c r="C727" t="s">
        <v>2143</v>
      </c>
      <c r="D727" t="s">
        <v>2430</v>
      </c>
      <c r="E727" t="str">
        <f t="shared" si="131"/>
        <v>James Gonzalez</v>
      </c>
      <c r="H727" t="s">
        <v>69</v>
      </c>
      <c r="I727" t="str">
        <f t="shared" si="132"/>
        <v>Male</v>
      </c>
      <c r="J727">
        <v>40</v>
      </c>
      <c r="K727">
        <f t="shared" si="133"/>
        <v>40</v>
      </c>
      <c r="L727" t="str">
        <f t="shared" si="134"/>
        <v>Second level</v>
      </c>
      <c r="M727" t="s">
        <v>201</v>
      </c>
      <c r="N727" t="s">
        <v>81</v>
      </c>
      <c r="O727" t="s">
        <v>39</v>
      </c>
      <c r="P727">
        <v>7</v>
      </c>
      <c r="Q727">
        <f t="shared" si="135"/>
        <v>7</v>
      </c>
      <c r="R727" t="s">
        <v>76</v>
      </c>
      <c r="S727" s="8" t="s">
        <v>76</v>
      </c>
      <c r="T727" s="9">
        <v>40</v>
      </c>
      <c r="U727" s="9">
        <f t="shared" si="136"/>
        <v>40</v>
      </c>
      <c r="V727" s="10">
        <v>40</v>
      </c>
      <c r="W727">
        <v>4.5</v>
      </c>
      <c r="X727" s="11">
        <f t="shared" si="137"/>
        <v>4.5</v>
      </c>
      <c r="Y727" t="s">
        <v>65</v>
      </c>
      <c r="AA727" t="str">
        <f t="shared" si="139"/>
        <v>Unknown</v>
      </c>
      <c r="AB727" t="str">
        <f t="shared" si="140"/>
        <v>Unknown</v>
      </c>
      <c r="AC727" s="12">
        <v>79</v>
      </c>
      <c r="AD727" s="12">
        <f t="shared" si="141"/>
        <v>79</v>
      </c>
    </row>
    <row r="728" spans="1:30" x14ac:dyDescent="0.3">
      <c r="A728" t="s">
        <v>1542</v>
      </c>
      <c r="B728" t="s">
        <v>1543</v>
      </c>
      <c r="C728" t="s">
        <v>2366</v>
      </c>
      <c r="D728" t="s">
        <v>2520</v>
      </c>
      <c r="E728" t="str">
        <f t="shared" si="131"/>
        <v>John Castillo</v>
      </c>
      <c r="H728" t="s">
        <v>107</v>
      </c>
      <c r="I728" t="str">
        <f t="shared" si="132"/>
        <v>Male</v>
      </c>
      <c r="J728">
        <v>60</v>
      </c>
      <c r="K728">
        <f t="shared" si="133"/>
        <v>60</v>
      </c>
      <c r="L728" t="str">
        <f t="shared" si="134"/>
        <v>Fourth level</v>
      </c>
      <c r="M728" t="s">
        <v>95</v>
      </c>
      <c r="N728" t="s">
        <v>96</v>
      </c>
      <c r="O728" t="s">
        <v>57</v>
      </c>
      <c r="P728">
        <v>24</v>
      </c>
      <c r="Q728">
        <f t="shared" si="135"/>
        <v>24</v>
      </c>
      <c r="R728" t="s">
        <v>61</v>
      </c>
      <c r="S728" s="8" t="s">
        <v>2094</v>
      </c>
      <c r="T728" s="9">
        <v>40</v>
      </c>
      <c r="U728" s="9">
        <f t="shared" si="136"/>
        <v>40</v>
      </c>
      <c r="V728" s="10">
        <v>40</v>
      </c>
      <c r="W728">
        <v>3.1</v>
      </c>
      <c r="X728" s="11">
        <f t="shared" si="137"/>
        <v>3.1</v>
      </c>
      <c r="Y728" t="s">
        <v>2102</v>
      </c>
      <c r="Z728" t="str">
        <f t="shared" si="138"/>
        <v>No</v>
      </c>
      <c r="AA728" t="str">
        <f t="shared" si="139"/>
        <v>No</v>
      </c>
      <c r="AB728" t="str">
        <f t="shared" si="140"/>
        <v>No</v>
      </c>
      <c r="AC728" s="12">
        <v>69</v>
      </c>
      <c r="AD728" s="12">
        <f t="shared" si="141"/>
        <v>69</v>
      </c>
    </row>
    <row r="729" spans="1:30" x14ac:dyDescent="0.3">
      <c r="A729" t="s">
        <v>1544</v>
      </c>
      <c r="B729" t="s">
        <v>1545</v>
      </c>
      <c r="C729" t="s">
        <v>2646</v>
      </c>
      <c r="D729" t="s">
        <v>2710</v>
      </c>
      <c r="E729" t="str">
        <f t="shared" si="131"/>
        <v>Ian Hayes</v>
      </c>
      <c r="H729" t="s">
        <v>107</v>
      </c>
      <c r="I729" t="str">
        <f t="shared" si="132"/>
        <v>Male</v>
      </c>
      <c r="J729">
        <v>60</v>
      </c>
      <c r="K729">
        <f t="shared" si="133"/>
        <v>60</v>
      </c>
      <c r="L729" t="str">
        <f t="shared" si="134"/>
        <v>Fourth level</v>
      </c>
      <c r="M729" t="s">
        <v>145</v>
      </c>
      <c r="N729" t="s">
        <v>146</v>
      </c>
      <c r="O729" t="s">
        <v>82</v>
      </c>
      <c r="P729">
        <v>0</v>
      </c>
      <c r="Q729">
        <f t="shared" si="135"/>
        <v>0</v>
      </c>
      <c r="R729" t="s">
        <v>76</v>
      </c>
      <c r="S729" s="8" t="s">
        <v>76</v>
      </c>
      <c r="T729" s="9">
        <v>40</v>
      </c>
      <c r="U729" s="9">
        <f t="shared" si="136"/>
        <v>40</v>
      </c>
      <c r="V729" s="10">
        <v>40</v>
      </c>
      <c r="W729">
        <v>4.9000000000000004</v>
      </c>
      <c r="X729" s="11">
        <f t="shared" si="137"/>
        <v>4.9000000000000004</v>
      </c>
      <c r="Y729" t="s">
        <v>2103</v>
      </c>
      <c r="Z729" t="str">
        <f t="shared" si="138"/>
        <v>Yes</v>
      </c>
      <c r="AA729" t="str">
        <f t="shared" si="139"/>
        <v>Yes</v>
      </c>
      <c r="AB729" t="str">
        <f t="shared" si="140"/>
        <v>Yes</v>
      </c>
      <c r="AC729" s="12">
        <v>68</v>
      </c>
      <c r="AD729" s="12">
        <f t="shared" si="141"/>
        <v>68</v>
      </c>
    </row>
    <row r="730" spans="1:30" x14ac:dyDescent="0.3">
      <c r="A730" t="s">
        <v>1546</v>
      </c>
      <c r="B730" t="s">
        <v>1547</v>
      </c>
      <c r="C730" t="s">
        <v>2215</v>
      </c>
      <c r="D730" t="s">
        <v>2564</v>
      </c>
      <c r="E730" t="str">
        <f t="shared" si="131"/>
        <v>Christine Castro</v>
      </c>
      <c r="H730" t="s">
        <v>86</v>
      </c>
      <c r="I730" t="str">
        <f t="shared" si="132"/>
        <v>Female</v>
      </c>
      <c r="J730">
        <v>53</v>
      </c>
      <c r="K730">
        <f t="shared" si="133"/>
        <v>53</v>
      </c>
      <c r="L730" t="str">
        <f t="shared" si="134"/>
        <v>Fourth level</v>
      </c>
      <c r="M730" t="s">
        <v>122</v>
      </c>
      <c r="N730" t="s">
        <v>123</v>
      </c>
      <c r="O730" t="s">
        <v>82</v>
      </c>
      <c r="P730">
        <v>21</v>
      </c>
      <c r="Q730">
        <f t="shared" si="135"/>
        <v>21</v>
      </c>
      <c r="R730" t="s">
        <v>50</v>
      </c>
      <c r="S730" s="8" t="s">
        <v>50</v>
      </c>
      <c r="T730" s="9">
        <v>30</v>
      </c>
      <c r="U730" s="9">
        <f t="shared" si="136"/>
        <v>30</v>
      </c>
      <c r="V730" s="10">
        <v>30</v>
      </c>
      <c r="W730">
        <v>4.2</v>
      </c>
      <c r="X730" s="11">
        <f t="shared" si="137"/>
        <v>4.2</v>
      </c>
      <c r="Y730" t="s">
        <v>2103</v>
      </c>
      <c r="Z730" t="str">
        <f t="shared" si="138"/>
        <v>Yes</v>
      </c>
      <c r="AA730" t="str">
        <f t="shared" si="139"/>
        <v>Yes</v>
      </c>
      <c r="AB730" t="str">
        <f t="shared" si="140"/>
        <v>Yes</v>
      </c>
      <c r="AC730" s="12">
        <v>73</v>
      </c>
      <c r="AD730" s="12">
        <f t="shared" si="141"/>
        <v>73</v>
      </c>
    </row>
    <row r="731" spans="1:30" x14ac:dyDescent="0.3">
      <c r="A731" t="s">
        <v>1548</v>
      </c>
      <c r="B731" t="s">
        <v>1549</v>
      </c>
      <c r="C731" t="s">
        <v>2168</v>
      </c>
      <c r="D731" t="s">
        <v>2301</v>
      </c>
      <c r="E731" t="str">
        <f t="shared" si="131"/>
        <v>Jessica Chaney</v>
      </c>
      <c r="H731" t="s">
        <v>86</v>
      </c>
      <c r="I731" t="str">
        <f t="shared" si="132"/>
        <v>Female</v>
      </c>
      <c r="J731">
        <v>20</v>
      </c>
      <c r="K731">
        <f t="shared" si="133"/>
        <v>20</v>
      </c>
      <c r="L731" t="str">
        <f t="shared" si="134"/>
        <v>First level</v>
      </c>
      <c r="M731" t="s">
        <v>190</v>
      </c>
      <c r="N731" t="s">
        <v>81</v>
      </c>
      <c r="O731" t="s">
        <v>17</v>
      </c>
      <c r="P731">
        <v>0</v>
      </c>
      <c r="Q731">
        <f t="shared" si="135"/>
        <v>0</v>
      </c>
      <c r="R731" t="s">
        <v>92</v>
      </c>
      <c r="S731" s="8" t="s">
        <v>92</v>
      </c>
      <c r="T731" s="9">
        <v>75</v>
      </c>
      <c r="U731" s="9">
        <f t="shared" si="136"/>
        <v>75</v>
      </c>
      <c r="V731" s="10">
        <v>75</v>
      </c>
      <c r="W731">
        <v>3.2</v>
      </c>
      <c r="X731" s="11">
        <f t="shared" si="137"/>
        <v>3.2</v>
      </c>
      <c r="Y731" t="s">
        <v>2103</v>
      </c>
      <c r="Z731" t="str">
        <f t="shared" si="138"/>
        <v>Yes</v>
      </c>
      <c r="AA731" t="str">
        <f t="shared" si="139"/>
        <v>Yes</v>
      </c>
      <c r="AB731" t="str">
        <f t="shared" si="140"/>
        <v>Yes</v>
      </c>
      <c r="AC731" s="12">
        <v>74</v>
      </c>
      <c r="AD731" s="12">
        <f t="shared" si="141"/>
        <v>74</v>
      </c>
    </row>
    <row r="732" spans="1:30" x14ac:dyDescent="0.3">
      <c r="A732" t="s">
        <v>1550</v>
      </c>
      <c r="B732" t="s">
        <v>1551</v>
      </c>
      <c r="C732" t="s">
        <v>2366</v>
      </c>
      <c r="D732" t="s">
        <v>2443</v>
      </c>
      <c r="E732" t="str">
        <f t="shared" si="131"/>
        <v>John Gray</v>
      </c>
      <c r="H732" t="s">
        <v>69</v>
      </c>
      <c r="I732" t="str">
        <f t="shared" si="132"/>
        <v>Male</v>
      </c>
      <c r="J732">
        <v>42</v>
      </c>
      <c r="K732">
        <f t="shared" si="133"/>
        <v>42</v>
      </c>
      <c r="L732" t="str">
        <f t="shared" si="134"/>
        <v>Third level</v>
      </c>
      <c r="M732" t="s">
        <v>134</v>
      </c>
      <c r="N732" t="s">
        <v>135</v>
      </c>
      <c r="O732" t="s">
        <v>39</v>
      </c>
      <c r="P732">
        <v>7</v>
      </c>
      <c r="Q732">
        <f t="shared" si="135"/>
        <v>7</v>
      </c>
      <c r="R732" t="s">
        <v>325</v>
      </c>
      <c r="S732" s="8" t="s">
        <v>2097</v>
      </c>
      <c r="T732" s="9">
        <v>20</v>
      </c>
      <c r="U732" s="9">
        <f t="shared" si="136"/>
        <v>20</v>
      </c>
      <c r="V732" s="10">
        <v>20</v>
      </c>
      <c r="X732" s="11">
        <f t="shared" si="137"/>
        <v>2.5372881355932213</v>
      </c>
      <c r="Y732" t="s">
        <v>2102</v>
      </c>
      <c r="Z732" t="str">
        <f t="shared" si="138"/>
        <v>No</v>
      </c>
      <c r="AA732" t="str">
        <f t="shared" si="139"/>
        <v>No</v>
      </c>
      <c r="AB732" t="str">
        <f t="shared" si="140"/>
        <v>No</v>
      </c>
      <c r="AC732" s="12">
        <v>100</v>
      </c>
      <c r="AD732" s="12">
        <f t="shared" si="141"/>
        <v>100</v>
      </c>
    </row>
    <row r="733" spans="1:30" x14ac:dyDescent="0.3">
      <c r="A733" t="s">
        <v>1552</v>
      </c>
      <c r="B733" t="s">
        <v>1553</v>
      </c>
      <c r="C733" t="s">
        <v>2799</v>
      </c>
      <c r="D733" t="s">
        <v>2806</v>
      </c>
      <c r="E733" t="str">
        <f t="shared" si="131"/>
        <v>Shane Booker</v>
      </c>
      <c r="H733" t="s">
        <v>107</v>
      </c>
      <c r="I733" t="str">
        <f t="shared" si="132"/>
        <v>Male</v>
      </c>
      <c r="J733">
        <v>21</v>
      </c>
      <c r="K733">
        <f t="shared" si="133"/>
        <v>21</v>
      </c>
      <c r="L733" t="str">
        <f t="shared" si="134"/>
        <v>First level</v>
      </c>
      <c r="M733" t="s">
        <v>75</v>
      </c>
      <c r="N733" t="s">
        <v>24</v>
      </c>
      <c r="O733" t="s">
        <v>25</v>
      </c>
      <c r="P733">
        <v>3</v>
      </c>
      <c r="Q733">
        <f t="shared" si="135"/>
        <v>3</v>
      </c>
      <c r="R733" t="s">
        <v>76</v>
      </c>
      <c r="S733" s="8" t="s">
        <v>76</v>
      </c>
      <c r="T733" s="9">
        <v>40</v>
      </c>
      <c r="U733" s="9">
        <f t="shared" si="136"/>
        <v>40</v>
      </c>
      <c r="V733" s="10">
        <v>40</v>
      </c>
      <c r="W733">
        <v>0</v>
      </c>
      <c r="X733" s="11">
        <f t="shared" si="137"/>
        <v>0</v>
      </c>
      <c r="Y733" t="s">
        <v>2102</v>
      </c>
      <c r="Z733" t="str">
        <f t="shared" si="138"/>
        <v>No</v>
      </c>
      <c r="AA733" t="str">
        <f t="shared" si="139"/>
        <v>No</v>
      </c>
      <c r="AB733" t="str">
        <f t="shared" si="140"/>
        <v>No</v>
      </c>
      <c r="AC733" s="12">
        <v>87</v>
      </c>
      <c r="AD733" s="12">
        <f t="shared" si="141"/>
        <v>87</v>
      </c>
    </row>
    <row r="734" spans="1:30" x14ac:dyDescent="0.3">
      <c r="A734" t="s">
        <v>1554</v>
      </c>
      <c r="B734" t="s">
        <v>1555</v>
      </c>
      <c r="C734" t="s">
        <v>2198</v>
      </c>
      <c r="D734" t="s">
        <v>2616</v>
      </c>
      <c r="E734" t="str">
        <f t="shared" si="131"/>
        <v>Kyle Hall</v>
      </c>
      <c r="H734" t="s">
        <v>107</v>
      </c>
      <c r="I734" t="str">
        <f t="shared" si="132"/>
        <v>Male</v>
      </c>
      <c r="J734">
        <v>39</v>
      </c>
      <c r="K734">
        <f t="shared" si="133"/>
        <v>39</v>
      </c>
      <c r="L734" t="str">
        <f t="shared" si="134"/>
        <v>Second level</v>
      </c>
      <c r="M734" t="s">
        <v>31</v>
      </c>
      <c r="N734" t="s">
        <v>32</v>
      </c>
      <c r="O734" t="s">
        <v>39</v>
      </c>
      <c r="P734">
        <v>21</v>
      </c>
      <c r="Q734">
        <f t="shared" si="135"/>
        <v>21</v>
      </c>
      <c r="R734" t="s">
        <v>18</v>
      </c>
      <c r="S734" s="8" t="s">
        <v>18</v>
      </c>
      <c r="T734" s="9">
        <v>100</v>
      </c>
      <c r="U734" s="9">
        <f t="shared" si="136"/>
        <v>100</v>
      </c>
      <c r="V734" s="10">
        <v>100</v>
      </c>
      <c r="W734">
        <v>2.2000000000000002</v>
      </c>
      <c r="X734" s="11">
        <f t="shared" si="137"/>
        <v>2.2000000000000002</v>
      </c>
      <c r="Y734" t="s">
        <v>2102</v>
      </c>
      <c r="Z734" t="str">
        <f t="shared" si="138"/>
        <v>No</v>
      </c>
      <c r="AA734" t="str">
        <f t="shared" si="139"/>
        <v>No</v>
      </c>
      <c r="AB734" t="str">
        <f t="shared" si="140"/>
        <v>No</v>
      </c>
      <c r="AC734" s="12">
        <v>79</v>
      </c>
      <c r="AD734" s="12">
        <f t="shared" si="141"/>
        <v>79</v>
      </c>
    </row>
    <row r="735" spans="1:30" x14ac:dyDescent="0.3">
      <c r="A735" t="s">
        <v>1556</v>
      </c>
      <c r="B735" t="s">
        <v>1557</v>
      </c>
      <c r="C735" t="s">
        <v>2260</v>
      </c>
      <c r="D735" t="s">
        <v>2807</v>
      </c>
      <c r="E735" t="str">
        <f t="shared" si="131"/>
        <v>Ronald Munoz</v>
      </c>
      <c r="H735" t="s">
        <v>107</v>
      </c>
      <c r="I735" t="str">
        <f t="shared" si="132"/>
        <v>Male</v>
      </c>
      <c r="J735">
        <v>32</v>
      </c>
      <c r="K735">
        <f t="shared" si="133"/>
        <v>32</v>
      </c>
      <c r="L735" t="str">
        <f t="shared" si="134"/>
        <v>Second level</v>
      </c>
      <c r="M735" t="s">
        <v>103</v>
      </c>
      <c r="N735" t="s">
        <v>104</v>
      </c>
      <c r="O735" t="s">
        <v>17</v>
      </c>
      <c r="Q735">
        <f t="shared" si="135"/>
        <v>9</v>
      </c>
      <c r="R735" t="s">
        <v>44</v>
      </c>
      <c r="S735" s="8" t="s">
        <v>44</v>
      </c>
      <c r="T735" s="9">
        <v>30</v>
      </c>
      <c r="U735" s="9">
        <f t="shared" si="136"/>
        <v>30</v>
      </c>
      <c r="V735" s="10">
        <v>30</v>
      </c>
      <c r="W735">
        <v>1.5</v>
      </c>
      <c r="X735" s="11">
        <f t="shared" si="137"/>
        <v>1.5</v>
      </c>
      <c r="Y735" t="s">
        <v>2102</v>
      </c>
      <c r="Z735" t="str">
        <f t="shared" si="138"/>
        <v>No</v>
      </c>
      <c r="AA735" t="str">
        <f t="shared" si="139"/>
        <v>No</v>
      </c>
      <c r="AB735" t="str">
        <f t="shared" si="140"/>
        <v>No</v>
      </c>
      <c r="AC735" s="12">
        <v>68</v>
      </c>
      <c r="AD735" s="12">
        <f t="shared" si="141"/>
        <v>68</v>
      </c>
    </row>
    <row r="736" spans="1:30" x14ac:dyDescent="0.3">
      <c r="A736" t="s">
        <v>1558</v>
      </c>
      <c r="B736" t="s">
        <v>1559</v>
      </c>
      <c r="C736" t="s">
        <v>2308</v>
      </c>
      <c r="D736" t="s">
        <v>2477</v>
      </c>
      <c r="E736" t="str">
        <f t="shared" si="131"/>
        <v>Christopher Long</v>
      </c>
      <c r="H736" t="s">
        <v>107</v>
      </c>
      <c r="I736" t="str">
        <f t="shared" si="132"/>
        <v>Male</v>
      </c>
      <c r="J736">
        <v>35</v>
      </c>
      <c r="K736">
        <f t="shared" si="133"/>
        <v>35</v>
      </c>
      <c r="L736" t="str">
        <f t="shared" si="134"/>
        <v>Second level</v>
      </c>
      <c r="M736" t="s">
        <v>31</v>
      </c>
      <c r="N736" t="s">
        <v>32</v>
      </c>
      <c r="O736" t="s">
        <v>57</v>
      </c>
      <c r="Q736">
        <f t="shared" si="135"/>
        <v>9</v>
      </c>
      <c r="R736" t="s">
        <v>26</v>
      </c>
      <c r="S736" s="8" t="s">
        <v>18</v>
      </c>
      <c r="T736" s="9">
        <v>100</v>
      </c>
      <c r="U736" s="9">
        <f t="shared" si="136"/>
        <v>100</v>
      </c>
      <c r="V736" s="10">
        <v>100</v>
      </c>
      <c r="X736" s="11">
        <f t="shared" si="137"/>
        <v>2.5540772532188853</v>
      </c>
      <c r="Y736" t="s">
        <v>2102</v>
      </c>
      <c r="Z736" t="str">
        <f t="shared" si="138"/>
        <v>No</v>
      </c>
      <c r="AA736" t="str">
        <f t="shared" si="139"/>
        <v>No</v>
      </c>
      <c r="AB736" t="str">
        <f t="shared" si="140"/>
        <v>No</v>
      </c>
      <c r="AC736" s="12">
        <v>84</v>
      </c>
      <c r="AD736" s="12">
        <f t="shared" si="141"/>
        <v>84</v>
      </c>
    </row>
    <row r="737" spans="1:30" x14ac:dyDescent="0.3">
      <c r="A737" t="s">
        <v>1560</v>
      </c>
      <c r="B737" t="s">
        <v>1561</v>
      </c>
      <c r="C737" t="s">
        <v>2723</v>
      </c>
      <c r="D737" t="s">
        <v>2808</v>
      </c>
      <c r="E737" t="str">
        <f t="shared" si="131"/>
        <v>Sandra Ali</v>
      </c>
      <c r="H737" t="s">
        <v>86</v>
      </c>
      <c r="I737" t="str">
        <f t="shared" si="132"/>
        <v>Female</v>
      </c>
      <c r="J737">
        <v>35</v>
      </c>
      <c r="K737">
        <f t="shared" si="133"/>
        <v>35</v>
      </c>
      <c r="L737" t="str">
        <f t="shared" si="134"/>
        <v>Second level</v>
      </c>
      <c r="M737" t="s">
        <v>145</v>
      </c>
      <c r="N737" t="s">
        <v>146</v>
      </c>
      <c r="O737" t="s">
        <v>82</v>
      </c>
      <c r="P737">
        <v>17</v>
      </c>
      <c r="Q737">
        <f t="shared" si="135"/>
        <v>17</v>
      </c>
      <c r="R737" t="s">
        <v>34</v>
      </c>
      <c r="S737" s="8" t="s">
        <v>34</v>
      </c>
      <c r="T737" s="9">
        <v>50</v>
      </c>
      <c r="U737" s="9">
        <f t="shared" si="136"/>
        <v>50</v>
      </c>
      <c r="V737" s="10">
        <v>50</v>
      </c>
      <c r="W737">
        <v>3.1</v>
      </c>
      <c r="X737" s="11">
        <f t="shared" si="137"/>
        <v>3.1</v>
      </c>
      <c r="Y737" t="s">
        <v>2102</v>
      </c>
      <c r="Z737" t="str">
        <f t="shared" si="138"/>
        <v>No</v>
      </c>
      <c r="AA737" t="str">
        <f t="shared" si="139"/>
        <v>No</v>
      </c>
      <c r="AB737" t="str">
        <f t="shared" si="140"/>
        <v>No</v>
      </c>
      <c r="AC737" s="12">
        <v>71</v>
      </c>
      <c r="AD737" s="12">
        <f t="shared" si="141"/>
        <v>71</v>
      </c>
    </row>
    <row r="738" spans="1:30" x14ac:dyDescent="0.3">
      <c r="A738" t="s">
        <v>1562</v>
      </c>
      <c r="B738" t="s">
        <v>1563</v>
      </c>
      <c r="C738" t="s">
        <v>2168</v>
      </c>
      <c r="D738" t="s">
        <v>2329</v>
      </c>
      <c r="E738" t="str">
        <f t="shared" si="131"/>
        <v>Jessica Garza</v>
      </c>
      <c r="H738" t="s">
        <v>22</v>
      </c>
      <c r="I738" t="str">
        <f t="shared" si="132"/>
        <v>Female</v>
      </c>
      <c r="J738">
        <v>23</v>
      </c>
      <c r="K738">
        <f t="shared" si="133"/>
        <v>23</v>
      </c>
      <c r="L738" t="str">
        <f t="shared" si="134"/>
        <v>First level</v>
      </c>
      <c r="M738" t="s">
        <v>80</v>
      </c>
      <c r="N738" t="s">
        <v>81</v>
      </c>
      <c r="O738" t="s">
        <v>82</v>
      </c>
      <c r="P738">
        <v>0</v>
      </c>
      <c r="Q738">
        <f t="shared" si="135"/>
        <v>0</v>
      </c>
      <c r="R738" t="s">
        <v>92</v>
      </c>
      <c r="S738" s="8" t="s">
        <v>92</v>
      </c>
      <c r="T738" s="9">
        <v>75</v>
      </c>
      <c r="U738" s="9">
        <f t="shared" si="136"/>
        <v>75</v>
      </c>
      <c r="V738" s="10">
        <v>75</v>
      </c>
      <c r="W738">
        <v>0</v>
      </c>
      <c r="X738" s="11">
        <f t="shared" si="137"/>
        <v>0</v>
      </c>
      <c r="Y738" t="s">
        <v>170</v>
      </c>
      <c r="Z738" t="str">
        <f t="shared" si="138"/>
        <v>no</v>
      </c>
      <c r="AA738" t="str">
        <f t="shared" si="139"/>
        <v>no</v>
      </c>
      <c r="AB738" t="str">
        <f t="shared" si="140"/>
        <v>No</v>
      </c>
      <c r="AC738" s="12">
        <v>92</v>
      </c>
      <c r="AD738" s="12">
        <f t="shared" si="141"/>
        <v>92</v>
      </c>
    </row>
    <row r="739" spans="1:30" x14ac:dyDescent="0.3">
      <c r="A739" t="s">
        <v>1564</v>
      </c>
      <c r="B739" t="s">
        <v>1565</v>
      </c>
      <c r="C739" t="s">
        <v>2361</v>
      </c>
      <c r="D739" t="s">
        <v>2809</v>
      </c>
      <c r="E739" t="str">
        <f t="shared" si="131"/>
        <v>Gregory Waters</v>
      </c>
      <c r="H739" t="s">
        <v>107</v>
      </c>
      <c r="I739" t="str">
        <f t="shared" si="132"/>
        <v>Male</v>
      </c>
      <c r="J739">
        <v>26</v>
      </c>
      <c r="K739">
        <f t="shared" si="133"/>
        <v>26</v>
      </c>
      <c r="L739" t="str">
        <f t="shared" si="134"/>
        <v>First level</v>
      </c>
      <c r="M739" t="s">
        <v>47</v>
      </c>
      <c r="N739" t="s">
        <v>48</v>
      </c>
      <c r="O739" t="s">
        <v>49</v>
      </c>
      <c r="P739">
        <v>6</v>
      </c>
      <c r="Q739">
        <f t="shared" si="135"/>
        <v>6</v>
      </c>
      <c r="R739" t="s">
        <v>26</v>
      </c>
      <c r="S739" s="8" t="s">
        <v>18</v>
      </c>
      <c r="T739" s="9">
        <v>100</v>
      </c>
      <c r="U739" s="9">
        <f t="shared" si="136"/>
        <v>100</v>
      </c>
      <c r="V739" s="10">
        <v>100</v>
      </c>
      <c r="X739" s="11">
        <f t="shared" si="137"/>
        <v>2.5627705627705639</v>
      </c>
      <c r="Y739" t="s">
        <v>170</v>
      </c>
      <c r="Z739" t="str">
        <f t="shared" si="138"/>
        <v>no</v>
      </c>
      <c r="AA739" t="str">
        <f t="shared" si="139"/>
        <v>no</v>
      </c>
      <c r="AB739" t="str">
        <f t="shared" si="140"/>
        <v>No</v>
      </c>
      <c r="AC739" s="12">
        <v>69</v>
      </c>
      <c r="AD739" s="12">
        <f t="shared" si="141"/>
        <v>69</v>
      </c>
    </row>
    <row r="740" spans="1:30" x14ac:dyDescent="0.3">
      <c r="A740" t="s">
        <v>1566</v>
      </c>
      <c r="B740" t="s">
        <v>1567</v>
      </c>
      <c r="C740" t="s">
        <v>2810</v>
      </c>
      <c r="D740" t="s">
        <v>2591</v>
      </c>
      <c r="E740" t="str">
        <f t="shared" si="131"/>
        <v>Misty Adams</v>
      </c>
      <c r="H740" t="s">
        <v>86</v>
      </c>
      <c r="I740" t="str">
        <f t="shared" si="132"/>
        <v>Female</v>
      </c>
      <c r="J740">
        <v>34</v>
      </c>
      <c r="K740">
        <f t="shared" si="133"/>
        <v>34</v>
      </c>
      <c r="L740" t="str">
        <f t="shared" si="134"/>
        <v>Second level</v>
      </c>
      <c r="M740" t="s">
        <v>138</v>
      </c>
      <c r="N740" t="s">
        <v>24</v>
      </c>
      <c r="O740" t="s">
        <v>124</v>
      </c>
      <c r="P740">
        <v>3</v>
      </c>
      <c r="Q740">
        <f t="shared" si="135"/>
        <v>3</v>
      </c>
      <c r="R740" t="s">
        <v>65</v>
      </c>
      <c r="S740" s="8" t="s">
        <v>65</v>
      </c>
      <c r="T740" s="9"/>
      <c r="U740" s="9">
        <f t="shared" si="136"/>
        <v>52.614107883817425</v>
      </c>
      <c r="V740" s="10">
        <v>52.614107883817425</v>
      </c>
      <c r="W740">
        <v>0</v>
      </c>
      <c r="X740" s="11">
        <f t="shared" si="137"/>
        <v>0</v>
      </c>
      <c r="Y740" t="s">
        <v>2103</v>
      </c>
      <c r="Z740" t="str">
        <f t="shared" si="138"/>
        <v>Yes</v>
      </c>
      <c r="AA740" t="str">
        <f t="shared" si="139"/>
        <v>Yes</v>
      </c>
      <c r="AB740" t="str">
        <f t="shared" si="140"/>
        <v>Yes</v>
      </c>
      <c r="AC740" s="12">
        <v>71</v>
      </c>
      <c r="AD740" s="12">
        <f t="shared" si="141"/>
        <v>71</v>
      </c>
    </row>
    <row r="741" spans="1:30" x14ac:dyDescent="0.3">
      <c r="A741" t="s">
        <v>1568</v>
      </c>
      <c r="B741" t="s">
        <v>1569</v>
      </c>
      <c r="C741" t="s">
        <v>2158</v>
      </c>
      <c r="D741" t="s">
        <v>2186</v>
      </c>
      <c r="E741" t="str">
        <f t="shared" si="131"/>
        <v>Megan Brown</v>
      </c>
      <c r="H741" t="s">
        <v>86</v>
      </c>
      <c r="I741" t="str">
        <f t="shared" si="132"/>
        <v>Female</v>
      </c>
      <c r="J741">
        <v>34</v>
      </c>
      <c r="K741">
        <f t="shared" si="133"/>
        <v>34</v>
      </c>
      <c r="L741" t="str">
        <f t="shared" si="134"/>
        <v>Second level</v>
      </c>
      <c r="M741" t="s">
        <v>31</v>
      </c>
      <c r="N741" t="s">
        <v>32</v>
      </c>
      <c r="O741" t="s">
        <v>17</v>
      </c>
      <c r="P741">
        <v>3</v>
      </c>
      <c r="Q741">
        <f t="shared" si="135"/>
        <v>3</v>
      </c>
      <c r="R741" t="s">
        <v>65</v>
      </c>
      <c r="S741" s="8" t="s">
        <v>65</v>
      </c>
      <c r="T741" s="9"/>
      <c r="U741" s="9">
        <f t="shared" si="136"/>
        <v>52.416666666666664</v>
      </c>
      <c r="V741" s="10">
        <v>52.416666666666664</v>
      </c>
      <c r="X741" s="11">
        <f t="shared" si="137"/>
        <v>2.573913043478262</v>
      </c>
      <c r="Y741" t="s">
        <v>2102</v>
      </c>
      <c r="Z741" t="str">
        <f t="shared" si="138"/>
        <v>No</v>
      </c>
      <c r="AA741" t="str">
        <f t="shared" si="139"/>
        <v>No</v>
      </c>
      <c r="AB741" t="str">
        <f t="shared" si="140"/>
        <v>No</v>
      </c>
      <c r="AC741" s="12">
        <v>77</v>
      </c>
      <c r="AD741" s="12">
        <f t="shared" si="141"/>
        <v>77</v>
      </c>
    </row>
    <row r="742" spans="1:30" x14ac:dyDescent="0.3">
      <c r="A742" t="s">
        <v>1570</v>
      </c>
      <c r="B742" t="s">
        <v>1571</v>
      </c>
      <c r="C742" t="s">
        <v>2361</v>
      </c>
      <c r="D742" t="s">
        <v>2186</v>
      </c>
      <c r="E742" t="str">
        <f t="shared" si="131"/>
        <v>Gregory Brown</v>
      </c>
      <c r="H742" t="s">
        <v>107</v>
      </c>
      <c r="I742" t="str">
        <f t="shared" si="132"/>
        <v>Male</v>
      </c>
      <c r="J742">
        <v>57</v>
      </c>
      <c r="K742">
        <f t="shared" si="133"/>
        <v>57</v>
      </c>
      <c r="L742" t="str">
        <f t="shared" si="134"/>
        <v>Fourth level</v>
      </c>
      <c r="M742" t="s">
        <v>15</v>
      </c>
      <c r="N742" t="s">
        <v>16</v>
      </c>
      <c r="O742" t="s">
        <v>39</v>
      </c>
      <c r="P742">
        <v>31</v>
      </c>
      <c r="Q742">
        <f t="shared" si="135"/>
        <v>31</v>
      </c>
      <c r="R742" t="s">
        <v>34</v>
      </c>
      <c r="S742" s="8" t="s">
        <v>34</v>
      </c>
      <c r="T742" s="9">
        <v>50</v>
      </c>
      <c r="U742" s="9">
        <f t="shared" si="136"/>
        <v>50</v>
      </c>
      <c r="V742" s="10">
        <v>50</v>
      </c>
      <c r="W742">
        <v>3</v>
      </c>
      <c r="X742" s="11">
        <f t="shared" si="137"/>
        <v>3</v>
      </c>
      <c r="Y742" t="s">
        <v>2103</v>
      </c>
      <c r="Z742" t="str">
        <f t="shared" si="138"/>
        <v>Yes</v>
      </c>
      <c r="AA742" t="str">
        <f t="shared" si="139"/>
        <v>Yes</v>
      </c>
      <c r="AB742" t="str">
        <f t="shared" si="140"/>
        <v>Yes</v>
      </c>
      <c r="AC742" s="12">
        <v>87</v>
      </c>
      <c r="AD742" s="12">
        <f t="shared" si="141"/>
        <v>87</v>
      </c>
    </row>
    <row r="743" spans="1:30" x14ac:dyDescent="0.3">
      <c r="A743" t="s">
        <v>1572</v>
      </c>
      <c r="B743" t="s">
        <v>1573</v>
      </c>
      <c r="C743" t="s">
        <v>2138</v>
      </c>
      <c r="D743" t="s">
        <v>2316</v>
      </c>
      <c r="E743" t="str">
        <f t="shared" si="131"/>
        <v>Scott Alexander</v>
      </c>
      <c r="H743" t="s">
        <v>69</v>
      </c>
      <c r="I743" t="str">
        <f t="shared" si="132"/>
        <v>Male</v>
      </c>
      <c r="J743">
        <v>46</v>
      </c>
      <c r="K743">
        <f t="shared" si="133"/>
        <v>46</v>
      </c>
      <c r="L743" t="str">
        <f t="shared" si="134"/>
        <v>Third level</v>
      </c>
      <c r="M743" t="s">
        <v>138</v>
      </c>
      <c r="N743" t="s">
        <v>24</v>
      </c>
      <c r="O743" t="s">
        <v>39</v>
      </c>
      <c r="P743">
        <v>5</v>
      </c>
      <c r="Q743">
        <f t="shared" si="135"/>
        <v>5</v>
      </c>
      <c r="R743" t="s">
        <v>50</v>
      </c>
      <c r="S743" s="8" t="s">
        <v>50</v>
      </c>
      <c r="T743" s="9">
        <v>30</v>
      </c>
      <c r="U743" s="9">
        <f t="shared" si="136"/>
        <v>30</v>
      </c>
      <c r="V743" s="10">
        <v>30</v>
      </c>
      <c r="W743">
        <v>2.6</v>
      </c>
      <c r="X743" s="11">
        <f t="shared" si="137"/>
        <v>2.6</v>
      </c>
      <c r="Y743" t="s">
        <v>170</v>
      </c>
      <c r="Z743" t="str">
        <f t="shared" si="138"/>
        <v>no</v>
      </c>
      <c r="AA743" t="str">
        <f t="shared" si="139"/>
        <v>no</v>
      </c>
      <c r="AB743" t="str">
        <f t="shared" si="140"/>
        <v>No</v>
      </c>
      <c r="AC743" s="12">
        <v>76</v>
      </c>
      <c r="AD743" s="12">
        <f t="shared" si="141"/>
        <v>76</v>
      </c>
    </row>
    <row r="744" spans="1:30" x14ac:dyDescent="0.3">
      <c r="A744" t="s">
        <v>1574</v>
      </c>
      <c r="B744" t="s">
        <v>1575</v>
      </c>
      <c r="C744" t="s">
        <v>2118</v>
      </c>
      <c r="D744" t="s">
        <v>2811</v>
      </c>
      <c r="E744" t="str">
        <f t="shared" si="131"/>
        <v>Eric Nguyen</v>
      </c>
      <c r="H744" t="s">
        <v>30</v>
      </c>
      <c r="I744" t="str">
        <f t="shared" si="132"/>
        <v>Male</v>
      </c>
      <c r="J744">
        <v>55</v>
      </c>
      <c r="K744">
        <f t="shared" si="133"/>
        <v>55</v>
      </c>
      <c r="L744" t="str">
        <f t="shared" si="134"/>
        <v>Fourth level</v>
      </c>
      <c r="M744" t="s">
        <v>103</v>
      </c>
      <c r="N744" t="s">
        <v>104</v>
      </c>
      <c r="O744" t="s">
        <v>49</v>
      </c>
      <c r="P744">
        <v>37</v>
      </c>
      <c r="Q744">
        <f t="shared" si="135"/>
        <v>37</v>
      </c>
      <c r="R744" t="s">
        <v>58</v>
      </c>
      <c r="S744" s="8" t="s">
        <v>2093</v>
      </c>
      <c r="T744" s="9">
        <v>75</v>
      </c>
      <c r="U744" s="9">
        <f t="shared" si="136"/>
        <v>75</v>
      </c>
      <c r="V744" s="10">
        <v>75</v>
      </c>
      <c r="W744">
        <v>4.0999999999999996</v>
      </c>
      <c r="X744" s="11">
        <f t="shared" si="137"/>
        <v>4.0999999999999996</v>
      </c>
      <c r="Y744" t="s">
        <v>170</v>
      </c>
      <c r="Z744" t="str">
        <f t="shared" si="138"/>
        <v>no</v>
      </c>
      <c r="AA744" t="str">
        <f t="shared" si="139"/>
        <v>no</v>
      </c>
      <c r="AB744" t="str">
        <f t="shared" si="140"/>
        <v>No</v>
      </c>
      <c r="AC744" s="12"/>
      <c r="AD744" s="12">
        <f t="shared" si="141"/>
        <v>80.00454545454545</v>
      </c>
    </row>
    <row r="745" spans="1:30" x14ac:dyDescent="0.3">
      <c r="A745" t="s">
        <v>1576</v>
      </c>
      <c r="B745" t="s">
        <v>1577</v>
      </c>
      <c r="C745" t="s">
        <v>2770</v>
      </c>
      <c r="D745" t="s">
        <v>2812</v>
      </c>
      <c r="E745" t="str">
        <f t="shared" si="131"/>
        <v>Wendy Boyer</v>
      </c>
      <c r="H745" t="s">
        <v>22</v>
      </c>
      <c r="I745" t="str">
        <f t="shared" si="132"/>
        <v>Female</v>
      </c>
      <c r="J745">
        <v>32</v>
      </c>
      <c r="K745">
        <f t="shared" si="133"/>
        <v>32</v>
      </c>
      <c r="L745" t="str">
        <f t="shared" si="134"/>
        <v>Second level</v>
      </c>
      <c r="M745" t="s">
        <v>23</v>
      </c>
      <c r="N745" t="s">
        <v>24</v>
      </c>
      <c r="O745" t="s">
        <v>99</v>
      </c>
      <c r="P745">
        <v>10</v>
      </c>
      <c r="Q745">
        <f t="shared" si="135"/>
        <v>10</v>
      </c>
      <c r="R745" t="s">
        <v>108</v>
      </c>
      <c r="S745" s="8" t="s">
        <v>2095</v>
      </c>
      <c r="T745" s="9">
        <v>50</v>
      </c>
      <c r="U745" s="9">
        <f t="shared" si="136"/>
        <v>50</v>
      </c>
      <c r="V745" s="10">
        <v>50</v>
      </c>
      <c r="W745">
        <v>1.5</v>
      </c>
      <c r="X745" s="11">
        <f t="shared" si="137"/>
        <v>1.5</v>
      </c>
      <c r="Y745" t="s">
        <v>2102</v>
      </c>
      <c r="Z745" t="str">
        <f t="shared" si="138"/>
        <v>No</v>
      </c>
      <c r="AA745" t="str">
        <f t="shared" si="139"/>
        <v>No</v>
      </c>
      <c r="AB745" t="str">
        <f t="shared" si="140"/>
        <v>No</v>
      </c>
      <c r="AC745" s="12">
        <v>65</v>
      </c>
      <c r="AD745" s="12">
        <f t="shared" si="141"/>
        <v>65</v>
      </c>
    </row>
    <row r="746" spans="1:30" x14ac:dyDescent="0.3">
      <c r="A746" t="s">
        <v>1578</v>
      </c>
      <c r="B746" t="s">
        <v>1579</v>
      </c>
      <c r="C746" t="s">
        <v>2206</v>
      </c>
      <c r="D746" t="s">
        <v>2315</v>
      </c>
      <c r="E746" t="str">
        <f t="shared" si="131"/>
        <v>Mark Clark</v>
      </c>
      <c r="H746" t="s">
        <v>107</v>
      </c>
      <c r="I746" t="str">
        <f t="shared" si="132"/>
        <v>Male</v>
      </c>
      <c r="J746">
        <v>53</v>
      </c>
      <c r="K746">
        <f t="shared" si="133"/>
        <v>53</v>
      </c>
      <c r="L746" t="str">
        <f t="shared" si="134"/>
        <v>Fourth level</v>
      </c>
      <c r="M746" t="s">
        <v>55</v>
      </c>
      <c r="N746" t="s">
        <v>56</v>
      </c>
      <c r="O746" t="s">
        <v>49</v>
      </c>
      <c r="P746">
        <v>28</v>
      </c>
      <c r="Q746">
        <f t="shared" si="135"/>
        <v>28</v>
      </c>
      <c r="R746" t="s">
        <v>108</v>
      </c>
      <c r="S746" s="8" t="s">
        <v>2095</v>
      </c>
      <c r="T746" s="9">
        <v>50</v>
      </c>
      <c r="U746" s="9">
        <f t="shared" si="136"/>
        <v>50</v>
      </c>
      <c r="V746" s="10">
        <v>50</v>
      </c>
      <c r="W746">
        <v>2.9</v>
      </c>
      <c r="X746" s="11">
        <f t="shared" si="137"/>
        <v>2.9</v>
      </c>
      <c r="Y746" t="s">
        <v>77</v>
      </c>
      <c r="Z746" t="str">
        <f t="shared" si="138"/>
        <v>yes</v>
      </c>
      <c r="AA746" t="str">
        <f t="shared" si="139"/>
        <v>yes</v>
      </c>
      <c r="AB746" t="str">
        <f t="shared" si="140"/>
        <v>Yes</v>
      </c>
      <c r="AC746" s="12">
        <v>82</v>
      </c>
      <c r="AD746" s="12">
        <f t="shared" si="141"/>
        <v>82</v>
      </c>
    </row>
    <row r="747" spans="1:30" x14ac:dyDescent="0.3">
      <c r="A747" t="s">
        <v>1580</v>
      </c>
      <c r="B747" t="s">
        <v>1581</v>
      </c>
      <c r="C747" t="s">
        <v>2813</v>
      </c>
      <c r="D747" t="s">
        <v>2814</v>
      </c>
      <c r="E747" t="str">
        <f t="shared" si="131"/>
        <v>Carl Kline</v>
      </c>
      <c r="H747" t="s">
        <v>30</v>
      </c>
      <c r="I747" t="str">
        <f t="shared" si="132"/>
        <v>Male</v>
      </c>
      <c r="J747">
        <v>59</v>
      </c>
      <c r="K747">
        <f t="shared" si="133"/>
        <v>59</v>
      </c>
      <c r="L747" t="str">
        <f t="shared" si="134"/>
        <v>Fourth level</v>
      </c>
      <c r="M747" t="s">
        <v>190</v>
      </c>
      <c r="N747" t="s">
        <v>81</v>
      </c>
      <c r="O747" t="s">
        <v>49</v>
      </c>
      <c r="P747">
        <v>0</v>
      </c>
      <c r="Q747">
        <f t="shared" si="135"/>
        <v>0</v>
      </c>
      <c r="R747" t="s">
        <v>18</v>
      </c>
      <c r="S747" s="8" t="s">
        <v>18</v>
      </c>
      <c r="T747" s="9">
        <v>100</v>
      </c>
      <c r="U747" s="9">
        <f t="shared" si="136"/>
        <v>100</v>
      </c>
      <c r="V747" s="10">
        <v>100</v>
      </c>
      <c r="W747">
        <v>0</v>
      </c>
      <c r="X747" s="11">
        <f t="shared" si="137"/>
        <v>0</v>
      </c>
      <c r="Y747" t="s">
        <v>2103</v>
      </c>
      <c r="Z747" t="str">
        <f t="shared" si="138"/>
        <v>Yes</v>
      </c>
      <c r="AA747" t="str">
        <f t="shared" si="139"/>
        <v>Yes</v>
      </c>
      <c r="AB747" t="str">
        <f t="shared" si="140"/>
        <v>Yes</v>
      </c>
      <c r="AC747" s="12">
        <v>87</v>
      </c>
      <c r="AD747" s="12">
        <f t="shared" si="141"/>
        <v>87</v>
      </c>
    </row>
    <row r="748" spans="1:30" x14ac:dyDescent="0.3">
      <c r="A748" t="s">
        <v>1582</v>
      </c>
      <c r="B748" t="s">
        <v>1583</v>
      </c>
      <c r="C748" t="s">
        <v>2612</v>
      </c>
      <c r="D748" t="s">
        <v>2181</v>
      </c>
      <c r="E748" t="str">
        <f t="shared" si="131"/>
        <v>Linda Williams</v>
      </c>
      <c r="H748" t="s">
        <v>86</v>
      </c>
      <c r="I748" t="str">
        <f t="shared" si="132"/>
        <v>Female</v>
      </c>
      <c r="J748">
        <v>44</v>
      </c>
      <c r="K748">
        <f t="shared" si="133"/>
        <v>44</v>
      </c>
      <c r="L748" t="str">
        <f t="shared" si="134"/>
        <v>Third level</v>
      </c>
      <c r="M748" t="s">
        <v>47</v>
      </c>
      <c r="N748" t="s">
        <v>48</v>
      </c>
      <c r="O748" t="s">
        <v>124</v>
      </c>
      <c r="P748">
        <v>19</v>
      </c>
      <c r="Q748">
        <f t="shared" si="135"/>
        <v>19</v>
      </c>
      <c r="R748" t="s">
        <v>40</v>
      </c>
      <c r="S748" s="8" t="s">
        <v>40</v>
      </c>
      <c r="T748" s="9">
        <v>40</v>
      </c>
      <c r="U748" s="9">
        <f t="shared" si="136"/>
        <v>40</v>
      </c>
      <c r="V748" s="10">
        <v>40</v>
      </c>
      <c r="W748">
        <v>4.9000000000000004</v>
      </c>
      <c r="X748" s="11">
        <f t="shared" si="137"/>
        <v>4.9000000000000004</v>
      </c>
      <c r="Y748" t="s">
        <v>2102</v>
      </c>
      <c r="Z748" t="str">
        <f t="shared" si="138"/>
        <v>No</v>
      </c>
      <c r="AA748" t="str">
        <f t="shared" si="139"/>
        <v>No</v>
      </c>
      <c r="AB748" t="str">
        <f t="shared" si="140"/>
        <v>No</v>
      </c>
      <c r="AC748" s="12">
        <v>100</v>
      </c>
      <c r="AD748" s="12">
        <f t="shared" si="141"/>
        <v>100</v>
      </c>
    </row>
    <row r="749" spans="1:30" x14ac:dyDescent="0.3">
      <c r="A749" t="s">
        <v>1584</v>
      </c>
      <c r="B749" t="s">
        <v>1585</v>
      </c>
      <c r="C749" t="s">
        <v>2184</v>
      </c>
      <c r="D749" t="s">
        <v>2349</v>
      </c>
      <c r="E749" t="str">
        <f t="shared" si="131"/>
        <v>Jason Edwards</v>
      </c>
      <c r="H749" t="s">
        <v>107</v>
      </c>
      <c r="I749" t="str">
        <f t="shared" si="132"/>
        <v>Male</v>
      </c>
      <c r="J749">
        <v>35</v>
      </c>
      <c r="K749">
        <f t="shared" si="133"/>
        <v>35</v>
      </c>
      <c r="L749" t="str">
        <f t="shared" si="134"/>
        <v>Second level</v>
      </c>
      <c r="M749" t="s">
        <v>149</v>
      </c>
      <c r="N749" t="s">
        <v>150</v>
      </c>
      <c r="O749" t="s">
        <v>17</v>
      </c>
      <c r="P749">
        <v>9</v>
      </c>
      <c r="Q749">
        <f t="shared" si="135"/>
        <v>9</v>
      </c>
      <c r="R749" t="s">
        <v>108</v>
      </c>
      <c r="S749" s="8" t="s">
        <v>2095</v>
      </c>
      <c r="T749" s="9">
        <v>50</v>
      </c>
      <c r="U749" s="9">
        <f t="shared" si="136"/>
        <v>50</v>
      </c>
      <c r="V749" s="10">
        <v>50</v>
      </c>
      <c r="W749">
        <v>3</v>
      </c>
      <c r="X749" s="11">
        <f t="shared" si="137"/>
        <v>3</v>
      </c>
      <c r="Y749" t="s">
        <v>2102</v>
      </c>
      <c r="Z749" t="str">
        <f t="shared" si="138"/>
        <v>No</v>
      </c>
      <c r="AA749" t="str">
        <f t="shared" si="139"/>
        <v>No</v>
      </c>
      <c r="AB749" t="str">
        <f t="shared" si="140"/>
        <v>No</v>
      </c>
      <c r="AC749" s="12">
        <v>71</v>
      </c>
      <c r="AD749" s="12">
        <f t="shared" si="141"/>
        <v>71</v>
      </c>
    </row>
    <row r="750" spans="1:30" x14ac:dyDescent="0.3">
      <c r="A750" t="s">
        <v>1586</v>
      </c>
      <c r="B750" t="s">
        <v>1587</v>
      </c>
      <c r="C750" t="s">
        <v>2815</v>
      </c>
      <c r="D750" t="s">
        <v>2816</v>
      </c>
      <c r="E750" t="str">
        <f t="shared" si="131"/>
        <v>Madison Mcintosh</v>
      </c>
      <c r="H750" t="s">
        <v>86</v>
      </c>
      <c r="I750" t="str">
        <f t="shared" si="132"/>
        <v>Female</v>
      </c>
      <c r="J750">
        <v>42</v>
      </c>
      <c r="K750">
        <f t="shared" si="133"/>
        <v>42</v>
      </c>
      <c r="L750" t="str">
        <f t="shared" si="134"/>
        <v>Third level</v>
      </c>
      <c r="M750" t="s">
        <v>186</v>
      </c>
      <c r="N750" t="s">
        <v>187</v>
      </c>
      <c r="O750" t="s">
        <v>124</v>
      </c>
      <c r="P750">
        <v>5</v>
      </c>
      <c r="Q750">
        <f t="shared" si="135"/>
        <v>5</v>
      </c>
      <c r="R750" t="s">
        <v>44</v>
      </c>
      <c r="S750" s="8" t="s">
        <v>44</v>
      </c>
      <c r="T750" s="9">
        <v>30</v>
      </c>
      <c r="U750" s="9">
        <f t="shared" si="136"/>
        <v>30</v>
      </c>
      <c r="V750" s="10">
        <v>30</v>
      </c>
      <c r="W750">
        <v>4.9000000000000004</v>
      </c>
      <c r="X750" s="11">
        <f t="shared" si="137"/>
        <v>4.9000000000000004</v>
      </c>
      <c r="Y750" t="s">
        <v>2103</v>
      </c>
      <c r="Z750" t="str">
        <f t="shared" si="138"/>
        <v>Yes</v>
      </c>
      <c r="AA750" t="str">
        <f t="shared" si="139"/>
        <v>Yes</v>
      </c>
      <c r="AB750" t="str">
        <f t="shared" si="140"/>
        <v>Yes</v>
      </c>
      <c r="AC750" s="12">
        <v>87</v>
      </c>
      <c r="AD750" s="12">
        <f t="shared" si="141"/>
        <v>87</v>
      </c>
    </row>
    <row r="751" spans="1:30" x14ac:dyDescent="0.3">
      <c r="A751" t="s">
        <v>1588</v>
      </c>
      <c r="B751" t="s">
        <v>1589</v>
      </c>
      <c r="C751" t="s">
        <v>2817</v>
      </c>
      <c r="D751" t="s">
        <v>2818</v>
      </c>
      <c r="E751" t="str">
        <f t="shared" si="131"/>
        <v>Desiree Winters</v>
      </c>
      <c r="H751" t="s">
        <v>86</v>
      </c>
      <c r="I751" t="str">
        <f t="shared" si="132"/>
        <v>Female</v>
      </c>
      <c r="J751">
        <v>58</v>
      </c>
      <c r="K751">
        <f t="shared" si="133"/>
        <v>58</v>
      </c>
      <c r="L751" t="str">
        <f t="shared" si="134"/>
        <v>Fourth level</v>
      </c>
      <c r="M751" t="s">
        <v>122</v>
      </c>
      <c r="N751" t="s">
        <v>123</v>
      </c>
      <c r="O751" t="s">
        <v>17</v>
      </c>
      <c r="P751">
        <v>0</v>
      </c>
      <c r="Q751">
        <f t="shared" si="135"/>
        <v>0</v>
      </c>
      <c r="R751" t="s">
        <v>119</v>
      </c>
      <c r="S751" s="8" t="s">
        <v>2096</v>
      </c>
      <c r="T751" s="9">
        <v>30</v>
      </c>
      <c r="U751" s="9">
        <f t="shared" si="136"/>
        <v>30</v>
      </c>
      <c r="V751" s="10">
        <v>30</v>
      </c>
      <c r="W751">
        <v>4.5999999999999996</v>
      </c>
      <c r="X751" s="11">
        <f t="shared" si="137"/>
        <v>4.5999999999999996</v>
      </c>
      <c r="Y751" t="s">
        <v>2102</v>
      </c>
      <c r="Z751" t="str">
        <f t="shared" si="138"/>
        <v>No</v>
      </c>
      <c r="AA751" t="str">
        <f t="shared" si="139"/>
        <v>No</v>
      </c>
      <c r="AB751" t="str">
        <f t="shared" si="140"/>
        <v>No</v>
      </c>
      <c r="AC751" s="12">
        <v>70</v>
      </c>
      <c r="AD751" s="12">
        <f t="shared" si="141"/>
        <v>70</v>
      </c>
    </row>
    <row r="752" spans="1:30" x14ac:dyDescent="0.3">
      <c r="A752" t="s">
        <v>1590</v>
      </c>
      <c r="B752" t="s">
        <v>1591</v>
      </c>
      <c r="C752" t="s">
        <v>2420</v>
      </c>
      <c r="D752" t="s">
        <v>2744</v>
      </c>
      <c r="E752" t="str">
        <f t="shared" si="131"/>
        <v>Ryan Taylor</v>
      </c>
      <c r="H752" t="s">
        <v>69</v>
      </c>
      <c r="I752" t="str">
        <f t="shared" si="132"/>
        <v>Male</v>
      </c>
      <c r="J752">
        <v>41</v>
      </c>
      <c r="K752">
        <f t="shared" si="133"/>
        <v>41</v>
      </c>
      <c r="L752" t="str">
        <f t="shared" si="134"/>
        <v>Third level</v>
      </c>
      <c r="M752" t="s">
        <v>47</v>
      </c>
      <c r="N752" t="s">
        <v>48</v>
      </c>
      <c r="O752" t="s">
        <v>49</v>
      </c>
      <c r="P752">
        <v>21</v>
      </c>
      <c r="Q752">
        <f t="shared" si="135"/>
        <v>21</v>
      </c>
      <c r="R752" t="s">
        <v>26</v>
      </c>
      <c r="S752" s="8" t="s">
        <v>18</v>
      </c>
      <c r="T752" s="9">
        <v>100</v>
      </c>
      <c r="U752" s="9">
        <f t="shared" si="136"/>
        <v>100</v>
      </c>
      <c r="V752" s="10">
        <v>100</v>
      </c>
      <c r="W752">
        <v>2.2000000000000002</v>
      </c>
      <c r="X752" s="11">
        <f t="shared" si="137"/>
        <v>2.2000000000000002</v>
      </c>
      <c r="Y752" t="s">
        <v>2103</v>
      </c>
      <c r="Z752" t="str">
        <f t="shared" si="138"/>
        <v>Yes</v>
      </c>
      <c r="AA752" t="str">
        <f t="shared" si="139"/>
        <v>Yes</v>
      </c>
      <c r="AB752" t="str">
        <f t="shared" si="140"/>
        <v>Yes</v>
      </c>
      <c r="AC752" s="12">
        <v>83</v>
      </c>
      <c r="AD752" s="12">
        <f t="shared" si="141"/>
        <v>83</v>
      </c>
    </row>
    <row r="753" spans="1:30" x14ac:dyDescent="0.3">
      <c r="A753" t="s">
        <v>1592</v>
      </c>
      <c r="B753" t="s">
        <v>1593</v>
      </c>
      <c r="C753" t="s">
        <v>2357</v>
      </c>
      <c r="D753" t="s">
        <v>2138</v>
      </c>
      <c r="E753" t="str">
        <f t="shared" si="131"/>
        <v>Patricia Scott</v>
      </c>
      <c r="H753" t="s">
        <v>43</v>
      </c>
      <c r="I753" t="str">
        <f t="shared" si="132"/>
        <v>Female</v>
      </c>
      <c r="K753">
        <f t="shared" si="133"/>
        <v>40</v>
      </c>
      <c r="L753" t="str">
        <f t="shared" si="134"/>
        <v>Second level</v>
      </c>
      <c r="M753" t="s">
        <v>80</v>
      </c>
      <c r="N753" t="s">
        <v>81</v>
      </c>
      <c r="O753" t="s">
        <v>39</v>
      </c>
      <c r="P753">
        <v>0</v>
      </c>
      <c r="Q753">
        <f t="shared" si="135"/>
        <v>0</v>
      </c>
      <c r="R753" t="s">
        <v>76</v>
      </c>
      <c r="S753" s="8" t="s">
        <v>76</v>
      </c>
      <c r="T753" s="9">
        <v>40</v>
      </c>
      <c r="U753" s="9">
        <f t="shared" si="136"/>
        <v>40</v>
      </c>
      <c r="V753" s="10">
        <v>40</v>
      </c>
      <c r="X753" s="11">
        <f t="shared" si="137"/>
        <v>2.5493150684931525</v>
      </c>
      <c r="Y753" t="s">
        <v>2103</v>
      </c>
      <c r="Z753" t="str">
        <f t="shared" si="138"/>
        <v>Yes</v>
      </c>
      <c r="AA753" t="str">
        <f t="shared" si="139"/>
        <v>Yes</v>
      </c>
      <c r="AB753" t="str">
        <f t="shared" si="140"/>
        <v>Yes</v>
      </c>
      <c r="AC753" s="12">
        <v>74</v>
      </c>
      <c r="AD753" s="12">
        <f t="shared" si="141"/>
        <v>74</v>
      </c>
    </row>
    <row r="754" spans="1:30" x14ac:dyDescent="0.3">
      <c r="A754" t="s">
        <v>1594</v>
      </c>
      <c r="B754" t="s">
        <v>1595</v>
      </c>
      <c r="C754" t="s">
        <v>2819</v>
      </c>
      <c r="D754" t="s">
        <v>2820</v>
      </c>
      <c r="E754" t="str">
        <f t="shared" si="131"/>
        <v>Erin Jimenez</v>
      </c>
      <c r="H754" t="s">
        <v>22</v>
      </c>
      <c r="I754" t="str">
        <f t="shared" si="132"/>
        <v>Female</v>
      </c>
      <c r="J754">
        <v>23</v>
      </c>
      <c r="K754">
        <f t="shared" si="133"/>
        <v>23</v>
      </c>
      <c r="L754" t="str">
        <f t="shared" si="134"/>
        <v>First level</v>
      </c>
      <c r="M754" t="s">
        <v>138</v>
      </c>
      <c r="N754" t="s">
        <v>24</v>
      </c>
      <c r="O754" t="s">
        <v>17</v>
      </c>
      <c r="P754">
        <v>0</v>
      </c>
      <c r="Q754">
        <f t="shared" si="135"/>
        <v>0</v>
      </c>
      <c r="R754" t="s">
        <v>44</v>
      </c>
      <c r="S754" s="8" t="s">
        <v>44</v>
      </c>
      <c r="T754" s="9">
        <v>30</v>
      </c>
      <c r="U754" s="9">
        <f t="shared" si="136"/>
        <v>30</v>
      </c>
      <c r="V754" s="10">
        <v>30</v>
      </c>
      <c r="W754">
        <v>1.1000000000000001</v>
      </c>
      <c r="X754" s="11">
        <f t="shared" si="137"/>
        <v>1.1000000000000001</v>
      </c>
      <c r="Y754" t="s">
        <v>77</v>
      </c>
      <c r="Z754" t="str">
        <f t="shared" si="138"/>
        <v>yes</v>
      </c>
      <c r="AA754" t="str">
        <f t="shared" si="139"/>
        <v>yes</v>
      </c>
      <c r="AB754" t="str">
        <f t="shared" si="140"/>
        <v>Yes</v>
      </c>
      <c r="AC754" s="12">
        <v>86</v>
      </c>
      <c r="AD754" s="12">
        <f t="shared" si="141"/>
        <v>86</v>
      </c>
    </row>
    <row r="755" spans="1:30" x14ac:dyDescent="0.3">
      <c r="A755" t="s">
        <v>1596</v>
      </c>
      <c r="B755" t="s">
        <v>1597</v>
      </c>
      <c r="C755" t="s">
        <v>2368</v>
      </c>
      <c r="D755" t="s">
        <v>2821</v>
      </c>
      <c r="E755" t="str">
        <f t="shared" si="131"/>
        <v>Anthony Krause</v>
      </c>
      <c r="H755" t="s">
        <v>107</v>
      </c>
      <c r="I755" t="str">
        <f t="shared" si="132"/>
        <v>Male</v>
      </c>
      <c r="J755">
        <v>51</v>
      </c>
      <c r="K755">
        <f t="shared" si="133"/>
        <v>51</v>
      </c>
      <c r="L755" t="str">
        <f t="shared" si="134"/>
        <v>Fourth level</v>
      </c>
      <c r="M755" t="s">
        <v>186</v>
      </c>
      <c r="N755" t="s">
        <v>187</v>
      </c>
      <c r="O755" t="s">
        <v>17</v>
      </c>
      <c r="P755">
        <v>17</v>
      </c>
      <c r="Q755">
        <f t="shared" si="135"/>
        <v>17</v>
      </c>
      <c r="R755" t="s">
        <v>76</v>
      </c>
      <c r="S755" s="8" t="s">
        <v>76</v>
      </c>
      <c r="T755" s="9">
        <v>40</v>
      </c>
      <c r="U755" s="9">
        <f t="shared" si="136"/>
        <v>40</v>
      </c>
      <c r="V755" s="10">
        <v>40</v>
      </c>
      <c r="W755">
        <v>4.5</v>
      </c>
      <c r="X755" s="11">
        <f t="shared" si="137"/>
        <v>4.5</v>
      </c>
      <c r="Y755" t="s">
        <v>2103</v>
      </c>
      <c r="Z755" t="str">
        <f t="shared" si="138"/>
        <v>Yes</v>
      </c>
      <c r="AA755" t="str">
        <f t="shared" si="139"/>
        <v>Yes</v>
      </c>
      <c r="AB755" t="str">
        <f t="shared" si="140"/>
        <v>Yes</v>
      </c>
      <c r="AC755" s="12">
        <v>72</v>
      </c>
      <c r="AD755" s="12">
        <f t="shared" si="141"/>
        <v>72</v>
      </c>
    </row>
    <row r="756" spans="1:30" x14ac:dyDescent="0.3">
      <c r="A756" t="s">
        <v>1598</v>
      </c>
      <c r="B756" t="s">
        <v>1599</v>
      </c>
      <c r="C756" t="s">
        <v>2601</v>
      </c>
      <c r="D756" t="s">
        <v>2531</v>
      </c>
      <c r="E756" t="str">
        <f t="shared" si="131"/>
        <v>Diane Dean</v>
      </c>
      <c r="H756" t="s">
        <v>22</v>
      </c>
      <c r="I756" t="str">
        <f t="shared" si="132"/>
        <v>Female</v>
      </c>
      <c r="J756">
        <v>42</v>
      </c>
      <c r="K756">
        <f t="shared" si="133"/>
        <v>42</v>
      </c>
      <c r="L756" t="str">
        <f t="shared" si="134"/>
        <v>Third level</v>
      </c>
      <c r="M756" t="s">
        <v>145</v>
      </c>
      <c r="N756" t="s">
        <v>146</v>
      </c>
      <c r="O756" t="s">
        <v>49</v>
      </c>
      <c r="P756">
        <v>21</v>
      </c>
      <c r="Q756">
        <f t="shared" si="135"/>
        <v>21</v>
      </c>
      <c r="R756" t="s">
        <v>65</v>
      </c>
      <c r="S756" s="8" t="s">
        <v>65</v>
      </c>
      <c r="T756" s="9"/>
      <c r="U756" s="9">
        <f t="shared" si="136"/>
        <v>52.444933920704848</v>
      </c>
      <c r="V756" s="10">
        <v>52.444933920704848</v>
      </c>
      <c r="W756">
        <v>2.5</v>
      </c>
      <c r="X756" s="11">
        <f t="shared" si="137"/>
        <v>2.5</v>
      </c>
      <c r="Y756" t="s">
        <v>2103</v>
      </c>
      <c r="Z756" t="str">
        <f t="shared" si="138"/>
        <v>Yes</v>
      </c>
      <c r="AA756" t="str">
        <f t="shared" si="139"/>
        <v>Yes</v>
      </c>
      <c r="AB756" t="str">
        <f t="shared" si="140"/>
        <v>Yes</v>
      </c>
      <c r="AC756" s="12">
        <v>73</v>
      </c>
      <c r="AD756" s="12">
        <f t="shared" si="141"/>
        <v>73</v>
      </c>
    </row>
    <row r="757" spans="1:30" x14ac:dyDescent="0.3">
      <c r="A757" t="s">
        <v>1600</v>
      </c>
      <c r="B757" t="s">
        <v>1601</v>
      </c>
      <c r="C757" t="s">
        <v>2822</v>
      </c>
      <c r="D757" t="s">
        <v>2769</v>
      </c>
      <c r="E757" t="str">
        <f t="shared" si="131"/>
        <v>Stuart Mckinney</v>
      </c>
      <c r="H757" t="s">
        <v>69</v>
      </c>
      <c r="I757" t="str">
        <f t="shared" si="132"/>
        <v>Male</v>
      </c>
      <c r="J757">
        <v>26</v>
      </c>
      <c r="K757">
        <f t="shared" si="133"/>
        <v>26</v>
      </c>
      <c r="L757" t="str">
        <f t="shared" si="134"/>
        <v>First level</v>
      </c>
      <c r="M757" t="s">
        <v>95</v>
      </c>
      <c r="N757" t="s">
        <v>96</v>
      </c>
      <c r="O757" t="s">
        <v>57</v>
      </c>
      <c r="P757">
        <v>7</v>
      </c>
      <c r="Q757">
        <f t="shared" si="135"/>
        <v>7</v>
      </c>
      <c r="R757" t="s">
        <v>58</v>
      </c>
      <c r="S757" s="8" t="s">
        <v>2093</v>
      </c>
      <c r="T757" s="9">
        <v>75</v>
      </c>
      <c r="U757" s="9">
        <f t="shared" si="136"/>
        <v>75</v>
      </c>
      <c r="V757" s="10">
        <v>75</v>
      </c>
      <c r="W757">
        <v>2.9</v>
      </c>
      <c r="X757" s="11">
        <f t="shared" si="137"/>
        <v>2.9</v>
      </c>
      <c r="Y757" t="s">
        <v>2102</v>
      </c>
      <c r="Z757" t="str">
        <f t="shared" si="138"/>
        <v>No</v>
      </c>
      <c r="AA757" t="str">
        <f t="shared" si="139"/>
        <v>No</v>
      </c>
      <c r="AB757" t="str">
        <f t="shared" si="140"/>
        <v>No</v>
      </c>
      <c r="AC757" s="12">
        <v>78</v>
      </c>
      <c r="AD757" s="12">
        <f t="shared" si="141"/>
        <v>78</v>
      </c>
    </row>
    <row r="758" spans="1:30" x14ac:dyDescent="0.3">
      <c r="A758" t="s">
        <v>1602</v>
      </c>
      <c r="B758" t="s">
        <v>1603</v>
      </c>
      <c r="C758" t="s">
        <v>2823</v>
      </c>
      <c r="D758" t="s">
        <v>2824</v>
      </c>
      <c r="E758" t="str">
        <f t="shared" si="131"/>
        <v>Kellie Le</v>
      </c>
      <c r="H758" t="s">
        <v>86</v>
      </c>
      <c r="I758" t="str">
        <f t="shared" si="132"/>
        <v>Female</v>
      </c>
      <c r="J758">
        <v>49</v>
      </c>
      <c r="K758">
        <f t="shared" si="133"/>
        <v>49</v>
      </c>
      <c r="L758" t="str">
        <f t="shared" si="134"/>
        <v>Third level</v>
      </c>
      <c r="M758" t="s">
        <v>55</v>
      </c>
      <c r="N758" t="s">
        <v>56</v>
      </c>
      <c r="O758" t="s">
        <v>49</v>
      </c>
      <c r="P758">
        <v>22</v>
      </c>
      <c r="Q758">
        <f t="shared" si="135"/>
        <v>22</v>
      </c>
      <c r="R758" t="s">
        <v>92</v>
      </c>
      <c r="S758" s="8" t="s">
        <v>92</v>
      </c>
      <c r="T758" s="9">
        <v>75</v>
      </c>
      <c r="U758" s="9">
        <f t="shared" si="136"/>
        <v>75</v>
      </c>
      <c r="V758" s="10">
        <v>75</v>
      </c>
      <c r="W758">
        <v>0</v>
      </c>
      <c r="X758" s="11">
        <f t="shared" si="137"/>
        <v>0</v>
      </c>
      <c r="Y758" t="s">
        <v>2103</v>
      </c>
      <c r="Z758" t="str">
        <f t="shared" si="138"/>
        <v>Yes</v>
      </c>
      <c r="AA758" t="str">
        <f t="shared" si="139"/>
        <v>Yes</v>
      </c>
      <c r="AB758" t="str">
        <f t="shared" si="140"/>
        <v>Yes</v>
      </c>
      <c r="AC758" s="12"/>
      <c r="AD758" s="12">
        <f t="shared" si="141"/>
        <v>80.062801932367151</v>
      </c>
    </row>
    <row r="759" spans="1:30" x14ac:dyDescent="0.3">
      <c r="A759" t="s">
        <v>1604</v>
      </c>
      <c r="B759" t="s">
        <v>1605</v>
      </c>
      <c r="C759" t="s">
        <v>2493</v>
      </c>
      <c r="D759" t="s">
        <v>2386</v>
      </c>
      <c r="E759" t="str">
        <f t="shared" si="131"/>
        <v>Lauren Henry</v>
      </c>
      <c r="H759" t="s">
        <v>43</v>
      </c>
      <c r="I759" t="str">
        <f t="shared" si="132"/>
        <v>Female</v>
      </c>
      <c r="J759">
        <v>37</v>
      </c>
      <c r="K759">
        <f t="shared" si="133"/>
        <v>37</v>
      </c>
      <c r="L759" t="str">
        <f t="shared" si="134"/>
        <v>Second level</v>
      </c>
      <c r="M759" t="s">
        <v>15</v>
      </c>
      <c r="N759" t="s">
        <v>16</v>
      </c>
      <c r="O759" t="s">
        <v>99</v>
      </c>
      <c r="Q759">
        <f t="shared" si="135"/>
        <v>9</v>
      </c>
      <c r="R759" t="s">
        <v>58</v>
      </c>
      <c r="S759" s="8" t="s">
        <v>2093</v>
      </c>
      <c r="T759" s="9">
        <v>75</v>
      </c>
      <c r="U759" s="9">
        <f t="shared" si="136"/>
        <v>75</v>
      </c>
      <c r="V759" s="10">
        <v>75</v>
      </c>
      <c r="W759">
        <v>3.5</v>
      </c>
      <c r="X759" s="11">
        <f t="shared" si="137"/>
        <v>3.5</v>
      </c>
      <c r="Y759" t="s">
        <v>2102</v>
      </c>
      <c r="Z759" t="str">
        <f t="shared" si="138"/>
        <v>No</v>
      </c>
      <c r="AA759" t="str">
        <f t="shared" si="139"/>
        <v>No</v>
      </c>
      <c r="AB759" t="str">
        <f t="shared" si="140"/>
        <v>No</v>
      </c>
      <c r="AC759" s="12">
        <v>75</v>
      </c>
      <c r="AD759" s="12">
        <f t="shared" si="141"/>
        <v>75</v>
      </c>
    </row>
    <row r="760" spans="1:30" x14ac:dyDescent="0.3">
      <c r="A760" t="s">
        <v>1606</v>
      </c>
      <c r="B760" t="s">
        <v>1607</v>
      </c>
      <c r="C760" t="s">
        <v>2382</v>
      </c>
      <c r="D760" t="s">
        <v>2825</v>
      </c>
      <c r="E760" t="str">
        <f t="shared" si="131"/>
        <v>Brandon Fox</v>
      </c>
      <c r="H760" t="s">
        <v>107</v>
      </c>
      <c r="I760" t="str">
        <f t="shared" si="132"/>
        <v>Male</v>
      </c>
      <c r="J760">
        <v>31</v>
      </c>
      <c r="K760">
        <f t="shared" si="133"/>
        <v>31</v>
      </c>
      <c r="L760" t="str">
        <f t="shared" si="134"/>
        <v>Second level</v>
      </c>
      <c r="M760" t="s">
        <v>23</v>
      </c>
      <c r="N760" t="s">
        <v>24</v>
      </c>
      <c r="O760" t="s">
        <v>49</v>
      </c>
      <c r="P760">
        <v>1</v>
      </c>
      <c r="Q760">
        <f t="shared" si="135"/>
        <v>1</v>
      </c>
      <c r="R760" t="s">
        <v>76</v>
      </c>
      <c r="S760" s="8" t="s">
        <v>76</v>
      </c>
      <c r="T760" s="9">
        <v>40</v>
      </c>
      <c r="U760" s="9">
        <f t="shared" si="136"/>
        <v>40</v>
      </c>
      <c r="V760" s="10">
        <v>40</v>
      </c>
      <c r="W760">
        <v>4.5</v>
      </c>
      <c r="X760" s="11">
        <f t="shared" si="137"/>
        <v>4.5</v>
      </c>
      <c r="Y760" t="s">
        <v>2102</v>
      </c>
      <c r="Z760" t="str">
        <f t="shared" si="138"/>
        <v>No</v>
      </c>
      <c r="AA760" t="str">
        <f t="shared" si="139"/>
        <v>No</v>
      </c>
      <c r="AB760" t="str">
        <f t="shared" si="140"/>
        <v>No</v>
      </c>
      <c r="AC760" s="12">
        <v>96</v>
      </c>
      <c r="AD760" s="12">
        <f t="shared" si="141"/>
        <v>96</v>
      </c>
    </row>
    <row r="761" spans="1:30" x14ac:dyDescent="0.3">
      <c r="A761" t="s">
        <v>1608</v>
      </c>
      <c r="B761" t="s">
        <v>1609</v>
      </c>
      <c r="C761" t="s">
        <v>2428</v>
      </c>
      <c r="D761" t="s">
        <v>2161</v>
      </c>
      <c r="E761" t="str">
        <f t="shared" si="131"/>
        <v>Richard Smith</v>
      </c>
      <c r="H761" t="s">
        <v>69</v>
      </c>
      <c r="I761" t="str">
        <f t="shared" si="132"/>
        <v>Male</v>
      </c>
      <c r="J761">
        <v>51</v>
      </c>
      <c r="K761">
        <f t="shared" si="133"/>
        <v>51</v>
      </c>
      <c r="L761" t="str">
        <f t="shared" si="134"/>
        <v>Fourth level</v>
      </c>
      <c r="M761" t="s">
        <v>122</v>
      </c>
      <c r="N761" t="s">
        <v>123</v>
      </c>
      <c r="O761" t="s">
        <v>25</v>
      </c>
      <c r="P761">
        <v>5</v>
      </c>
      <c r="Q761">
        <f t="shared" si="135"/>
        <v>5</v>
      </c>
      <c r="R761" t="s">
        <v>61</v>
      </c>
      <c r="S761" s="8" t="s">
        <v>2094</v>
      </c>
      <c r="T761" s="9">
        <v>40</v>
      </c>
      <c r="U761" s="9">
        <f t="shared" si="136"/>
        <v>40</v>
      </c>
      <c r="V761" s="10">
        <v>40</v>
      </c>
      <c r="W761">
        <v>1.7</v>
      </c>
      <c r="X761" s="11">
        <f t="shared" si="137"/>
        <v>1.7</v>
      </c>
      <c r="Y761" t="s">
        <v>77</v>
      </c>
      <c r="Z761" t="str">
        <f t="shared" si="138"/>
        <v>yes</v>
      </c>
      <c r="AA761" t="str">
        <f t="shared" si="139"/>
        <v>yes</v>
      </c>
      <c r="AB761" t="str">
        <f t="shared" si="140"/>
        <v>Yes</v>
      </c>
      <c r="AC761" s="12">
        <v>61</v>
      </c>
      <c r="AD761" s="12">
        <f t="shared" si="141"/>
        <v>61</v>
      </c>
    </row>
    <row r="762" spans="1:30" x14ac:dyDescent="0.3">
      <c r="A762" t="s">
        <v>1610</v>
      </c>
      <c r="B762" t="s">
        <v>1611</v>
      </c>
      <c r="C762" t="s">
        <v>2366</v>
      </c>
      <c r="D762" t="s">
        <v>2176</v>
      </c>
      <c r="E762" t="str">
        <f t="shared" si="131"/>
        <v>John White</v>
      </c>
      <c r="H762" t="s">
        <v>107</v>
      </c>
      <c r="I762" t="str">
        <f t="shared" si="132"/>
        <v>Male</v>
      </c>
      <c r="J762">
        <v>60</v>
      </c>
      <c r="K762">
        <f t="shared" si="133"/>
        <v>60</v>
      </c>
      <c r="L762" t="str">
        <f t="shared" si="134"/>
        <v>Fourth level</v>
      </c>
      <c r="M762" t="s">
        <v>186</v>
      </c>
      <c r="N762" t="s">
        <v>187</v>
      </c>
      <c r="O762" t="s">
        <v>99</v>
      </c>
      <c r="P762">
        <v>40</v>
      </c>
      <c r="Q762">
        <f t="shared" si="135"/>
        <v>40</v>
      </c>
      <c r="R762" t="s">
        <v>34</v>
      </c>
      <c r="S762" s="8" t="s">
        <v>34</v>
      </c>
      <c r="T762" s="9">
        <v>50</v>
      </c>
      <c r="U762" s="9">
        <f t="shared" si="136"/>
        <v>50</v>
      </c>
      <c r="V762" s="10">
        <v>50</v>
      </c>
      <c r="W762">
        <v>4.5999999999999996</v>
      </c>
      <c r="X762" s="11">
        <f t="shared" si="137"/>
        <v>4.5999999999999996</v>
      </c>
      <c r="Y762" t="s">
        <v>2103</v>
      </c>
      <c r="Z762" t="str">
        <f t="shared" si="138"/>
        <v>Yes</v>
      </c>
      <c r="AA762" t="str">
        <f t="shared" si="139"/>
        <v>Yes</v>
      </c>
      <c r="AB762" t="str">
        <f t="shared" si="140"/>
        <v>Yes</v>
      </c>
      <c r="AC762" s="12">
        <v>100</v>
      </c>
      <c r="AD762" s="12">
        <f t="shared" si="141"/>
        <v>100</v>
      </c>
    </row>
    <row r="763" spans="1:30" x14ac:dyDescent="0.3">
      <c r="A763" t="s">
        <v>1612</v>
      </c>
      <c r="B763" t="s">
        <v>1613</v>
      </c>
      <c r="C763" t="s">
        <v>2826</v>
      </c>
      <c r="D763" t="s">
        <v>2202</v>
      </c>
      <c r="E763" t="str">
        <f t="shared" si="131"/>
        <v>Gilbert Mcintyre</v>
      </c>
      <c r="H763" t="s">
        <v>107</v>
      </c>
      <c r="I763" t="str">
        <f t="shared" si="132"/>
        <v>Male</v>
      </c>
      <c r="J763">
        <v>51</v>
      </c>
      <c r="K763">
        <f t="shared" si="133"/>
        <v>51</v>
      </c>
      <c r="L763" t="str">
        <f t="shared" si="134"/>
        <v>Fourth level</v>
      </c>
      <c r="M763" t="s">
        <v>138</v>
      </c>
      <c r="N763" t="s">
        <v>24</v>
      </c>
      <c r="O763" t="s">
        <v>17</v>
      </c>
      <c r="P763">
        <v>19</v>
      </c>
      <c r="Q763">
        <f t="shared" si="135"/>
        <v>19</v>
      </c>
      <c r="R763" t="s">
        <v>34</v>
      </c>
      <c r="S763" s="8" t="s">
        <v>34</v>
      </c>
      <c r="T763" s="9">
        <v>50</v>
      </c>
      <c r="U763" s="9">
        <f t="shared" si="136"/>
        <v>50</v>
      </c>
      <c r="V763" s="10">
        <v>50</v>
      </c>
      <c r="X763" s="11">
        <f t="shared" si="137"/>
        <v>2.5380952380952393</v>
      </c>
      <c r="Y763" t="s">
        <v>2103</v>
      </c>
      <c r="Z763" t="str">
        <f t="shared" si="138"/>
        <v>Yes</v>
      </c>
      <c r="AA763" t="str">
        <f t="shared" si="139"/>
        <v>Yes</v>
      </c>
      <c r="AB763" t="str">
        <f t="shared" si="140"/>
        <v>Yes</v>
      </c>
      <c r="AC763" s="12">
        <v>82</v>
      </c>
      <c r="AD763" s="12">
        <f t="shared" si="141"/>
        <v>82</v>
      </c>
    </row>
    <row r="764" spans="1:30" x14ac:dyDescent="0.3">
      <c r="A764" t="s">
        <v>1614</v>
      </c>
      <c r="B764" t="s">
        <v>1615</v>
      </c>
      <c r="C764" t="s">
        <v>2308</v>
      </c>
      <c r="D764" t="s">
        <v>2827</v>
      </c>
      <c r="E764" t="str">
        <f t="shared" si="131"/>
        <v>Christopher Sparks</v>
      </c>
      <c r="H764" t="s">
        <v>107</v>
      </c>
      <c r="I764" t="str">
        <f t="shared" si="132"/>
        <v>Male</v>
      </c>
      <c r="J764">
        <v>37</v>
      </c>
      <c r="K764">
        <f t="shared" si="133"/>
        <v>37</v>
      </c>
      <c r="L764" t="str">
        <f t="shared" si="134"/>
        <v>Second level</v>
      </c>
      <c r="M764" t="s">
        <v>31</v>
      </c>
      <c r="N764" t="s">
        <v>32</v>
      </c>
      <c r="O764" t="s">
        <v>33</v>
      </c>
      <c r="P764">
        <v>12</v>
      </c>
      <c r="Q764">
        <f t="shared" si="135"/>
        <v>12</v>
      </c>
      <c r="R764" t="s">
        <v>65</v>
      </c>
      <c r="S764" s="8" t="s">
        <v>65</v>
      </c>
      <c r="T764" s="9"/>
      <c r="U764" s="9">
        <f t="shared" si="136"/>
        <v>52.31818181818182</v>
      </c>
      <c r="V764" s="10">
        <v>52.31818181818182</v>
      </c>
      <c r="W764">
        <v>4.9000000000000004</v>
      </c>
      <c r="X764" s="11">
        <f t="shared" si="137"/>
        <v>4.9000000000000004</v>
      </c>
      <c r="Y764" t="s">
        <v>2103</v>
      </c>
      <c r="Z764" t="str">
        <f t="shared" si="138"/>
        <v>Yes</v>
      </c>
      <c r="AA764" t="str">
        <f t="shared" si="139"/>
        <v>Yes</v>
      </c>
      <c r="AB764" t="str">
        <f t="shared" si="140"/>
        <v>Yes</v>
      </c>
      <c r="AC764" s="12">
        <v>80</v>
      </c>
      <c r="AD764" s="12">
        <f t="shared" si="141"/>
        <v>80</v>
      </c>
    </row>
    <row r="765" spans="1:30" x14ac:dyDescent="0.3">
      <c r="A765" t="s">
        <v>1616</v>
      </c>
      <c r="B765" t="s">
        <v>1617</v>
      </c>
      <c r="C765" t="s">
        <v>2539</v>
      </c>
      <c r="D765" t="s">
        <v>2582</v>
      </c>
      <c r="E765" t="str">
        <f t="shared" si="131"/>
        <v>Aaron Hicks</v>
      </c>
      <c r="H765" t="s">
        <v>30</v>
      </c>
      <c r="I765" t="str">
        <f t="shared" si="132"/>
        <v>Male</v>
      </c>
      <c r="J765">
        <v>52</v>
      </c>
      <c r="K765">
        <f t="shared" si="133"/>
        <v>52</v>
      </c>
      <c r="L765" t="str">
        <f t="shared" si="134"/>
        <v>Fourth level</v>
      </c>
      <c r="M765" t="s">
        <v>103</v>
      </c>
      <c r="N765" t="s">
        <v>104</v>
      </c>
      <c r="O765" t="s">
        <v>17</v>
      </c>
      <c r="P765">
        <v>7</v>
      </c>
      <c r="Q765">
        <f t="shared" si="135"/>
        <v>7</v>
      </c>
      <c r="R765" t="s">
        <v>76</v>
      </c>
      <c r="S765" s="8" t="s">
        <v>76</v>
      </c>
      <c r="T765" s="9">
        <v>40</v>
      </c>
      <c r="U765" s="9">
        <f t="shared" si="136"/>
        <v>40</v>
      </c>
      <c r="V765" s="10">
        <v>40</v>
      </c>
      <c r="W765">
        <v>2.2000000000000002</v>
      </c>
      <c r="X765" s="11">
        <f t="shared" si="137"/>
        <v>2.2000000000000002</v>
      </c>
      <c r="Y765" t="s">
        <v>65</v>
      </c>
      <c r="AA765" t="str">
        <f t="shared" si="139"/>
        <v>Unknown</v>
      </c>
      <c r="AB765" t="str">
        <f t="shared" si="140"/>
        <v>Unknown</v>
      </c>
      <c r="AC765" s="12">
        <v>96</v>
      </c>
      <c r="AD765" s="12">
        <f t="shared" si="141"/>
        <v>96</v>
      </c>
    </row>
    <row r="766" spans="1:30" x14ac:dyDescent="0.3">
      <c r="A766" t="s">
        <v>1618</v>
      </c>
      <c r="B766" t="s">
        <v>1619</v>
      </c>
      <c r="C766" t="s">
        <v>2268</v>
      </c>
      <c r="D766" t="s">
        <v>2748</v>
      </c>
      <c r="E766" t="str">
        <f t="shared" si="131"/>
        <v>Jose Patterson</v>
      </c>
      <c r="H766" t="s">
        <v>107</v>
      </c>
      <c r="I766" t="str">
        <f t="shared" si="132"/>
        <v>Male</v>
      </c>
      <c r="J766">
        <v>27</v>
      </c>
      <c r="K766">
        <f t="shared" si="133"/>
        <v>27</v>
      </c>
      <c r="L766" t="str">
        <f t="shared" si="134"/>
        <v>First level</v>
      </c>
      <c r="M766" t="s">
        <v>55</v>
      </c>
      <c r="N766" t="s">
        <v>56</v>
      </c>
      <c r="O766" t="s">
        <v>17</v>
      </c>
      <c r="P766">
        <v>4</v>
      </c>
      <c r="Q766">
        <f t="shared" si="135"/>
        <v>4</v>
      </c>
      <c r="R766" t="s">
        <v>151</v>
      </c>
      <c r="S766" s="8" t="s">
        <v>151</v>
      </c>
      <c r="T766" s="9">
        <v>20</v>
      </c>
      <c r="U766" s="9">
        <f t="shared" si="136"/>
        <v>20</v>
      </c>
      <c r="V766" s="10">
        <v>20</v>
      </c>
      <c r="X766" s="11">
        <f t="shared" si="137"/>
        <v>2.5283653846153857</v>
      </c>
      <c r="Y766" t="s">
        <v>2102</v>
      </c>
      <c r="Z766" t="str">
        <f t="shared" si="138"/>
        <v>No</v>
      </c>
      <c r="AA766" t="str">
        <f t="shared" si="139"/>
        <v>No</v>
      </c>
      <c r="AB766" t="str">
        <f t="shared" si="140"/>
        <v>No</v>
      </c>
      <c r="AC766" s="12">
        <v>63</v>
      </c>
      <c r="AD766" s="12">
        <f t="shared" si="141"/>
        <v>63</v>
      </c>
    </row>
    <row r="767" spans="1:30" x14ac:dyDescent="0.3">
      <c r="A767" t="s">
        <v>1620</v>
      </c>
      <c r="B767" t="s">
        <v>1621</v>
      </c>
      <c r="C767" t="s">
        <v>2828</v>
      </c>
      <c r="D767" t="s">
        <v>2477</v>
      </c>
      <c r="E767" t="str">
        <f t="shared" si="131"/>
        <v>Bryan Long</v>
      </c>
      <c r="H767" t="s">
        <v>107</v>
      </c>
      <c r="I767" t="str">
        <f t="shared" si="132"/>
        <v>Male</v>
      </c>
      <c r="J767">
        <v>48</v>
      </c>
      <c r="K767">
        <f t="shared" si="133"/>
        <v>48</v>
      </c>
      <c r="L767" t="str">
        <f t="shared" si="134"/>
        <v>Third level</v>
      </c>
      <c r="M767" t="s">
        <v>23</v>
      </c>
      <c r="N767" t="s">
        <v>24</v>
      </c>
      <c r="O767" t="s">
        <v>33</v>
      </c>
      <c r="P767">
        <v>24</v>
      </c>
      <c r="Q767">
        <f t="shared" si="135"/>
        <v>24</v>
      </c>
      <c r="R767" t="s">
        <v>40</v>
      </c>
      <c r="S767" s="8" t="s">
        <v>40</v>
      </c>
      <c r="T767" s="9">
        <v>40</v>
      </c>
      <c r="U767" s="9">
        <f t="shared" si="136"/>
        <v>40</v>
      </c>
      <c r="V767" s="10">
        <v>40</v>
      </c>
      <c r="W767">
        <v>2.2000000000000002</v>
      </c>
      <c r="X767" s="11">
        <f t="shared" si="137"/>
        <v>2.2000000000000002</v>
      </c>
      <c r="Y767" t="s">
        <v>2102</v>
      </c>
      <c r="Z767" t="str">
        <f t="shared" si="138"/>
        <v>No</v>
      </c>
      <c r="AA767" t="str">
        <f t="shared" si="139"/>
        <v>No</v>
      </c>
      <c r="AB767" t="str">
        <f t="shared" si="140"/>
        <v>No</v>
      </c>
      <c r="AC767" s="12">
        <v>67</v>
      </c>
      <c r="AD767" s="12">
        <f t="shared" si="141"/>
        <v>67</v>
      </c>
    </row>
    <row r="768" spans="1:30" x14ac:dyDescent="0.3">
      <c r="A768" t="s">
        <v>1622</v>
      </c>
      <c r="B768" t="s">
        <v>1623</v>
      </c>
      <c r="C768" t="s">
        <v>2532</v>
      </c>
      <c r="D768" t="s">
        <v>2829</v>
      </c>
      <c r="E768" t="str">
        <f t="shared" si="131"/>
        <v>Tammy Gomez</v>
      </c>
      <c r="H768" t="s">
        <v>86</v>
      </c>
      <c r="I768" t="str">
        <f t="shared" si="132"/>
        <v>Female</v>
      </c>
      <c r="J768">
        <v>22</v>
      </c>
      <c r="K768">
        <f t="shared" si="133"/>
        <v>22</v>
      </c>
      <c r="L768" t="str">
        <f t="shared" si="134"/>
        <v>First level</v>
      </c>
      <c r="M768" t="s">
        <v>95</v>
      </c>
      <c r="N768" t="s">
        <v>96</v>
      </c>
      <c r="O768" t="s">
        <v>57</v>
      </c>
      <c r="P768">
        <v>1</v>
      </c>
      <c r="Q768">
        <f t="shared" si="135"/>
        <v>1</v>
      </c>
      <c r="R768" t="s">
        <v>119</v>
      </c>
      <c r="S768" s="8" t="s">
        <v>2096</v>
      </c>
      <c r="T768" s="9">
        <v>30</v>
      </c>
      <c r="U768" s="9">
        <f t="shared" si="136"/>
        <v>30</v>
      </c>
      <c r="V768" s="10">
        <v>30</v>
      </c>
      <c r="W768">
        <v>3.3</v>
      </c>
      <c r="X768" s="11">
        <f t="shared" si="137"/>
        <v>3.3</v>
      </c>
      <c r="Y768" t="s">
        <v>2103</v>
      </c>
      <c r="Z768" t="str">
        <f t="shared" si="138"/>
        <v>Yes</v>
      </c>
      <c r="AA768" t="str">
        <f t="shared" si="139"/>
        <v>Yes</v>
      </c>
      <c r="AB768" t="str">
        <f t="shared" si="140"/>
        <v>Yes</v>
      </c>
      <c r="AC768" s="12">
        <v>61</v>
      </c>
      <c r="AD768" s="12">
        <f t="shared" si="141"/>
        <v>61</v>
      </c>
    </row>
    <row r="769" spans="1:30" x14ac:dyDescent="0.3">
      <c r="A769" t="s">
        <v>1624</v>
      </c>
      <c r="B769" t="s">
        <v>1625</v>
      </c>
      <c r="C769" t="s">
        <v>2242</v>
      </c>
      <c r="D769" t="s">
        <v>2664</v>
      </c>
      <c r="E769" t="str">
        <f t="shared" si="131"/>
        <v>Diana Raymond</v>
      </c>
      <c r="H769" t="s">
        <v>22</v>
      </c>
      <c r="I769" t="str">
        <f t="shared" si="132"/>
        <v>Female</v>
      </c>
      <c r="J769">
        <v>48</v>
      </c>
      <c r="K769">
        <f t="shared" si="133"/>
        <v>48</v>
      </c>
      <c r="L769" t="str">
        <f t="shared" si="134"/>
        <v>Third level</v>
      </c>
      <c r="M769" t="s">
        <v>31</v>
      </c>
      <c r="N769" t="s">
        <v>32</v>
      </c>
      <c r="O769" t="s">
        <v>25</v>
      </c>
      <c r="P769">
        <v>28</v>
      </c>
      <c r="Q769">
        <f t="shared" si="135"/>
        <v>28</v>
      </c>
      <c r="R769" t="s">
        <v>119</v>
      </c>
      <c r="S769" s="8" t="s">
        <v>2096</v>
      </c>
      <c r="T769" s="9">
        <v>30</v>
      </c>
      <c r="U769" s="9">
        <f t="shared" si="136"/>
        <v>30</v>
      </c>
      <c r="V769" s="10">
        <v>30</v>
      </c>
      <c r="W769">
        <v>4.9000000000000004</v>
      </c>
      <c r="X769" s="11">
        <f t="shared" si="137"/>
        <v>4.9000000000000004</v>
      </c>
      <c r="Y769" t="s">
        <v>2102</v>
      </c>
      <c r="Z769" t="str">
        <f t="shared" si="138"/>
        <v>No</v>
      </c>
      <c r="AA769" t="str">
        <f t="shared" si="139"/>
        <v>No</v>
      </c>
      <c r="AB769" t="str">
        <f t="shared" si="140"/>
        <v>No</v>
      </c>
      <c r="AC769" s="12">
        <v>77</v>
      </c>
      <c r="AD769" s="12">
        <f t="shared" si="141"/>
        <v>77</v>
      </c>
    </row>
    <row r="770" spans="1:30" x14ac:dyDescent="0.3">
      <c r="A770" t="s">
        <v>1626</v>
      </c>
      <c r="B770" t="s">
        <v>1627</v>
      </c>
      <c r="C770" t="s">
        <v>2168</v>
      </c>
      <c r="D770" t="s">
        <v>2328</v>
      </c>
      <c r="E770" t="str">
        <f t="shared" si="131"/>
        <v>Jessica Armstrong</v>
      </c>
      <c r="H770" t="s">
        <v>86</v>
      </c>
      <c r="I770" t="str">
        <f t="shared" si="132"/>
        <v>Female</v>
      </c>
      <c r="J770">
        <v>54</v>
      </c>
      <c r="K770">
        <f t="shared" si="133"/>
        <v>54</v>
      </c>
      <c r="L770" t="str">
        <f t="shared" si="134"/>
        <v>Fourth level</v>
      </c>
      <c r="M770" t="s">
        <v>64</v>
      </c>
      <c r="N770" t="s">
        <v>24</v>
      </c>
      <c r="O770" t="s">
        <v>25</v>
      </c>
      <c r="P770">
        <v>19</v>
      </c>
      <c r="Q770">
        <f t="shared" si="135"/>
        <v>19</v>
      </c>
      <c r="R770" t="s">
        <v>92</v>
      </c>
      <c r="S770" s="8" t="s">
        <v>92</v>
      </c>
      <c r="T770" s="9">
        <v>75</v>
      </c>
      <c r="U770" s="9">
        <f t="shared" si="136"/>
        <v>75</v>
      </c>
      <c r="V770" s="10">
        <v>75</v>
      </c>
      <c r="W770">
        <v>0</v>
      </c>
      <c r="X770" s="11">
        <f t="shared" si="137"/>
        <v>0</v>
      </c>
      <c r="Y770" t="s">
        <v>65</v>
      </c>
      <c r="AA770" t="str">
        <f t="shared" si="139"/>
        <v>Unknown</v>
      </c>
      <c r="AB770" t="str">
        <f t="shared" si="140"/>
        <v>Unknown</v>
      </c>
      <c r="AC770" s="12"/>
      <c r="AD770" s="12">
        <f t="shared" si="141"/>
        <v>80.178571428571431</v>
      </c>
    </row>
    <row r="771" spans="1:30" x14ac:dyDescent="0.3">
      <c r="A771" t="s">
        <v>1628</v>
      </c>
      <c r="B771" t="s">
        <v>1629</v>
      </c>
      <c r="C771" t="s">
        <v>2112</v>
      </c>
      <c r="D771" t="s">
        <v>2123</v>
      </c>
      <c r="E771" t="str">
        <f t="shared" ref="E771:E834" si="142">CONCATENATE(C771," ",D771)</f>
        <v>Amanda Martin</v>
      </c>
      <c r="H771" t="s">
        <v>86</v>
      </c>
      <c r="I771" t="str">
        <f t="shared" ref="I771:I834" si="143">PROPER(H771)</f>
        <v>Female</v>
      </c>
      <c r="J771">
        <v>52</v>
      </c>
      <c r="K771">
        <f t="shared" ref="K771:K834" si="144">IF(ISBLANK(J771),ROUND(AVERAGEIF($I$2:$I$1001,I771,$J$2:$J$1001),0),J771)</f>
        <v>52</v>
      </c>
      <c r="L771" t="str">
        <f t="shared" ref="L771:L834" si="145">IF(AND(K771&gt;=20,K771&lt;=30),"First level",IF(AND(K771&gt;30,K771&lt;=40),"Second level",IF(AND(K771&gt;40,K771&lt;=50),"Third level",IF(H778&gt;50,"Fourth level"))))</f>
        <v>Fourth level</v>
      </c>
      <c r="M771" t="s">
        <v>122</v>
      </c>
      <c r="N771" t="s">
        <v>123</v>
      </c>
      <c r="O771" t="s">
        <v>57</v>
      </c>
      <c r="P771">
        <v>4</v>
      </c>
      <c r="Q771">
        <f t="shared" ref="Q771:Q834" si="146">IF(ISBLANK(P771),ROUND(AVERAGEIF($L$2:$L$1001,L771,$P$2:$P$1001),0),P771)</f>
        <v>4</v>
      </c>
      <c r="R771" t="s">
        <v>34</v>
      </c>
      <c r="S771" s="8" t="s">
        <v>34</v>
      </c>
      <c r="T771" s="9">
        <v>50</v>
      </c>
      <c r="U771" s="9">
        <f t="shared" ref="U771:U834" si="147">IF(ISBLANK(T771),AVERAGE(T770:T1770),T771)</f>
        <v>50</v>
      </c>
      <c r="V771" s="10">
        <v>50</v>
      </c>
      <c r="X771" s="11">
        <f t="shared" ref="X771:X834" si="148">IF(ISBLANK(W771),AVERAGE(W771:W1770),W771)</f>
        <v>2.5269607843137258</v>
      </c>
      <c r="Y771" t="s">
        <v>2102</v>
      </c>
      <c r="Z771" t="str">
        <f t="shared" ref="Z771:Z833" si="149">CLEAN(Y771)</f>
        <v>No</v>
      </c>
      <c r="AA771" t="str">
        <f t="shared" ref="AA771:AA834" si="150">IF(ISBLANK(Z771),"Unknown",Z771)</f>
        <v>No</v>
      </c>
      <c r="AB771" t="str">
        <f t="shared" ref="AB771:AB834" si="151">PROPER(AA771)</f>
        <v>No</v>
      </c>
      <c r="AC771" s="12">
        <v>84</v>
      </c>
      <c r="AD771" s="12">
        <f t="shared" ref="AD771:AD834" si="152">IF(ISBLANK(AC771),AVERAGE(AC771:AC1770),AC771)</f>
        <v>84</v>
      </c>
    </row>
    <row r="772" spans="1:30" x14ac:dyDescent="0.3">
      <c r="A772" t="s">
        <v>1630</v>
      </c>
      <c r="B772" t="s">
        <v>1631</v>
      </c>
      <c r="C772" t="s">
        <v>2348</v>
      </c>
      <c r="D772" t="s">
        <v>2830</v>
      </c>
      <c r="E772" t="str">
        <f t="shared" si="142"/>
        <v>Anne Hamilton</v>
      </c>
      <c r="H772" t="s">
        <v>43</v>
      </c>
      <c r="I772" t="str">
        <f t="shared" si="143"/>
        <v>Female</v>
      </c>
      <c r="J772">
        <v>39</v>
      </c>
      <c r="K772">
        <f t="shared" si="144"/>
        <v>39</v>
      </c>
      <c r="L772" t="str">
        <f t="shared" si="145"/>
        <v>Second level</v>
      </c>
      <c r="M772" t="s">
        <v>70</v>
      </c>
      <c r="N772" t="s">
        <v>71</v>
      </c>
      <c r="O772" t="s">
        <v>39</v>
      </c>
      <c r="P772">
        <v>20</v>
      </c>
      <c r="Q772">
        <f t="shared" si="146"/>
        <v>20</v>
      </c>
      <c r="R772" t="s">
        <v>26</v>
      </c>
      <c r="S772" s="8" t="s">
        <v>18</v>
      </c>
      <c r="T772" s="9">
        <v>100</v>
      </c>
      <c r="U772" s="9">
        <f t="shared" si="147"/>
        <v>100</v>
      </c>
      <c r="V772" s="10">
        <v>100</v>
      </c>
      <c r="X772" s="11">
        <f t="shared" si="148"/>
        <v>2.5269607843137258</v>
      </c>
      <c r="Y772" t="s">
        <v>2103</v>
      </c>
      <c r="Z772" t="str">
        <f t="shared" si="149"/>
        <v>Yes</v>
      </c>
      <c r="AA772" t="str">
        <f t="shared" si="150"/>
        <v>Yes</v>
      </c>
      <c r="AB772" t="str">
        <f t="shared" si="151"/>
        <v>Yes</v>
      </c>
      <c r="AC772" s="12">
        <v>89</v>
      </c>
      <c r="AD772" s="12">
        <f t="shared" si="152"/>
        <v>89</v>
      </c>
    </row>
    <row r="773" spans="1:30" x14ac:dyDescent="0.3">
      <c r="A773" t="s">
        <v>1632</v>
      </c>
      <c r="B773" t="s">
        <v>1633</v>
      </c>
      <c r="C773" t="s">
        <v>2473</v>
      </c>
      <c r="D773" t="s">
        <v>2115</v>
      </c>
      <c r="E773" t="str">
        <f t="shared" si="142"/>
        <v>Heather Curtis</v>
      </c>
      <c r="H773" t="s">
        <v>86</v>
      </c>
      <c r="I773" t="str">
        <f t="shared" si="143"/>
        <v>Female</v>
      </c>
      <c r="J773">
        <v>54</v>
      </c>
      <c r="K773">
        <f t="shared" si="144"/>
        <v>54</v>
      </c>
      <c r="L773" t="str">
        <f t="shared" si="145"/>
        <v>Fourth level</v>
      </c>
      <c r="M773" t="s">
        <v>134</v>
      </c>
      <c r="N773" t="s">
        <v>135</v>
      </c>
      <c r="O773" t="s">
        <v>25</v>
      </c>
      <c r="P773">
        <v>19</v>
      </c>
      <c r="Q773">
        <f t="shared" si="146"/>
        <v>19</v>
      </c>
      <c r="R773" t="s">
        <v>119</v>
      </c>
      <c r="S773" s="8" t="s">
        <v>2096</v>
      </c>
      <c r="T773" s="9">
        <v>30</v>
      </c>
      <c r="U773" s="9">
        <f t="shared" si="147"/>
        <v>30</v>
      </c>
      <c r="V773" s="10">
        <v>30</v>
      </c>
      <c r="W773">
        <v>4</v>
      </c>
      <c r="X773" s="11">
        <f t="shared" si="148"/>
        <v>4</v>
      </c>
      <c r="Y773" t="s">
        <v>65</v>
      </c>
      <c r="AA773" t="str">
        <f t="shared" si="150"/>
        <v>Unknown</v>
      </c>
      <c r="AB773" t="str">
        <f t="shared" si="151"/>
        <v>Unknown</v>
      </c>
      <c r="AC773" s="12">
        <v>90</v>
      </c>
      <c r="AD773" s="12">
        <f t="shared" si="152"/>
        <v>90</v>
      </c>
    </row>
    <row r="774" spans="1:30" x14ac:dyDescent="0.3">
      <c r="A774" t="s">
        <v>1634</v>
      </c>
      <c r="B774" t="s">
        <v>1635</v>
      </c>
      <c r="C774" t="s">
        <v>2639</v>
      </c>
      <c r="D774" t="s">
        <v>2604</v>
      </c>
      <c r="E774" t="str">
        <f t="shared" si="142"/>
        <v>Tiffany Moses</v>
      </c>
      <c r="H774" t="s">
        <v>86</v>
      </c>
      <c r="I774" t="str">
        <f t="shared" si="143"/>
        <v>Female</v>
      </c>
      <c r="J774">
        <v>22</v>
      </c>
      <c r="K774">
        <f t="shared" si="144"/>
        <v>22</v>
      </c>
      <c r="L774" t="str">
        <f t="shared" si="145"/>
        <v>First level</v>
      </c>
      <c r="M774" t="s">
        <v>64</v>
      </c>
      <c r="N774" t="s">
        <v>24</v>
      </c>
      <c r="O774" t="s">
        <v>87</v>
      </c>
      <c r="P774">
        <v>1</v>
      </c>
      <c r="Q774">
        <f t="shared" si="146"/>
        <v>1</v>
      </c>
      <c r="R774" t="s">
        <v>151</v>
      </c>
      <c r="S774" s="8" t="s">
        <v>151</v>
      </c>
      <c r="T774" s="9">
        <v>20</v>
      </c>
      <c r="U774" s="9">
        <f t="shared" si="147"/>
        <v>20</v>
      </c>
      <c r="V774" s="10">
        <v>20</v>
      </c>
      <c r="W774">
        <v>4.8</v>
      </c>
      <c r="X774" s="11">
        <f t="shared" si="148"/>
        <v>4.8</v>
      </c>
      <c r="Y774" t="s">
        <v>2102</v>
      </c>
      <c r="Z774" t="str">
        <f t="shared" si="149"/>
        <v>No</v>
      </c>
      <c r="AA774" t="str">
        <f t="shared" si="150"/>
        <v>No</v>
      </c>
      <c r="AB774" t="str">
        <f t="shared" si="151"/>
        <v>No</v>
      </c>
      <c r="AC774" s="12">
        <v>87</v>
      </c>
      <c r="AD774" s="12">
        <f t="shared" si="152"/>
        <v>87</v>
      </c>
    </row>
    <row r="775" spans="1:30" x14ac:dyDescent="0.3">
      <c r="A775" t="s">
        <v>1636</v>
      </c>
      <c r="B775" t="s">
        <v>1637</v>
      </c>
      <c r="C775" t="s">
        <v>2433</v>
      </c>
      <c r="D775" t="s">
        <v>2831</v>
      </c>
      <c r="E775" t="str">
        <f t="shared" si="142"/>
        <v>Jacqueline Moon</v>
      </c>
      <c r="H775" t="s">
        <v>22</v>
      </c>
      <c r="I775" t="str">
        <f t="shared" si="143"/>
        <v>Female</v>
      </c>
      <c r="J775">
        <v>29</v>
      </c>
      <c r="K775">
        <f t="shared" si="144"/>
        <v>29</v>
      </c>
      <c r="L775" t="str">
        <f t="shared" si="145"/>
        <v>First level</v>
      </c>
      <c r="M775" t="s">
        <v>164</v>
      </c>
      <c r="N775" t="s">
        <v>165</v>
      </c>
      <c r="O775" t="s">
        <v>25</v>
      </c>
      <c r="P775">
        <v>8</v>
      </c>
      <c r="Q775">
        <f t="shared" si="146"/>
        <v>8</v>
      </c>
      <c r="R775" t="s">
        <v>34</v>
      </c>
      <c r="S775" s="8" t="s">
        <v>34</v>
      </c>
      <c r="T775" s="9">
        <v>50</v>
      </c>
      <c r="U775" s="9">
        <f t="shared" si="147"/>
        <v>50</v>
      </c>
      <c r="V775" s="10">
        <v>50</v>
      </c>
      <c r="W775">
        <v>0</v>
      </c>
      <c r="X775" s="11">
        <f t="shared" si="148"/>
        <v>0</v>
      </c>
      <c r="Y775" t="s">
        <v>2102</v>
      </c>
      <c r="Z775" t="str">
        <f t="shared" si="149"/>
        <v>No</v>
      </c>
      <c r="AA775" t="str">
        <f t="shared" si="150"/>
        <v>No</v>
      </c>
      <c r="AB775" t="str">
        <f t="shared" si="151"/>
        <v>No</v>
      </c>
      <c r="AC775" s="12">
        <v>77</v>
      </c>
      <c r="AD775" s="12">
        <f t="shared" si="152"/>
        <v>77</v>
      </c>
    </row>
    <row r="776" spans="1:30" x14ac:dyDescent="0.3">
      <c r="A776" t="s">
        <v>1638</v>
      </c>
      <c r="B776" t="s">
        <v>1639</v>
      </c>
      <c r="C776" t="s">
        <v>2143</v>
      </c>
      <c r="D776" t="s">
        <v>2303</v>
      </c>
      <c r="E776" t="str">
        <f t="shared" si="142"/>
        <v>James Campbell</v>
      </c>
      <c r="H776" t="s">
        <v>107</v>
      </c>
      <c r="I776" t="str">
        <f t="shared" si="143"/>
        <v>Male</v>
      </c>
      <c r="J776">
        <v>23</v>
      </c>
      <c r="K776">
        <f t="shared" si="144"/>
        <v>23</v>
      </c>
      <c r="L776" t="str">
        <f t="shared" si="145"/>
        <v>First level</v>
      </c>
      <c r="M776" t="s">
        <v>201</v>
      </c>
      <c r="N776" t="s">
        <v>81</v>
      </c>
      <c r="O776" t="s">
        <v>99</v>
      </c>
      <c r="P776">
        <v>3</v>
      </c>
      <c r="Q776">
        <f t="shared" si="146"/>
        <v>3</v>
      </c>
      <c r="R776" t="s">
        <v>119</v>
      </c>
      <c r="S776" s="8" t="s">
        <v>2096</v>
      </c>
      <c r="T776" s="9">
        <v>30</v>
      </c>
      <c r="U776" s="9">
        <f t="shared" si="147"/>
        <v>30</v>
      </c>
      <c r="V776" s="10">
        <v>30</v>
      </c>
      <c r="W776">
        <v>1.6</v>
      </c>
      <c r="X776" s="11">
        <f t="shared" si="148"/>
        <v>1.6</v>
      </c>
      <c r="Y776" t="s">
        <v>2103</v>
      </c>
      <c r="Z776" t="str">
        <f t="shared" si="149"/>
        <v>Yes</v>
      </c>
      <c r="AA776" t="str">
        <f t="shared" si="150"/>
        <v>Yes</v>
      </c>
      <c r="AB776" t="str">
        <f t="shared" si="151"/>
        <v>Yes</v>
      </c>
      <c r="AC776" s="12">
        <v>72</v>
      </c>
      <c r="AD776" s="12">
        <f t="shared" si="152"/>
        <v>72</v>
      </c>
    </row>
    <row r="777" spans="1:30" x14ac:dyDescent="0.3">
      <c r="A777" t="s">
        <v>1640</v>
      </c>
      <c r="B777" t="s">
        <v>1641</v>
      </c>
      <c r="C777" t="s">
        <v>2389</v>
      </c>
      <c r="D777" t="s">
        <v>2563</v>
      </c>
      <c r="E777" t="str">
        <f t="shared" si="142"/>
        <v>Melissa Vasquez</v>
      </c>
      <c r="H777" t="s">
        <v>86</v>
      </c>
      <c r="I777" t="str">
        <f t="shared" si="143"/>
        <v>Female</v>
      </c>
      <c r="J777">
        <v>58</v>
      </c>
      <c r="K777">
        <f t="shared" si="144"/>
        <v>58</v>
      </c>
      <c r="L777" t="str">
        <f t="shared" si="145"/>
        <v>Fourth level</v>
      </c>
      <c r="M777" t="s">
        <v>190</v>
      </c>
      <c r="N777" t="s">
        <v>81</v>
      </c>
      <c r="O777" t="s">
        <v>99</v>
      </c>
      <c r="P777">
        <v>30</v>
      </c>
      <c r="Q777">
        <f t="shared" si="146"/>
        <v>30</v>
      </c>
      <c r="R777" t="s">
        <v>34</v>
      </c>
      <c r="S777" s="8" t="s">
        <v>34</v>
      </c>
      <c r="T777" s="9">
        <v>50</v>
      </c>
      <c r="U777" s="9">
        <f t="shared" si="147"/>
        <v>50</v>
      </c>
      <c r="V777" s="10">
        <v>50</v>
      </c>
      <c r="W777">
        <v>1.3</v>
      </c>
      <c r="X777" s="11">
        <f t="shared" si="148"/>
        <v>1.3</v>
      </c>
      <c r="Y777" t="s">
        <v>77</v>
      </c>
      <c r="Z777" t="str">
        <f t="shared" si="149"/>
        <v>yes</v>
      </c>
      <c r="AA777" t="str">
        <f t="shared" si="150"/>
        <v>yes</v>
      </c>
      <c r="AB777" t="str">
        <f t="shared" si="151"/>
        <v>Yes</v>
      </c>
      <c r="AC777" s="12">
        <v>87</v>
      </c>
      <c r="AD777" s="12">
        <f t="shared" si="152"/>
        <v>87</v>
      </c>
    </row>
    <row r="778" spans="1:30" x14ac:dyDescent="0.3">
      <c r="A778" t="s">
        <v>1642</v>
      </c>
      <c r="B778" t="s">
        <v>1643</v>
      </c>
      <c r="C778" t="s">
        <v>2832</v>
      </c>
      <c r="D778" t="s">
        <v>2833</v>
      </c>
      <c r="E778" t="str">
        <f t="shared" si="142"/>
        <v>Katherine Carlson</v>
      </c>
      <c r="H778" t="s">
        <v>86</v>
      </c>
      <c r="I778" t="str">
        <f t="shared" si="143"/>
        <v>Female</v>
      </c>
      <c r="J778">
        <v>56</v>
      </c>
      <c r="K778">
        <f t="shared" si="144"/>
        <v>56</v>
      </c>
      <c r="L778" t="str">
        <f t="shared" si="145"/>
        <v>Fourth level</v>
      </c>
      <c r="M778" t="s">
        <v>186</v>
      </c>
      <c r="N778" t="s">
        <v>187</v>
      </c>
      <c r="O778" t="s">
        <v>17</v>
      </c>
      <c r="P778">
        <v>3</v>
      </c>
      <c r="Q778">
        <f t="shared" si="146"/>
        <v>3</v>
      </c>
      <c r="R778" t="s">
        <v>76</v>
      </c>
      <c r="S778" s="8" t="s">
        <v>76</v>
      </c>
      <c r="T778" s="9">
        <v>40</v>
      </c>
      <c r="U778" s="9">
        <f t="shared" si="147"/>
        <v>40</v>
      </c>
      <c r="V778" s="10">
        <v>40</v>
      </c>
      <c r="W778">
        <v>4.0999999999999996</v>
      </c>
      <c r="X778" s="11">
        <f t="shared" si="148"/>
        <v>4.0999999999999996</v>
      </c>
      <c r="Y778" t="s">
        <v>2103</v>
      </c>
      <c r="Z778" t="str">
        <f t="shared" si="149"/>
        <v>Yes</v>
      </c>
      <c r="AA778" t="str">
        <f t="shared" si="150"/>
        <v>Yes</v>
      </c>
      <c r="AB778" t="str">
        <f t="shared" si="151"/>
        <v>Yes</v>
      </c>
      <c r="AC778" s="12">
        <v>89</v>
      </c>
      <c r="AD778" s="12">
        <f t="shared" si="152"/>
        <v>89</v>
      </c>
    </row>
    <row r="779" spans="1:30" x14ac:dyDescent="0.3">
      <c r="A779" t="s">
        <v>1644</v>
      </c>
      <c r="B779" t="s">
        <v>1645</v>
      </c>
      <c r="C779" t="s">
        <v>2406</v>
      </c>
      <c r="D779" t="s">
        <v>2834</v>
      </c>
      <c r="E779" t="str">
        <f t="shared" si="142"/>
        <v>Adam Clay</v>
      </c>
      <c r="H779" t="s">
        <v>107</v>
      </c>
      <c r="I779" t="str">
        <f t="shared" si="143"/>
        <v>Male</v>
      </c>
      <c r="J779">
        <v>48</v>
      </c>
      <c r="K779">
        <f t="shared" si="144"/>
        <v>48</v>
      </c>
      <c r="L779" t="str">
        <f t="shared" si="145"/>
        <v>Third level</v>
      </c>
      <c r="M779" t="s">
        <v>70</v>
      </c>
      <c r="N779" t="s">
        <v>71</v>
      </c>
      <c r="O779" t="s">
        <v>39</v>
      </c>
      <c r="P779">
        <v>19</v>
      </c>
      <c r="Q779">
        <f t="shared" si="146"/>
        <v>19</v>
      </c>
      <c r="R779" t="s">
        <v>76</v>
      </c>
      <c r="S779" s="8" t="s">
        <v>76</v>
      </c>
      <c r="T779" s="9">
        <v>40</v>
      </c>
      <c r="U779" s="9">
        <f t="shared" si="147"/>
        <v>40</v>
      </c>
      <c r="V779" s="10">
        <v>40</v>
      </c>
      <c r="W779">
        <v>1.5</v>
      </c>
      <c r="X779" s="11">
        <f t="shared" si="148"/>
        <v>1.5</v>
      </c>
      <c r="Y779" t="s">
        <v>2102</v>
      </c>
      <c r="Z779" t="str">
        <f t="shared" si="149"/>
        <v>No</v>
      </c>
      <c r="AA779" t="str">
        <f t="shared" si="150"/>
        <v>No</v>
      </c>
      <c r="AB779" t="str">
        <f t="shared" si="151"/>
        <v>No</v>
      </c>
      <c r="AC779" s="12">
        <v>87</v>
      </c>
      <c r="AD779" s="12">
        <f t="shared" si="152"/>
        <v>87</v>
      </c>
    </row>
    <row r="780" spans="1:30" x14ac:dyDescent="0.3">
      <c r="A780" t="s">
        <v>1646</v>
      </c>
      <c r="B780" t="s">
        <v>1647</v>
      </c>
      <c r="C780" t="s">
        <v>2173</v>
      </c>
      <c r="D780" t="s">
        <v>2660</v>
      </c>
      <c r="E780" t="str">
        <f t="shared" si="142"/>
        <v>Amy Combs</v>
      </c>
      <c r="H780" t="s">
        <v>86</v>
      </c>
      <c r="I780" t="str">
        <f t="shared" si="143"/>
        <v>Female</v>
      </c>
      <c r="J780">
        <v>31</v>
      </c>
      <c r="K780">
        <f t="shared" si="144"/>
        <v>31</v>
      </c>
      <c r="L780" t="str">
        <f t="shared" si="145"/>
        <v>Second level</v>
      </c>
      <c r="M780" t="s">
        <v>134</v>
      </c>
      <c r="N780" t="s">
        <v>135</v>
      </c>
      <c r="O780" t="s">
        <v>25</v>
      </c>
      <c r="P780">
        <v>11</v>
      </c>
      <c r="Q780">
        <f t="shared" si="146"/>
        <v>11</v>
      </c>
      <c r="R780" t="s">
        <v>61</v>
      </c>
      <c r="S780" s="8" t="s">
        <v>2094</v>
      </c>
      <c r="T780" s="9">
        <v>40</v>
      </c>
      <c r="U780" s="9">
        <f t="shared" si="147"/>
        <v>40</v>
      </c>
      <c r="V780" s="10">
        <v>40</v>
      </c>
      <c r="W780">
        <v>4.3</v>
      </c>
      <c r="X780" s="11">
        <f t="shared" si="148"/>
        <v>4.3</v>
      </c>
      <c r="Y780" t="s">
        <v>2103</v>
      </c>
      <c r="Z780" t="str">
        <f t="shared" si="149"/>
        <v>Yes</v>
      </c>
      <c r="AA780" t="str">
        <f t="shared" si="150"/>
        <v>Yes</v>
      </c>
      <c r="AB780" t="str">
        <f t="shared" si="151"/>
        <v>Yes</v>
      </c>
      <c r="AC780" s="12">
        <v>76</v>
      </c>
      <c r="AD780" s="12">
        <f t="shared" si="152"/>
        <v>76</v>
      </c>
    </row>
    <row r="781" spans="1:30" x14ac:dyDescent="0.3">
      <c r="A781" t="s">
        <v>1648</v>
      </c>
      <c r="B781" t="s">
        <v>1649</v>
      </c>
      <c r="C781" t="s">
        <v>2368</v>
      </c>
      <c r="D781" t="s">
        <v>2835</v>
      </c>
      <c r="E781" t="str">
        <f t="shared" si="142"/>
        <v>Anthony Case</v>
      </c>
      <c r="H781" t="s">
        <v>107</v>
      </c>
      <c r="I781" t="str">
        <f t="shared" si="143"/>
        <v>Male</v>
      </c>
      <c r="J781">
        <v>44</v>
      </c>
      <c r="K781">
        <f t="shared" si="144"/>
        <v>44</v>
      </c>
      <c r="L781" t="str">
        <f t="shared" si="145"/>
        <v>Third level</v>
      </c>
      <c r="M781" t="s">
        <v>23</v>
      </c>
      <c r="N781" t="s">
        <v>24</v>
      </c>
      <c r="O781" t="s">
        <v>124</v>
      </c>
      <c r="P781">
        <v>26</v>
      </c>
      <c r="Q781">
        <f t="shared" si="146"/>
        <v>26</v>
      </c>
      <c r="R781" t="s">
        <v>34</v>
      </c>
      <c r="S781" s="8" t="s">
        <v>34</v>
      </c>
      <c r="T781" s="9">
        <v>50</v>
      </c>
      <c r="U781" s="9">
        <f t="shared" si="147"/>
        <v>50</v>
      </c>
      <c r="V781" s="10">
        <v>50</v>
      </c>
      <c r="W781">
        <v>1.6</v>
      </c>
      <c r="X781" s="11">
        <f t="shared" si="148"/>
        <v>1.6</v>
      </c>
      <c r="Y781" t="s">
        <v>65</v>
      </c>
      <c r="AA781" t="str">
        <f t="shared" si="150"/>
        <v>Unknown</v>
      </c>
      <c r="AB781" t="str">
        <f t="shared" si="151"/>
        <v>Unknown</v>
      </c>
      <c r="AC781" s="12">
        <v>100</v>
      </c>
      <c r="AD781" s="12">
        <f t="shared" si="152"/>
        <v>100</v>
      </c>
    </row>
    <row r="782" spans="1:30" x14ac:dyDescent="0.3">
      <c r="A782" t="s">
        <v>1650</v>
      </c>
      <c r="B782" t="s">
        <v>1651</v>
      </c>
      <c r="C782" t="s">
        <v>2281</v>
      </c>
      <c r="D782" t="s">
        <v>2186</v>
      </c>
      <c r="E782" t="str">
        <f t="shared" si="142"/>
        <v>Kimberly Brown</v>
      </c>
      <c r="H782" t="s">
        <v>86</v>
      </c>
      <c r="I782" t="str">
        <f t="shared" si="143"/>
        <v>Female</v>
      </c>
      <c r="J782">
        <v>42</v>
      </c>
      <c r="K782">
        <f t="shared" si="144"/>
        <v>42</v>
      </c>
      <c r="L782" t="str">
        <f t="shared" si="145"/>
        <v>Third level</v>
      </c>
      <c r="M782" t="s">
        <v>149</v>
      </c>
      <c r="N782" t="s">
        <v>150</v>
      </c>
      <c r="O782" t="s">
        <v>25</v>
      </c>
      <c r="P782">
        <v>10</v>
      </c>
      <c r="Q782">
        <f t="shared" si="146"/>
        <v>10</v>
      </c>
      <c r="R782" t="s">
        <v>18</v>
      </c>
      <c r="S782" s="8" t="s">
        <v>18</v>
      </c>
      <c r="T782" s="9">
        <v>100</v>
      </c>
      <c r="U782" s="9">
        <f t="shared" si="147"/>
        <v>100</v>
      </c>
      <c r="V782" s="10">
        <v>100</v>
      </c>
      <c r="W782">
        <v>3.7</v>
      </c>
      <c r="X782" s="11">
        <f t="shared" si="148"/>
        <v>3.7</v>
      </c>
      <c r="Y782" t="s">
        <v>2103</v>
      </c>
      <c r="Z782" t="str">
        <f t="shared" si="149"/>
        <v>Yes</v>
      </c>
      <c r="AA782" t="str">
        <f t="shared" si="150"/>
        <v>Yes</v>
      </c>
      <c r="AB782" t="str">
        <f t="shared" si="151"/>
        <v>Yes</v>
      </c>
      <c r="AC782" s="12">
        <v>94</v>
      </c>
      <c r="AD782" s="12">
        <f t="shared" si="152"/>
        <v>94</v>
      </c>
    </row>
    <row r="783" spans="1:30" x14ac:dyDescent="0.3">
      <c r="A783" t="s">
        <v>1652</v>
      </c>
      <c r="B783" t="s">
        <v>1653</v>
      </c>
      <c r="C783" t="s">
        <v>2327</v>
      </c>
      <c r="D783" t="s">
        <v>2836</v>
      </c>
      <c r="E783" t="str">
        <f t="shared" si="142"/>
        <v>Joshua Holloway</v>
      </c>
      <c r="H783" t="s">
        <v>107</v>
      </c>
      <c r="I783" t="str">
        <f t="shared" si="143"/>
        <v>Male</v>
      </c>
      <c r="J783">
        <v>59</v>
      </c>
      <c r="K783">
        <f t="shared" si="144"/>
        <v>59</v>
      </c>
      <c r="L783" t="str">
        <f t="shared" si="145"/>
        <v>Fourth level</v>
      </c>
      <c r="M783" t="s">
        <v>64</v>
      </c>
      <c r="N783" t="s">
        <v>24</v>
      </c>
      <c r="O783" t="s">
        <v>87</v>
      </c>
      <c r="P783">
        <v>17</v>
      </c>
      <c r="Q783">
        <f t="shared" si="146"/>
        <v>17</v>
      </c>
      <c r="R783" t="s">
        <v>34</v>
      </c>
      <c r="S783" s="8" t="s">
        <v>34</v>
      </c>
      <c r="T783" s="9">
        <v>50</v>
      </c>
      <c r="U783" s="9">
        <f t="shared" si="147"/>
        <v>50</v>
      </c>
      <c r="V783" s="10">
        <v>50</v>
      </c>
      <c r="W783">
        <v>1.4</v>
      </c>
      <c r="X783" s="11">
        <f t="shared" si="148"/>
        <v>1.4</v>
      </c>
      <c r="Y783" t="s">
        <v>77</v>
      </c>
      <c r="Z783" t="str">
        <f t="shared" si="149"/>
        <v>yes</v>
      </c>
      <c r="AA783" t="str">
        <f t="shared" si="150"/>
        <v>yes</v>
      </c>
      <c r="AB783" t="str">
        <f t="shared" si="151"/>
        <v>Yes</v>
      </c>
      <c r="AC783" s="12"/>
      <c r="AD783" s="12">
        <f t="shared" si="152"/>
        <v>79.798913043478265</v>
      </c>
    </row>
    <row r="784" spans="1:30" x14ac:dyDescent="0.3">
      <c r="A784" t="s">
        <v>1654</v>
      </c>
      <c r="B784" t="s">
        <v>1655</v>
      </c>
      <c r="C784" t="s">
        <v>2768</v>
      </c>
      <c r="D784" t="s">
        <v>2617</v>
      </c>
      <c r="E784" t="str">
        <f t="shared" si="142"/>
        <v>Cynthia Walton</v>
      </c>
      <c r="H784" t="s">
        <v>86</v>
      </c>
      <c r="I784" t="str">
        <f t="shared" si="143"/>
        <v>Female</v>
      </c>
      <c r="K784">
        <f t="shared" si="144"/>
        <v>40</v>
      </c>
      <c r="L784" t="str">
        <f t="shared" si="145"/>
        <v>Second level</v>
      </c>
      <c r="M784" t="s">
        <v>80</v>
      </c>
      <c r="N784" t="s">
        <v>81</v>
      </c>
      <c r="O784" t="s">
        <v>17</v>
      </c>
      <c r="P784">
        <v>9</v>
      </c>
      <c r="Q784">
        <f t="shared" si="146"/>
        <v>9</v>
      </c>
      <c r="R784" t="s">
        <v>240</v>
      </c>
      <c r="S784" s="8" t="s">
        <v>18</v>
      </c>
      <c r="T784" s="9">
        <v>100</v>
      </c>
      <c r="U784" s="9">
        <f t="shared" si="147"/>
        <v>100</v>
      </c>
      <c r="V784" s="10">
        <v>100</v>
      </c>
      <c r="W784">
        <v>4.5</v>
      </c>
      <c r="X784" s="11">
        <f t="shared" si="148"/>
        <v>4.5</v>
      </c>
      <c r="Y784" t="s">
        <v>2103</v>
      </c>
      <c r="Z784" t="str">
        <f t="shared" si="149"/>
        <v>Yes</v>
      </c>
      <c r="AA784" t="str">
        <f t="shared" si="150"/>
        <v>Yes</v>
      </c>
      <c r="AB784" t="str">
        <f t="shared" si="151"/>
        <v>Yes</v>
      </c>
      <c r="AC784" s="12">
        <v>83</v>
      </c>
      <c r="AD784" s="12">
        <f t="shared" si="152"/>
        <v>83</v>
      </c>
    </row>
    <row r="785" spans="1:30" x14ac:dyDescent="0.3">
      <c r="A785" t="s">
        <v>1656</v>
      </c>
      <c r="B785" t="s">
        <v>1657</v>
      </c>
      <c r="C785" t="s">
        <v>2689</v>
      </c>
      <c r="D785" t="s">
        <v>2837</v>
      </c>
      <c r="E785" t="str">
        <f t="shared" si="142"/>
        <v>Shawn Delgado</v>
      </c>
      <c r="H785" t="s">
        <v>107</v>
      </c>
      <c r="I785" t="str">
        <f t="shared" si="143"/>
        <v>Male</v>
      </c>
      <c r="J785">
        <v>21</v>
      </c>
      <c r="K785">
        <f t="shared" si="144"/>
        <v>21</v>
      </c>
      <c r="L785" t="str">
        <f t="shared" si="145"/>
        <v>First level</v>
      </c>
      <c r="M785" t="s">
        <v>186</v>
      </c>
      <c r="N785" t="s">
        <v>187</v>
      </c>
      <c r="O785" t="s">
        <v>57</v>
      </c>
      <c r="P785">
        <v>0</v>
      </c>
      <c r="Q785">
        <f t="shared" si="146"/>
        <v>0</v>
      </c>
      <c r="R785" t="s">
        <v>61</v>
      </c>
      <c r="S785" s="8" t="s">
        <v>2094</v>
      </c>
      <c r="T785" s="9">
        <v>40</v>
      </c>
      <c r="U785" s="9">
        <f t="shared" si="147"/>
        <v>40</v>
      </c>
      <c r="V785" s="10">
        <v>40</v>
      </c>
      <c r="W785">
        <v>3.7</v>
      </c>
      <c r="X785" s="11">
        <f t="shared" si="148"/>
        <v>3.7</v>
      </c>
      <c r="Y785" t="s">
        <v>2102</v>
      </c>
      <c r="Z785" t="str">
        <f t="shared" si="149"/>
        <v>No</v>
      </c>
      <c r="AA785" t="str">
        <f t="shared" si="150"/>
        <v>No</v>
      </c>
      <c r="AB785" t="str">
        <f t="shared" si="151"/>
        <v>No</v>
      </c>
      <c r="AC785" s="12">
        <v>74</v>
      </c>
      <c r="AD785" s="12">
        <f t="shared" si="152"/>
        <v>74</v>
      </c>
    </row>
    <row r="786" spans="1:30" x14ac:dyDescent="0.3">
      <c r="A786" t="s">
        <v>1658</v>
      </c>
      <c r="B786" t="s">
        <v>1659</v>
      </c>
      <c r="C786" t="s">
        <v>2239</v>
      </c>
      <c r="D786" t="s">
        <v>2161</v>
      </c>
      <c r="E786" t="str">
        <f t="shared" si="142"/>
        <v>Jeremy Smith</v>
      </c>
      <c r="H786" t="s">
        <v>107</v>
      </c>
      <c r="I786" t="str">
        <f t="shared" si="143"/>
        <v>Male</v>
      </c>
      <c r="J786">
        <v>53</v>
      </c>
      <c r="K786">
        <f t="shared" si="144"/>
        <v>53</v>
      </c>
      <c r="L786" t="str">
        <f t="shared" si="145"/>
        <v>Fourth level</v>
      </c>
      <c r="M786" t="s">
        <v>75</v>
      </c>
      <c r="N786" t="s">
        <v>24</v>
      </c>
      <c r="O786" t="s">
        <v>99</v>
      </c>
      <c r="P786">
        <v>5</v>
      </c>
      <c r="Q786">
        <f t="shared" si="146"/>
        <v>5</v>
      </c>
      <c r="R786" t="s">
        <v>92</v>
      </c>
      <c r="S786" s="8" t="s">
        <v>92</v>
      </c>
      <c r="T786" s="9">
        <v>75</v>
      </c>
      <c r="U786" s="9">
        <f t="shared" si="147"/>
        <v>75</v>
      </c>
      <c r="V786" s="10">
        <v>75</v>
      </c>
      <c r="W786">
        <v>1.1000000000000001</v>
      </c>
      <c r="X786" s="11">
        <f t="shared" si="148"/>
        <v>1.1000000000000001</v>
      </c>
      <c r="Y786" t="s">
        <v>2102</v>
      </c>
      <c r="Z786" t="str">
        <f t="shared" si="149"/>
        <v>No</v>
      </c>
      <c r="AA786" t="str">
        <f t="shared" si="150"/>
        <v>No</v>
      </c>
      <c r="AB786" t="str">
        <f t="shared" si="151"/>
        <v>No</v>
      </c>
      <c r="AC786" s="12">
        <v>92</v>
      </c>
      <c r="AD786" s="12">
        <f t="shared" si="152"/>
        <v>92</v>
      </c>
    </row>
    <row r="787" spans="1:30" x14ac:dyDescent="0.3">
      <c r="A787" t="s">
        <v>1660</v>
      </c>
      <c r="B787" t="s">
        <v>1661</v>
      </c>
      <c r="C787" t="s">
        <v>2379</v>
      </c>
      <c r="D787" t="s">
        <v>2274</v>
      </c>
      <c r="E787" t="str">
        <f t="shared" si="142"/>
        <v>Marc Ortiz</v>
      </c>
      <c r="H787" t="s">
        <v>107</v>
      </c>
      <c r="I787" t="str">
        <f t="shared" si="143"/>
        <v>Male</v>
      </c>
      <c r="J787">
        <v>35</v>
      </c>
      <c r="K787">
        <f t="shared" si="144"/>
        <v>35</v>
      </c>
      <c r="L787" t="str">
        <f t="shared" si="145"/>
        <v>Second level</v>
      </c>
      <c r="M787" t="s">
        <v>80</v>
      </c>
      <c r="N787" t="s">
        <v>81</v>
      </c>
      <c r="O787" t="s">
        <v>25</v>
      </c>
      <c r="P787">
        <v>15</v>
      </c>
      <c r="Q787">
        <f t="shared" si="146"/>
        <v>15</v>
      </c>
      <c r="R787" t="s">
        <v>65</v>
      </c>
      <c r="S787" s="8" t="s">
        <v>65</v>
      </c>
      <c r="T787" s="9"/>
      <c r="U787" s="9">
        <f t="shared" si="147"/>
        <v>52.702020202020201</v>
      </c>
      <c r="V787" s="10">
        <v>52.702020202020201</v>
      </c>
      <c r="W787">
        <v>3.7</v>
      </c>
      <c r="X787" s="11">
        <f t="shared" si="148"/>
        <v>3.7</v>
      </c>
      <c r="Y787" t="s">
        <v>2102</v>
      </c>
      <c r="Z787" t="str">
        <f t="shared" si="149"/>
        <v>No</v>
      </c>
      <c r="AA787" t="str">
        <f t="shared" si="150"/>
        <v>No</v>
      </c>
      <c r="AB787" t="str">
        <f t="shared" si="151"/>
        <v>No</v>
      </c>
      <c r="AC787" s="12">
        <v>66</v>
      </c>
      <c r="AD787" s="12">
        <f t="shared" si="152"/>
        <v>66</v>
      </c>
    </row>
    <row r="788" spans="1:30" x14ac:dyDescent="0.3">
      <c r="A788" t="s">
        <v>1662</v>
      </c>
      <c r="B788" t="s">
        <v>1663</v>
      </c>
      <c r="C788" t="s">
        <v>2128</v>
      </c>
      <c r="D788" t="s">
        <v>2361</v>
      </c>
      <c r="E788" t="str">
        <f t="shared" si="142"/>
        <v>Michelle Gregory</v>
      </c>
      <c r="H788" t="s">
        <v>86</v>
      </c>
      <c r="I788" t="str">
        <f t="shared" si="143"/>
        <v>Female</v>
      </c>
      <c r="J788">
        <v>25</v>
      </c>
      <c r="K788">
        <f t="shared" si="144"/>
        <v>25</v>
      </c>
      <c r="L788" t="str">
        <f t="shared" si="145"/>
        <v>First level</v>
      </c>
      <c r="M788" t="s">
        <v>117</v>
      </c>
      <c r="N788" t="s">
        <v>118</v>
      </c>
      <c r="O788" t="s">
        <v>124</v>
      </c>
      <c r="P788">
        <v>3</v>
      </c>
      <c r="Q788">
        <f t="shared" si="146"/>
        <v>3</v>
      </c>
      <c r="R788" t="s">
        <v>72</v>
      </c>
      <c r="S788" s="8" t="s">
        <v>72</v>
      </c>
      <c r="T788" s="9">
        <v>50</v>
      </c>
      <c r="U788" s="9">
        <f t="shared" si="147"/>
        <v>50</v>
      </c>
      <c r="V788" s="10">
        <v>50</v>
      </c>
      <c r="W788">
        <v>3.2</v>
      </c>
      <c r="X788" s="11">
        <f t="shared" si="148"/>
        <v>3.2</v>
      </c>
      <c r="Y788" t="s">
        <v>2103</v>
      </c>
      <c r="Z788" t="str">
        <f t="shared" si="149"/>
        <v>Yes</v>
      </c>
      <c r="AA788" t="str">
        <f t="shared" si="150"/>
        <v>Yes</v>
      </c>
      <c r="AB788" t="str">
        <f t="shared" si="151"/>
        <v>Yes</v>
      </c>
      <c r="AC788" s="12">
        <v>74</v>
      </c>
      <c r="AD788" s="12">
        <f t="shared" si="152"/>
        <v>74</v>
      </c>
    </row>
    <row r="789" spans="1:30" x14ac:dyDescent="0.3">
      <c r="A789" t="s">
        <v>1664</v>
      </c>
      <c r="B789" t="s">
        <v>1665</v>
      </c>
      <c r="C789" t="s">
        <v>2149</v>
      </c>
      <c r="D789" t="s">
        <v>2651</v>
      </c>
      <c r="E789" t="str">
        <f t="shared" si="142"/>
        <v>Melanie Gay</v>
      </c>
      <c r="H789" t="s">
        <v>43</v>
      </c>
      <c r="I789" t="str">
        <f t="shared" si="143"/>
        <v>Female</v>
      </c>
      <c r="J789">
        <v>23</v>
      </c>
      <c r="K789">
        <f t="shared" si="144"/>
        <v>23</v>
      </c>
      <c r="L789" t="str">
        <f t="shared" si="145"/>
        <v>First level</v>
      </c>
      <c r="M789" t="s">
        <v>15</v>
      </c>
      <c r="N789" t="s">
        <v>16</v>
      </c>
      <c r="O789" t="s">
        <v>82</v>
      </c>
      <c r="P789">
        <v>1</v>
      </c>
      <c r="Q789">
        <f t="shared" si="146"/>
        <v>1</v>
      </c>
      <c r="R789" t="s">
        <v>44</v>
      </c>
      <c r="S789" s="8" t="s">
        <v>44</v>
      </c>
      <c r="T789" s="9">
        <v>30</v>
      </c>
      <c r="U789" s="9">
        <f t="shared" si="147"/>
        <v>30</v>
      </c>
      <c r="V789" s="10">
        <v>30</v>
      </c>
      <c r="W789">
        <v>5</v>
      </c>
      <c r="X789" s="11">
        <f t="shared" si="148"/>
        <v>5</v>
      </c>
      <c r="Y789" t="s">
        <v>2102</v>
      </c>
      <c r="Z789" t="str">
        <f t="shared" si="149"/>
        <v>No</v>
      </c>
      <c r="AA789" t="str">
        <f t="shared" si="150"/>
        <v>No</v>
      </c>
      <c r="AB789" t="str">
        <f t="shared" si="151"/>
        <v>No</v>
      </c>
      <c r="AC789" s="12">
        <v>97</v>
      </c>
      <c r="AD789" s="12">
        <f t="shared" si="152"/>
        <v>97</v>
      </c>
    </row>
    <row r="790" spans="1:30" x14ac:dyDescent="0.3">
      <c r="A790" t="s">
        <v>1666</v>
      </c>
      <c r="B790" t="s">
        <v>1667</v>
      </c>
      <c r="C790" t="s">
        <v>2536</v>
      </c>
      <c r="D790" t="s">
        <v>2838</v>
      </c>
      <c r="E790" t="str">
        <f t="shared" si="142"/>
        <v>Brittany Lambert</v>
      </c>
      <c r="H790" t="s">
        <v>86</v>
      </c>
      <c r="I790" t="str">
        <f t="shared" si="143"/>
        <v>Female</v>
      </c>
      <c r="J790">
        <v>56</v>
      </c>
      <c r="K790">
        <f t="shared" si="144"/>
        <v>56</v>
      </c>
      <c r="L790" t="str">
        <f t="shared" si="145"/>
        <v>Fourth level</v>
      </c>
      <c r="M790" t="s">
        <v>149</v>
      </c>
      <c r="N790" t="s">
        <v>150</v>
      </c>
      <c r="O790" t="s">
        <v>33</v>
      </c>
      <c r="P790">
        <v>13</v>
      </c>
      <c r="Q790">
        <f t="shared" si="146"/>
        <v>13</v>
      </c>
      <c r="R790" t="s">
        <v>44</v>
      </c>
      <c r="S790" s="8" t="s">
        <v>44</v>
      </c>
      <c r="T790" s="9">
        <v>30</v>
      </c>
      <c r="U790" s="9">
        <f t="shared" si="147"/>
        <v>30</v>
      </c>
      <c r="V790" s="10">
        <v>30</v>
      </c>
      <c r="W790">
        <v>0</v>
      </c>
      <c r="X790" s="11">
        <f t="shared" si="148"/>
        <v>0</v>
      </c>
      <c r="Y790" t="s">
        <v>65</v>
      </c>
      <c r="AA790" t="str">
        <f t="shared" si="150"/>
        <v>Unknown</v>
      </c>
      <c r="AB790" t="str">
        <f t="shared" si="151"/>
        <v>Unknown</v>
      </c>
      <c r="AC790" s="12">
        <v>77</v>
      </c>
      <c r="AD790" s="12">
        <f t="shared" si="152"/>
        <v>77</v>
      </c>
    </row>
    <row r="791" spans="1:30" x14ac:dyDescent="0.3">
      <c r="A791" t="s">
        <v>1668</v>
      </c>
      <c r="B791" t="s">
        <v>1669</v>
      </c>
      <c r="C791" t="s">
        <v>2492</v>
      </c>
      <c r="D791" t="s">
        <v>2177</v>
      </c>
      <c r="E791" t="str">
        <f t="shared" si="142"/>
        <v>Mary Hernandez</v>
      </c>
      <c r="H791" t="s">
        <v>43</v>
      </c>
      <c r="I791" t="str">
        <f t="shared" si="143"/>
        <v>Female</v>
      </c>
      <c r="J791">
        <v>31</v>
      </c>
      <c r="K791">
        <f t="shared" si="144"/>
        <v>31</v>
      </c>
      <c r="L791" t="str">
        <f t="shared" si="145"/>
        <v>Second level</v>
      </c>
      <c r="M791" t="s">
        <v>190</v>
      </c>
      <c r="N791" t="s">
        <v>81</v>
      </c>
      <c r="O791" t="s">
        <v>82</v>
      </c>
      <c r="P791">
        <v>6</v>
      </c>
      <c r="Q791">
        <f t="shared" si="146"/>
        <v>6</v>
      </c>
      <c r="R791" t="s">
        <v>65</v>
      </c>
      <c r="S791" s="8" t="s">
        <v>65</v>
      </c>
      <c r="T791" s="9"/>
      <c r="U791" s="9">
        <f t="shared" si="147"/>
        <v>52.717948717948715</v>
      </c>
      <c r="V791" s="10">
        <v>52.717948717948715</v>
      </c>
      <c r="W791">
        <v>3.5</v>
      </c>
      <c r="X791" s="11">
        <f t="shared" si="148"/>
        <v>3.5</v>
      </c>
      <c r="Y791" t="s">
        <v>170</v>
      </c>
      <c r="Z791" t="str">
        <f t="shared" si="149"/>
        <v>no</v>
      </c>
      <c r="AA791" t="str">
        <f t="shared" si="150"/>
        <v>no</v>
      </c>
      <c r="AB791" t="str">
        <f t="shared" si="151"/>
        <v>No</v>
      </c>
      <c r="AC791" s="12">
        <v>86</v>
      </c>
      <c r="AD791" s="12">
        <f t="shared" si="152"/>
        <v>86</v>
      </c>
    </row>
    <row r="792" spans="1:30" x14ac:dyDescent="0.3">
      <c r="A792" t="s">
        <v>1670</v>
      </c>
      <c r="B792" t="s">
        <v>1671</v>
      </c>
      <c r="C792" t="s">
        <v>2314</v>
      </c>
      <c r="D792" t="s">
        <v>2159</v>
      </c>
      <c r="E792" t="str">
        <f t="shared" si="142"/>
        <v>Jonathan Jones</v>
      </c>
      <c r="H792" t="s">
        <v>107</v>
      </c>
      <c r="I792" t="str">
        <f t="shared" si="143"/>
        <v>Male</v>
      </c>
      <c r="J792">
        <v>24</v>
      </c>
      <c r="K792">
        <f t="shared" si="144"/>
        <v>24</v>
      </c>
      <c r="L792" t="str">
        <f t="shared" si="145"/>
        <v>First level</v>
      </c>
      <c r="M792" t="s">
        <v>64</v>
      </c>
      <c r="N792" t="s">
        <v>24</v>
      </c>
      <c r="O792" t="s">
        <v>87</v>
      </c>
      <c r="P792">
        <v>4</v>
      </c>
      <c r="Q792">
        <f t="shared" si="146"/>
        <v>4</v>
      </c>
      <c r="R792" t="s">
        <v>34</v>
      </c>
      <c r="S792" s="8" t="s">
        <v>34</v>
      </c>
      <c r="T792" s="9">
        <v>50</v>
      </c>
      <c r="U792" s="9">
        <f t="shared" si="147"/>
        <v>50</v>
      </c>
      <c r="V792" s="10">
        <v>50</v>
      </c>
      <c r="W792">
        <v>3.1</v>
      </c>
      <c r="X792" s="11">
        <f t="shared" si="148"/>
        <v>3.1</v>
      </c>
      <c r="Y792" t="s">
        <v>2102</v>
      </c>
      <c r="Z792" t="str">
        <f t="shared" si="149"/>
        <v>No</v>
      </c>
      <c r="AA792" t="str">
        <f t="shared" si="150"/>
        <v>No</v>
      </c>
      <c r="AB792" t="str">
        <f t="shared" si="151"/>
        <v>No</v>
      </c>
      <c r="AC792" s="12">
        <v>95</v>
      </c>
      <c r="AD792" s="12">
        <f t="shared" si="152"/>
        <v>95</v>
      </c>
    </row>
    <row r="793" spans="1:30" x14ac:dyDescent="0.3">
      <c r="A793" t="s">
        <v>1672</v>
      </c>
      <c r="B793" t="s">
        <v>1673</v>
      </c>
      <c r="C793" t="s">
        <v>2227</v>
      </c>
      <c r="D793" t="s">
        <v>2181</v>
      </c>
      <c r="E793" t="str">
        <f t="shared" si="142"/>
        <v>Gina Williams</v>
      </c>
      <c r="H793" t="s">
        <v>22</v>
      </c>
      <c r="I793" t="str">
        <f t="shared" si="143"/>
        <v>Female</v>
      </c>
      <c r="J793">
        <v>35</v>
      </c>
      <c r="K793">
        <f t="shared" si="144"/>
        <v>35</v>
      </c>
      <c r="L793" t="str">
        <f t="shared" si="145"/>
        <v>Second level</v>
      </c>
      <c r="M793" t="s">
        <v>117</v>
      </c>
      <c r="N793" t="s">
        <v>118</v>
      </c>
      <c r="O793" t="s">
        <v>87</v>
      </c>
      <c r="P793">
        <v>7</v>
      </c>
      <c r="Q793">
        <f t="shared" si="146"/>
        <v>7</v>
      </c>
      <c r="R793" t="s">
        <v>65</v>
      </c>
      <c r="S793" s="8" t="s">
        <v>65</v>
      </c>
      <c r="T793" s="9"/>
      <c r="U793" s="9">
        <f t="shared" si="147"/>
        <v>52.835051546391753</v>
      </c>
      <c r="V793" s="10">
        <v>52.835051546391753</v>
      </c>
      <c r="W793">
        <v>3.9</v>
      </c>
      <c r="X793" s="11">
        <f t="shared" si="148"/>
        <v>3.9</v>
      </c>
      <c r="Y793" t="s">
        <v>2102</v>
      </c>
      <c r="Z793" t="str">
        <f t="shared" si="149"/>
        <v>No</v>
      </c>
      <c r="AA793" t="str">
        <f t="shared" si="150"/>
        <v>No</v>
      </c>
      <c r="AB793" t="str">
        <f t="shared" si="151"/>
        <v>No</v>
      </c>
      <c r="AC793" s="12">
        <v>72</v>
      </c>
      <c r="AD793" s="12">
        <f t="shared" si="152"/>
        <v>72</v>
      </c>
    </row>
    <row r="794" spans="1:30" x14ac:dyDescent="0.3">
      <c r="A794" t="s">
        <v>1674</v>
      </c>
      <c r="B794" t="s">
        <v>1675</v>
      </c>
      <c r="C794" t="s">
        <v>2224</v>
      </c>
      <c r="D794" t="s">
        <v>2142</v>
      </c>
      <c r="E794" t="str">
        <f t="shared" si="142"/>
        <v>Kelly Lawson</v>
      </c>
      <c r="H794" t="s">
        <v>22</v>
      </c>
      <c r="I794" t="str">
        <f t="shared" si="143"/>
        <v>Female</v>
      </c>
      <c r="J794">
        <v>20</v>
      </c>
      <c r="K794">
        <f t="shared" si="144"/>
        <v>20</v>
      </c>
      <c r="L794" t="str">
        <f t="shared" si="145"/>
        <v>First level</v>
      </c>
      <c r="M794" t="s">
        <v>201</v>
      </c>
      <c r="N794" t="s">
        <v>81</v>
      </c>
      <c r="O794" t="s">
        <v>49</v>
      </c>
      <c r="P794">
        <v>1</v>
      </c>
      <c r="Q794">
        <f t="shared" si="146"/>
        <v>1</v>
      </c>
      <c r="R794" t="s">
        <v>65</v>
      </c>
      <c r="S794" s="8" t="s">
        <v>65</v>
      </c>
      <c r="T794" s="9"/>
      <c r="U794" s="9">
        <f t="shared" si="147"/>
        <v>52.84974093264249</v>
      </c>
      <c r="V794" s="10">
        <v>52.84974093264249</v>
      </c>
      <c r="W794">
        <v>3.5</v>
      </c>
      <c r="X794" s="11">
        <f t="shared" si="148"/>
        <v>3.5</v>
      </c>
      <c r="Y794" t="s">
        <v>2102</v>
      </c>
      <c r="Z794" t="str">
        <f t="shared" si="149"/>
        <v>No</v>
      </c>
      <c r="AA794" t="str">
        <f t="shared" si="150"/>
        <v>No</v>
      </c>
      <c r="AB794" t="str">
        <f t="shared" si="151"/>
        <v>No</v>
      </c>
      <c r="AC794" s="12">
        <v>71</v>
      </c>
      <c r="AD794" s="12">
        <f t="shared" si="152"/>
        <v>71</v>
      </c>
    </row>
    <row r="795" spans="1:30" x14ac:dyDescent="0.3">
      <c r="A795" t="s">
        <v>1676</v>
      </c>
      <c r="B795" t="s">
        <v>1677</v>
      </c>
      <c r="C795" t="s">
        <v>2472</v>
      </c>
      <c r="D795" t="s">
        <v>2161</v>
      </c>
      <c r="E795" t="str">
        <f t="shared" si="142"/>
        <v>Keith Smith</v>
      </c>
      <c r="H795" t="s">
        <v>107</v>
      </c>
      <c r="I795" t="str">
        <f t="shared" si="143"/>
        <v>Male</v>
      </c>
      <c r="J795">
        <v>26</v>
      </c>
      <c r="K795">
        <f t="shared" si="144"/>
        <v>26</v>
      </c>
      <c r="L795" t="str">
        <f t="shared" si="145"/>
        <v>First level</v>
      </c>
      <c r="M795" t="s">
        <v>23</v>
      </c>
      <c r="N795" t="s">
        <v>24</v>
      </c>
      <c r="O795" t="s">
        <v>57</v>
      </c>
      <c r="P795">
        <v>5</v>
      </c>
      <c r="Q795">
        <f t="shared" si="146"/>
        <v>5</v>
      </c>
      <c r="R795" t="s">
        <v>240</v>
      </c>
      <c r="S795" s="8" t="s">
        <v>18</v>
      </c>
      <c r="T795" s="9">
        <v>100</v>
      </c>
      <c r="U795" s="9">
        <f t="shared" si="147"/>
        <v>100</v>
      </c>
      <c r="V795" s="10">
        <v>100</v>
      </c>
      <c r="W795">
        <v>2.5</v>
      </c>
      <c r="X795" s="11">
        <f t="shared" si="148"/>
        <v>2.5</v>
      </c>
      <c r="Y795" t="s">
        <v>2103</v>
      </c>
      <c r="Z795" t="str">
        <f t="shared" si="149"/>
        <v>Yes</v>
      </c>
      <c r="AA795" t="str">
        <f t="shared" si="150"/>
        <v>Yes</v>
      </c>
      <c r="AB795" t="str">
        <f t="shared" si="151"/>
        <v>Yes</v>
      </c>
      <c r="AC795" s="12">
        <v>93</v>
      </c>
      <c r="AD795" s="12">
        <f t="shared" si="152"/>
        <v>93</v>
      </c>
    </row>
    <row r="796" spans="1:30" x14ac:dyDescent="0.3">
      <c r="A796" t="s">
        <v>1678</v>
      </c>
      <c r="B796" t="s">
        <v>1679</v>
      </c>
      <c r="C796" t="s">
        <v>2308</v>
      </c>
      <c r="D796" t="s">
        <v>2732</v>
      </c>
      <c r="E796" t="str">
        <f t="shared" si="142"/>
        <v>Christopher Hunter</v>
      </c>
      <c r="H796" t="s">
        <v>107</v>
      </c>
      <c r="I796" t="str">
        <f t="shared" si="143"/>
        <v>Male</v>
      </c>
      <c r="J796">
        <v>54</v>
      </c>
      <c r="K796">
        <f t="shared" si="144"/>
        <v>54</v>
      </c>
      <c r="L796" t="str">
        <f t="shared" si="145"/>
        <v>Fourth level</v>
      </c>
      <c r="M796" t="s">
        <v>75</v>
      </c>
      <c r="N796" t="s">
        <v>24</v>
      </c>
      <c r="O796" t="s">
        <v>99</v>
      </c>
      <c r="P796">
        <v>29</v>
      </c>
      <c r="Q796">
        <f t="shared" si="146"/>
        <v>29</v>
      </c>
      <c r="R796" t="s">
        <v>61</v>
      </c>
      <c r="S796" s="8" t="s">
        <v>2094</v>
      </c>
      <c r="T796" s="9">
        <v>40</v>
      </c>
      <c r="U796" s="9">
        <f t="shared" si="147"/>
        <v>40</v>
      </c>
      <c r="V796" s="10">
        <v>40</v>
      </c>
      <c r="W796">
        <v>3.1</v>
      </c>
      <c r="X796" s="11">
        <f t="shared" si="148"/>
        <v>3.1</v>
      </c>
      <c r="Y796" t="s">
        <v>2103</v>
      </c>
      <c r="Z796" t="str">
        <f t="shared" si="149"/>
        <v>Yes</v>
      </c>
      <c r="AA796" t="str">
        <f t="shared" si="150"/>
        <v>Yes</v>
      </c>
      <c r="AB796" t="str">
        <f t="shared" si="151"/>
        <v>Yes</v>
      </c>
      <c r="AC796" s="12"/>
      <c r="AD796" s="12">
        <f t="shared" si="152"/>
        <v>79.668604651162795</v>
      </c>
    </row>
    <row r="797" spans="1:30" x14ac:dyDescent="0.3">
      <c r="A797" t="s">
        <v>1680</v>
      </c>
      <c r="B797" t="s">
        <v>1681</v>
      </c>
      <c r="C797" t="s">
        <v>2839</v>
      </c>
      <c r="D797" t="s">
        <v>2840</v>
      </c>
      <c r="E797" t="str">
        <f t="shared" si="142"/>
        <v>Dwayne Parks</v>
      </c>
      <c r="H797" t="s">
        <v>107</v>
      </c>
      <c r="I797" t="str">
        <f t="shared" si="143"/>
        <v>Male</v>
      </c>
      <c r="J797">
        <v>53</v>
      </c>
      <c r="K797">
        <f t="shared" si="144"/>
        <v>53</v>
      </c>
      <c r="L797" t="str">
        <f t="shared" si="145"/>
        <v>Fourth level</v>
      </c>
      <c r="M797" t="s">
        <v>134</v>
      </c>
      <c r="N797" t="s">
        <v>135</v>
      </c>
      <c r="O797" t="s">
        <v>87</v>
      </c>
      <c r="P797">
        <v>12</v>
      </c>
      <c r="Q797">
        <f t="shared" si="146"/>
        <v>12</v>
      </c>
      <c r="R797" t="s">
        <v>18</v>
      </c>
      <c r="S797" s="8" t="s">
        <v>18</v>
      </c>
      <c r="T797" s="9">
        <v>100</v>
      </c>
      <c r="U797" s="9">
        <f t="shared" si="147"/>
        <v>100</v>
      </c>
      <c r="V797" s="10">
        <v>100</v>
      </c>
      <c r="W797">
        <v>4.7</v>
      </c>
      <c r="X797" s="11">
        <f t="shared" si="148"/>
        <v>4.7</v>
      </c>
      <c r="Y797" t="s">
        <v>2103</v>
      </c>
      <c r="Z797" t="str">
        <f t="shared" si="149"/>
        <v>Yes</v>
      </c>
      <c r="AA797" t="str">
        <f t="shared" si="150"/>
        <v>Yes</v>
      </c>
      <c r="AB797" t="str">
        <f t="shared" si="151"/>
        <v>Yes</v>
      </c>
      <c r="AC797" s="12">
        <v>87</v>
      </c>
      <c r="AD797" s="12">
        <f t="shared" si="152"/>
        <v>87</v>
      </c>
    </row>
    <row r="798" spans="1:30" x14ac:dyDescent="0.3">
      <c r="A798" t="s">
        <v>1682</v>
      </c>
      <c r="B798" t="s">
        <v>1683</v>
      </c>
      <c r="C798" t="s">
        <v>2492</v>
      </c>
      <c r="D798" t="s">
        <v>2616</v>
      </c>
      <c r="E798" t="str">
        <f t="shared" si="142"/>
        <v>Mary Hall</v>
      </c>
      <c r="H798" t="s">
        <v>86</v>
      </c>
      <c r="I798" t="str">
        <f t="shared" si="143"/>
        <v>Female</v>
      </c>
      <c r="J798">
        <v>33</v>
      </c>
      <c r="K798">
        <f t="shared" si="144"/>
        <v>33</v>
      </c>
      <c r="L798" t="str">
        <f t="shared" si="145"/>
        <v>Second level</v>
      </c>
      <c r="M798" t="s">
        <v>138</v>
      </c>
      <c r="N798" t="s">
        <v>24</v>
      </c>
      <c r="O798" t="s">
        <v>99</v>
      </c>
      <c r="P798">
        <v>4</v>
      </c>
      <c r="Q798">
        <f t="shared" si="146"/>
        <v>4</v>
      </c>
      <c r="R798" t="s">
        <v>65</v>
      </c>
      <c r="S798" s="8" t="s">
        <v>65</v>
      </c>
      <c r="T798" s="9"/>
      <c r="U798" s="9">
        <f t="shared" si="147"/>
        <v>52.670157068062828</v>
      </c>
      <c r="V798" s="10">
        <v>52.670157068062828</v>
      </c>
      <c r="W798">
        <v>1.9</v>
      </c>
      <c r="X798" s="11">
        <f t="shared" si="148"/>
        <v>1.9</v>
      </c>
      <c r="Y798" t="s">
        <v>2102</v>
      </c>
      <c r="Z798" t="str">
        <f t="shared" si="149"/>
        <v>No</v>
      </c>
      <c r="AA798" t="str">
        <f t="shared" si="150"/>
        <v>No</v>
      </c>
      <c r="AB798" t="str">
        <f t="shared" si="151"/>
        <v>No</v>
      </c>
      <c r="AC798" s="12">
        <v>73</v>
      </c>
      <c r="AD798" s="12">
        <f t="shared" si="152"/>
        <v>73</v>
      </c>
    </row>
    <row r="799" spans="1:30" x14ac:dyDescent="0.3">
      <c r="A799" t="s">
        <v>1684</v>
      </c>
      <c r="B799" t="s">
        <v>1685</v>
      </c>
      <c r="C799" t="s">
        <v>2841</v>
      </c>
      <c r="D799" t="s">
        <v>2842</v>
      </c>
      <c r="E799" t="str">
        <f t="shared" si="142"/>
        <v>Jake Gilmore</v>
      </c>
      <c r="H799" t="s">
        <v>107</v>
      </c>
      <c r="I799" t="str">
        <f t="shared" si="143"/>
        <v>Male</v>
      </c>
      <c r="J799">
        <v>43</v>
      </c>
      <c r="K799">
        <f t="shared" si="144"/>
        <v>43</v>
      </c>
      <c r="L799" t="str">
        <f t="shared" si="145"/>
        <v>Third level</v>
      </c>
      <c r="M799" t="s">
        <v>47</v>
      </c>
      <c r="N799" t="s">
        <v>48</v>
      </c>
      <c r="O799" t="s">
        <v>39</v>
      </c>
      <c r="P799">
        <v>12</v>
      </c>
      <c r="Q799">
        <f t="shared" si="146"/>
        <v>12</v>
      </c>
      <c r="R799" t="s">
        <v>65</v>
      </c>
      <c r="S799" s="8" t="s">
        <v>65</v>
      </c>
      <c r="T799" s="9"/>
      <c r="U799" s="9">
        <f t="shared" si="147"/>
        <v>52.421052631578945</v>
      </c>
      <c r="V799" s="10">
        <v>52.421052631578945</v>
      </c>
      <c r="W799">
        <v>1.6</v>
      </c>
      <c r="X799" s="11">
        <f t="shared" si="148"/>
        <v>1.6</v>
      </c>
      <c r="Y799" t="s">
        <v>2103</v>
      </c>
      <c r="Z799" t="str">
        <f t="shared" si="149"/>
        <v>Yes</v>
      </c>
      <c r="AA799" t="str">
        <f t="shared" si="150"/>
        <v>Yes</v>
      </c>
      <c r="AB799" t="str">
        <f t="shared" si="151"/>
        <v>Yes</v>
      </c>
      <c r="AC799" s="12">
        <v>74</v>
      </c>
      <c r="AD799" s="12">
        <f t="shared" si="152"/>
        <v>74</v>
      </c>
    </row>
    <row r="800" spans="1:30" x14ac:dyDescent="0.3">
      <c r="A800" t="s">
        <v>1686</v>
      </c>
      <c r="B800" t="s">
        <v>1687</v>
      </c>
      <c r="C800" t="s">
        <v>2206</v>
      </c>
      <c r="D800" t="s">
        <v>2354</v>
      </c>
      <c r="E800" t="str">
        <f t="shared" si="142"/>
        <v>Mark Lopez</v>
      </c>
      <c r="H800" t="s">
        <v>107</v>
      </c>
      <c r="I800" t="str">
        <f t="shared" si="143"/>
        <v>Male</v>
      </c>
      <c r="J800">
        <v>37</v>
      </c>
      <c r="K800">
        <f t="shared" si="144"/>
        <v>37</v>
      </c>
      <c r="L800" t="str">
        <f t="shared" si="145"/>
        <v>Second level</v>
      </c>
      <c r="M800" t="s">
        <v>138</v>
      </c>
      <c r="N800" t="s">
        <v>24</v>
      </c>
      <c r="O800" t="s">
        <v>99</v>
      </c>
      <c r="P800">
        <v>3</v>
      </c>
      <c r="Q800">
        <f t="shared" si="146"/>
        <v>3</v>
      </c>
      <c r="R800" t="s">
        <v>151</v>
      </c>
      <c r="S800" s="8" t="s">
        <v>151</v>
      </c>
      <c r="T800" s="9">
        <v>20</v>
      </c>
      <c r="U800" s="9">
        <f t="shared" si="147"/>
        <v>20</v>
      </c>
      <c r="V800" s="10">
        <v>20</v>
      </c>
      <c r="W800">
        <v>2.5</v>
      </c>
      <c r="X800" s="11">
        <f t="shared" si="148"/>
        <v>2.5</v>
      </c>
      <c r="Y800" t="s">
        <v>2102</v>
      </c>
      <c r="Z800" t="str">
        <f t="shared" si="149"/>
        <v>No</v>
      </c>
      <c r="AA800" t="str">
        <f t="shared" si="150"/>
        <v>No</v>
      </c>
      <c r="AB800" t="str">
        <f t="shared" si="151"/>
        <v>No</v>
      </c>
      <c r="AC800" s="12">
        <v>62</v>
      </c>
      <c r="AD800" s="12">
        <f t="shared" si="152"/>
        <v>62</v>
      </c>
    </row>
    <row r="801" spans="1:30" x14ac:dyDescent="0.3">
      <c r="A801" t="s">
        <v>1688</v>
      </c>
      <c r="B801" t="s">
        <v>1689</v>
      </c>
      <c r="C801" t="s">
        <v>2742</v>
      </c>
      <c r="D801" t="s">
        <v>2771</v>
      </c>
      <c r="E801" t="str">
        <f t="shared" si="142"/>
        <v>Dana Rice</v>
      </c>
      <c r="H801" t="s">
        <v>43</v>
      </c>
      <c r="I801" t="str">
        <f t="shared" si="143"/>
        <v>Female</v>
      </c>
      <c r="J801">
        <v>58</v>
      </c>
      <c r="K801">
        <f t="shared" si="144"/>
        <v>58</v>
      </c>
      <c r="L801" t="str">
        <f t="shared" si="145"/>
        <v>Fourth level</v>
      </c>
      <c r="M801" t="s">
        <v>145</v>
      </c>
      <c r="N801" t="s">
        <v>146</v>
      </c>
      <c r="O801" t="s">
        <v>57</v>
      </c>
      <c r="P801">
        <v>15</v>
      </c>
      <c r="Q801">
        <f t="shared" si="146"/>
        <v>15</v>
      </c>
      <c r="R801" t="s">
        <v>151</v>
      </c>
      <c r="S801" s="8" t="s">
        <v>151</v>
      </c>
      <c r="T801" s="9">
        <v>20</v>
      </c>
      <c r="U801" s="9">
        <f t="shared" si="147"/>
        <v>20</v>
      </c>
      <c r="V801" s="10">
        <v>20</v>
      </c>
      <c r="W801">
        <v>3.5</v>
      </c>
      <c r="X801" s="11">
        <f t="shared" si="148"/>
        <v>3.5</v>
      </c>
      <c r="Y801" t="s">
        <v>65</v>
      </c>
      <c r="AA801" t="str">
        <f t="shared" si="150"/>
        <v>Unknown</v>
      </c>
      <c r="AB801" t="str">
        <f t="shared" si="151"/>
        <v>Unknown</v>
      </c>
      <c r="AC801" s="12">
        <v>98</v>
      </c>
      <c r="AD801" s="12">
        <f t="shared" si="152"/>
        <v>98</v>
      </c>
    </row>
    <row r="802" spans="1:30" x14ac:dyDescent="0.3">
      <c r="A802" t="s">
        <v>1690</v>
      </c>
      <c r="B802" t="s">
        <v>1691</v>
      </c>
      <c r="C802" t="s">
        <v>2507</v>
      </c>
      <c r="D802" t="s">
        <v>2739</v>
      </c>
      <c r="E802" t="str">
        <f t="shared" si="142"/>
        <v>Beth Young</v>
      </c>
      <c r="H802" t="s">
        <v>22</v>
      </c>
      <c r="I802" t="str">
        <f t="shared" si="143"/>
        <v>Female</v>
      </c>
      <c r="J802">
        <v>39</v>
      </c>
      <c r="K802">
        <f t="shared" si="144"/>
        <v>39</v>
      </c>
      <c r="L802" t="str">
        <f t="shared" si="145"/>
        <v>Second level</v>
      </c>
      <c r="M802" t="s">
        <v>201</v>
      </c>
      <c r="N802" t="s">
        <v>81</v>
      </c>
      <c r="O802" t="s">
        <v>25</v>
      </c>
      <c r="P802">
        <v>15</v>
      </c>
      <c r="Q802">
        <f t="shared" si="146"/>
        <v>15</v>
      </c>
      <c r="R802" t="s">
        <v>34</v>
      </c>
      <c r="S802" s="8" t="s">
        <v>34</v>
      </c>
      <c r="T802" s="9">
        <v>50</v>
      </c>
      <c r="U802" s="9">
        <f t="shared" si="147"/>
        <v>50</v>
      </c>
      <c r="V802" s="10">
        <v>50</v>
      </c>
      <c r="X802" s="11">
        <f t="shared" si="148"/>
        <v>2.4697142857142862</v>
      </c>
      <c r="Y802" t="s">
        <v>2102</v>
      </c>
      <c r="Z802" t="str">
        <f t="shared" si="149"/>
        <v>No</v>
      </c>
      <c r="AA802" t="str">
        <f t="shared" si="150"/>
        <v>No</v>
      </c>
      <c r="AB802" t="str">
        <f t="shared" si="151"/>
        <v>No</v>
      </c>
      <c r="AC802" s="12">
        <v>80</v>
      </c>
      <c r="AD802" s="12">
        <f t="shared" si="152"/>
        <v>80</v>
      </c>
    </row>
    <row r="803" spans="1:30" x14ac:dyDescent="0.3">
      <c r="A803" t="s">
        <v>1692</v>
      </c>
      <c r="B803" t="s">
        <v>1693</v>
      </c>
      <c r="C803" t="s">
        <v>2420</v>
      </c>
      <c r="D803" t="s">
        <v>2485</v>
      </c>
      <c r="E803" t="str">
        <f t="shared" si="142"/>
        <v>Ryan Powell</v>
      </c>
      <c r="H803" t="s">
        <v>30</v>
      </c>
      <c r="I803" t="str">
        <f t="shared" si="143"/>
        <v>Male</v>
      </c>
      <c r="J803">
        <v>43</v>
      </c>
      <c r="K803">
        <f t="shared" si="144"/>
        <v>43</v>
      </c>
      <c r="L803" t="str">
        <f t="shared" si="145"/>
        <v>Third level</v>
      </c>
      <c r="M803" t="s">
        <v>70</v>
      </c>
      <c r="N803" t="s">
        <v>71</v>
      </c>
      <c r="O803" t="s">
        <v>33</v>
      </c>
      <c r="P803">
        <v>13</v>
      </c>
      <c r="Q803">
        <f t="shared" si="146"/>
        <v>13</v>
      </c>
      <c r="R803" t="s">
        <v>325</v>
      </c>
      <c r="S803" s="8" t="s">
        <v>2097</v>
      </c>
      <c r="T803" s="9">
        <v>20</v>
      </c>
      <c r="U803" s="9">
        <f t="shared" si="147"/>
        <v>20</v>
      </c>
      <c r="V803" s="10">
        <v>20</v>
      </c>
      <c r="W803">
        <v>1.2</v>
      </c>
      <c r="X803" s="11">
        <f t="shared" si="148"/>
        <v>1.2</v>
      </c>
      <c r="Y803" t="s">
        <v>2103</v>
      </c>
      <c r="Z803" t="str">
        <f t="shared" si="149"/>
        <v>Yes</v>
      </c>
      <c r="AA803" t="str">
        <f t="shared" si="150"/>
        <v>Yes</v>
      </c>
      <c r="AB803" t="str">
        <f t="shared" si="151"/>
        <v>Yes</v>
      </c>
      <c r="AC803" s="12">
        <v>69</v>
      </c>
      <c r="AD803" s="12">
        <f t="shared" si="152"/>
        <v>69</v>
      </c>
    </row>
    <row r="804" spans="1:30" x14ac:dyDescent="0.3">
      <c r="A804" t="s">
        <v>1694</v>
      </c>
      <c r="B804" t="s">
        <v>1695</v>
      </c>
      <c r="C804" t="s">
        <v>2112</v>
      </c>
      <c r="D804" t="s">
        <v>2335</v>
      </c>
      <c r="E804" t="str">
        <f t="shared" si="142"/>
        <v>Amanda Fowler</v>
      </c>
      <c r="H804" t="s">
        <v>86</v>
      </c>
      <c r="I804" t="str">
        <f t="shared" si="143"/>
        <v>Female</v>
      </c>
      <c r="J804">
        <v>40</v>
      </c>
      <c r="K804">
        <f t="shared" si="144"/>
        <v>40</v>
      </c>
      <c r="L804" t="str">
        <f t="shared" si="145"/>
        <v>Second level</v>
      </c>
      <c r="M804" t="s">
        <v>201</v>
      </c>
      <c r="N804" t="s">
        <v>81</v>
      </c>
      <c r="O804" t="s">
        <v>17</v>
      </c>
      <c r="P804">
        <v>20</v>
      </c>
      <c r="Q804">
        <f t="shared" si="146"/>
        <v>20</v>
      </c>
      <c r="R804" t="s">
        <v>119</v>
      </c>
      <c r="S804" s="8" t="s">
        <v>2096</v>
      </c>
      <c r="T804" s="9">
        <v>30</v>
      </c>
      <c r="U804" s="9">
        <f t="shared" si="147"/>
        <v>30</v>
      </c>
      <c r="V804" s="10">
        <v>30</v>
      </c>
      <c r="X804" s="11">
        <f t="shared" si="148"/>
        <v>2.4770114942528743</v>
      </c>
      <c r="Y804" t="s">
        <v>2102</v>
      </c>
      <c r="Z804" t="str">
        <f t="shared" si="149"/>
        <v>No</v>
      </c>
      <c r="AA804" t="str">
        <f t="shared" si="150"/>
        <v>No</v>
      </c>
      <c r="AB804" t="str">
        <f t="shared" si="151"/>
        <v>No</v>
      </c>
      <c r="AC804" s="12">
        <v>90</v>
      </c>
      <c r="AD804" s="12">
        <f t="shared" si="152"/>
        <v>90</v>
      </c>
    </row>
    <row r="805" spans="1:30" x14ac:dyDescent="0.3">
      <c r="A805" t="s">
        <v>1696</v>
      </c>
      <c r="B805" t="s">
        <v>1697</v>
      </c>
      <c r="C805" t="s">
        <v>2634</v>
      </c>
      <c r="D805" t="s">
        <v>2843</v>
      </c>
      <c r="E805" t="str">
        <f t="shared" si="142"/>
        <v>Lindsay Rivera</v>
      </c>
      <c r="H805" t="s">
        <v>86</v>
      </c>
      <c r="I805" t="str">
        <f t="shared" si="143"/>
        <v>Female</v>
      </c>
      <c r="J805">
        <v>51</v>
      </c>
      <c r="K805">
        <f t="shared" si="144"/>
        <v>51</v>
      </c>
      <c r="L805" t="str">
        <f t="shared" si="145"/>
        <v>Fourth level</v>
      </c>
      <c r="M805" t="s">
        <v>75</v>
      </c>
      <c r="N805" t="s">
        <v>24</v>
      </c>
      <c r="O805" t="s">
        <v>124</v>
      </c>
      <c r="P805">
        <v>30</v>
      </c>
      <c r="Q805">
        <f t="shared" si="146"/>
        <v>30</v>
      </c>
      <c r="R805" t="s">
        <v>92</v>
      </c>
      <c r="S805" s="8" t="s">
        <v>92</v>
      </c>
      <c r="T805" s="9">
        <v>75</v>
      </c>
      <c r="U805" s="9">
        <f t="shared" si="147"/>
        <v>75</v>
      </c>
      <c r="V805" s="10">
        <v>75</v>
      </c>
      <c r="X805" s="11">
        <f t="shared" si="148"/>
        <v>2.4770114942528743</v>
      </c>
      <c r="Y805" t="s">
        <v>2103</v>
      </c>
      <c r="Z805" t="str">
        <f t="shared" si="149"/>
        <v>Yes</v>
      </c>
      <c r="AA805" t="str">
        <f t="shared" si="150"/>
        <v>Yes</v>
      </c>
      <c r="AB805" t="str">
        <f t="shared" si="151"/>
        <v>Yes</v>
      </c>
      <c r="AC805" s="12">
        <v>74</v>
      </c>
      <c r="AD805" s="12">
        <f t="shared" si="152"/>
        <v>74</v>
      </c>
    </row>
    <row r="806" spans="1:30" x14ac:dyDescent="0.3">
      <c r="A806" t="s">
        <v>1698</v>
      </c>
      <c r="B806" t="s">
        <v>1699</v>
      </c>
      <c r="C806" t="s">
        <v>2206</v>
      </c>
      <c r="D806" t="s">
        <v>2192</v>
      </c>
      <c r="E806" t="str">
        <f t="shared" si="142"/>
        <v>Mark Ward</v>
      </c>
      <c r="H806" t="s">
        <v>30</v>
      </c>
      <c r="I806" t="str">
        <f t="shared" si="143"/>
        <v>Male</v>
      </c>
      <c r="J806">
        <v>23</v>
      </c>
      <c r="K806">
        <f t="shared" si="144"/>
        <v>23</v>
      </c>
      <c r="L806" t="str">
        <f t="shared" si="145"/>
        <v>First level</v>
      </c>
      <c r="M806" t="s">
        <v>31</v>
      </c>
      <c r="N806" t="s">
        <v>32</v>
      </c>
      <c r="O806" t="s">
        <v>49</v>
      </c>
      <c r="P806">
        <v>4</v>
      </c>
      <c r="Q806">
        <f t="shared" si="146"/>
        <v>4</v>
      </c>
      <c r="R806" t="s">
        <v>34</v>
      </c>
      <c r="S806" s="8" t="s">
        <v>34</v>
      </c>
      <c r="T806" s="9">
        <v>50</v>
      </c>
      <c r="U806" s="9">
        <f t="shared" si="147"/>
        <v>50</v>
      </c>
      <c r="V806" s="10">
        <v>50</v>
      </c>
      <c r="W806">
        <v>4.5</v>
      </c>
      <c r="X806" s="11">
        <f t="shared" si="148"/>
        <v>4.5</v>
      </c>
      <c r="Y806" t="s">
        <v>2102</v>
      </c>
      <c r="Z806" t="str">
        <f t="shared" si="149"/>
        <v>No</v>
      </c>
      <c r="AA806" t="str">
        <f t="shared" si="150"/>
        <v>No</v>
      </c>
      <c r="AB806" t="str">
        <f t="shared" si="151"/>
        <v>No</v>
      </c>
      <c r="AC806" s="12">
        <v>98</v>
      </c>
      <c r="AD806" s="12">
        <f t="shared" si="152"/>
        <v>98</v>
      </c>
    </row>
    <row r="807" spans="1:30" x14ac:dyDescent="0.3">
      <c r="A807" t="s">
        <v>1700</v>
      </c>
      <c r="B807" t="s">
        <v>1701</v>
      </c>
      <c r="C807" t="s">
        <v>2112</v>
      </c>
      <c r="D807" t="s">
        <v>2161</v>
      </c>
      <c r="E807" t="str">
        <f t="shared" si="142"/>
        <v>Amanda Smith</v>
      </c>
      <c r="H807" t="s">
        <v>86</v>
      </c>
      <c r="I807" t="str">
        <f t="shared" si="143"/>
        <v>Female</v>
      </c>
      <c r="J807">
        <v>31</v>
      </c>
      <c r="K807">
        <f t="shared" si="144"/>
        <v>31</v>
      </c>
      <c r="L807" t="str">
        <f t="shared" si="145"/>
        <v>Second level</v>
      </c>
      <c r="M807" t="s">
        <v>55</v>
      </c>
      <c r="N807" t="s">
        <v>56</v>
      </c>
      <c r="O807" t="s">
        <v>33</v>
      </c>
      <c r="Q807">
        <f t="shared" si="146"/>
        <v>9</v>
      </c>
      <c r="R807" t="s">
        <v>325</v>
      </c>
      <c r="S807" s="8" t="s">
        <v>2097</v>
      </c>
      <c r="T807" s="9">
        <v>20</v>
      </c>
      <c r="U807" s="9">
        <f t="shared" si="147"/>
        <v>20</v>
      </c>
      <c r="V807" s="10">
        <v>20</v>
      </c>
      <c r="X807" s="11">
        <f t="shared" si="148"/>
        <v>2.4653179190751451</v>
      </c>
      <c r="Y807" t="s">
        <v>2103</v>
      </c>
      <c r="Z807" t="str">
        <f t="shared" si="149"/>
        <v>Yes</v>
      </c>
      <c r="AA807" t="str">
        <f t="shared" si="150"/>
        <v>Yes</v>
      </c>
      <c r="AB807" t="str">
        <f t="shared" si="151"/>
        <v>Yes</v>
      </c>
      <c r="AC807" s="12">
        <v>84</v>
      </c>
      <c r="AD807" s="12">
        <f t="shared" si="152"/>
        <v>84</v>
      </c>
    </row>
    <row r="808" spans="1:30" x14ac:dyDescent="0.3">
      <c r="A808" t="s">
        <v>1702</v>
      </c>
      <c r="B808" t="s">
        <v>1703</v>
      </c>
      <c r="C808" t="s">
        <v>2170</v>
      </c>
      <c r="D808" t="s">
        <v>2186</v>
      </c>
      <c r="E808" t="str">
        <f t="shared" si="142"/>
        <v>Emily Brown</v>
      </c>
      <c r="H808" t="s">
        <v>22</v>
      </c>
      <c r="I808" t="str">
        <f t="shared" si="143"/>
        <v>Female</v>
      </c>
      <c r="J808">
        <v>44</v>
      </c>
      <c r="K808">
        <f t="shared" si="144"/>
        <v>44</v>
      </c>
      <c r="L808" t="str">
        <f t="shared" si="145"/>
        <v>Third level</v>
      </c>
      <c r="M808" t="s">
        <v>134</v>
      </c>
      <c r="N808" t="s">
        <v>135</v>
      </c>
      <c r="O808" t="s">
        <v>39</v>
      </c>
      <c r="P808">
        <v>3</v>
      </c>
      <c r="Q808">
        <f t="shared" si="146"/>
        <v>3</v>
      </c>
      <c r="R808" t="s">
        <v>131</v>
      </c>
      <c r="S808" s="8" t="s">
        <v>131</v>
      </c>
      <c r="T808" s="9">
        <v>20</v>
      </c>
      <c r="U808" s="9">
        <f t="shared" si="147"/>
        <v>20</v>
      </c>
      <c r="V808" s="10">
        <v>20</v>
      </c>
      <c r="W808">
        <v>5</v>
      </c>
      <c r="X808" s="11">
        <f t="shared" si="148"/>
        <v>5</v>
      </c>
      <c r="Y808" t="s">
        <v>77</v>
      </c>
      <c r="Z808" t="str">
        <f t="shared" si="149"/>
        <v>yes</v>
      </c>
      <c r="AA808" t="str">
        <f t="shared" si="150"/>
        <v>yes</v>
      </c>
      <c r="AB808" t="str">
        <f t="shared" si="151"/>
        <v>Yes</v>
      </c>
      <c r="AC808" s="12">
        <v>75</v>
      </c>
      <c r="AD808" s="12">
        <f t="shared" si="152"/>
        <v>75</v>
      </c>
    </row>
    <row r="809" spans="1:30" x14ac:dyDescent="0.3">
      <c r="A809" t="s">
        <v>1704</v>
      </c>
      <c r="B809" t="s">
        <v>1705</v>
      </c>
      <c r="C809" t="s">
        <v>2839</v>
      </c>
      <c r="D809" t="s">
        <v>2844</v>
      </c>
      <c r="E809" t="str">
        <f t="shared" si="142"/>
        <v>Dwayne Cardenas</v>
      </c>
      <c r="H809" t="s">
        <v>107</v>
      </c>
      <c r="I809" t="str">
        <f t="shared" si="143"/>
        <v>Male</v>
      </c>
      <c r="J809">
        <v>56</v>
      </c>
      <c r="K809">
        <f t="shared" si="144"/>
        <v>56</v>
      </c>
      <c r="L809" t="str">
        <f t="shared" si="145"/>
        <v>Fourth level</v>
      </c>
      <c r="M809" t="s">
        <v>31</v>
      </c>
      <c r="N809" t="s">
        <v>32</v>
      </c>
      <c r="O809" t="s">
        <v>25</v>
      </c>
      <c r="P809">
        <v>23</v>
      </c>
      <c r="Q809">
        <f t="shared" si="146"/>
        <v>23</v>
      </c>
      <c r="R809" t="s">
        <v>92</v>
      </c>
      <c r="S809" s="8" t="s">
        <v>92</v>
      </c>
      <c r="T809" s="9">
        <v>75</v>
      </c>
      <c r="U809" s="9">
        <f t="shared" si="147"/>
        <v>75</v>
      </c>
      <c r="V809" s="10">
        <v>75</v>
      </c>
      <c r="W809">
        <v>3.9</v>
      </c>
      <c r="X809" s="11">
        <f t="shared" si="148"/>
        <v>3.9</v>
      </c>
      <c r="Y809" t="s">
        <v>2103</v>
      </c>
      <c r="Z809" t="str">
        <f t="shared" si="149"/>
        <v>Yes</v>
      </c>
      <c r="AA809" t="str">
        <f t="shared" si="150"/>
        <v>Yes</v>
      </c>
      <c r="AB809" t="str">
        <f t="shared" si="151"/>
        <v>Yes</v>
      </c>
      <c r="AC809" s="12"/>
      <c r="AD809" s="12">
        <f t="shared" si="152"/>
        <v>79.618750000000006</v>
      </c>
    </row>
    <row r="810" spans="1:30" x14ac:dyDescent="0.3">
      <c r="A810" t="s">
        <v>1706</v>
      </c>
      <c r="B810" t="s">
        <v>1707</v>
      </c>
      <c r="C810" t="s">
        <v>2486</v>
      </c>
      <c r="D810" t="s">
        <v>2845</v>
      </c>
      <c r="E810" t="str">
        <f t="shared" si="142"/>
        <v>Dr. Rhonda</v>
      </c>
      <c r="H810" t="s">
        <v>22</v>
      </c>
      <c r="I810" t="str">
        <f t="shared" si="143"/>
        <v>Female</v>
      </c>
      <c r="J810">
        <v>48</v>
      </c>
      <c r="K810">
        <f t="shared" si="144"/>
        <v>48</v>
      </c>
      <c r="L810" t="str">
        <f t="shared" si="145"/>
        <v>Third level</v>
      </c>
      <c r="M810" t="s">
        <v>23</v>
      </c>
      <c r="N810" t="s">
        <v>24</v>
      </c>
      <c r="O810" t="s">
        <v>87</v>
      </c>
      <c r="P810">
        <v>5</v>
      </c>
      <c r="Q810">
        <f t="shared" si="146"/>
        <v>5</v>
      </c>
      <c r="R810" t="s">
        <v>240</v>
      </c>
      <c r="S810" s="8" t="s">
        <v>18</v>
      </c>
      <c r="T810" s="9">
        <v>100</v>
      </c>
      <c r="U810" s="9">
        <f t="shared" si="147"/>
        <v>100</v>
      </c>
      <c r="V810" s="10">
        <v>100</v>
      </c>
      <c r="W810">
        <v>1.8</v>
      </c>
      <c r="X810" s="11">
        <f t="shared" si="148"/>
        <v>1.8</v>
      </c>
      <c r="Y810" t="s">
        <v>2103</v>
      </c>
      <c r="Z810" t="str">
        <f t="shared" si="149"/>
        <v>Yes</v>
      </c>
      <c r="AA810" t="str">
        <f t="shared" si="150"/>
        <v>Yes</v>
      </c>
      <c r="AB810" t="str">
        <f t="shared" si="151"/>
        <v>Yes</v>
      </c>
      <c r="AC810" s="12">
        <v>97</v>
      </c>
      <c r="AD810" s="12">
        <f t="shared" si="152"/>
        <v>97</v>
      </c>
    </row>
    <row r="811" spans="1:30" x14ac:dyDescent="0.3">
      <c r="A811" t="s">
        <v>1708</v>
      </c>
      <c r="B811" t="s">
        <v>1709</v>
      </c>
      <c r="C811" t="s">
        <v>2846</v>
      </c>
      <c r="D811" t="s">
        <v>2797</v>
      </c>
      <c r="E811" t="str">
        <f t="shared" si="142"/>
        <v>Melody Barker</v>
      </c>
      <c r="H811" t="s">
        <v>86</v>
      </c>
      <c r="I811" t="str">
        <f t="shared" si="143"/>
        <v>Female</v>
      </c>
      <c r="J811">
        <v>46</v>
      </c>
      <c r="K811">
        <f t="shared" si="144"/>
        <v>46</v>
      </c>
      <c r="L811" t="str">
        <f t="shared" si="145"/>
        <v>Third level</v>
      </c>
      <c r="M811" t="s">
        <v>134</v>
      </c>
      <c r="N811" t="s">
        <v>135</v>
      </c>
      <c r="O811" t="s">
        <v>39</v>
      </c>
      <c r="P811">
        <v>28</v>
      </c>
      <c r="Q811">
        <f t="shared" si="146"/>
        <v>28</v>
      </c>
      <c r="R811" t="s">
        <v>44</v>
      </c>
      <c r="S811" s="8" t="s">
        <v>44</v>
      </c>
      <c r="T811" s="9">
        <v>30</v>
      </c>
      <c r="U811" s="9">
        <f t="shared" si="147"/>
        <v>30</v>
      </c>
      <c r="V811" s="10">
        <v>30</v>
      </c>
      <c r="W811">
        <v>4.2</v>
      </c>
      <c r="X811" s="11">
        <f t="shared" si="148"/>
        <v>4.2</v>
      </c>
      <c r="Y811" t="s">
        <v>2103</v>
      </c>
      <c r="Z811" t="str">
        <f t="shared" si="149"/>
        <v>Yes</v>
      </c>
      <c r="AA811" t="str">
        <f t="shared" si="150"/>
        <v>Yes</v>
      </c>
      <c r="AB811" t="str">
        <f t="shared" si="151"/>
        <v>Yes</v>
      </c>
      <c r="AC811" s="12"/>
      <c r="AD811" s="12">
        <f t="shared" si="152"/>
        <v>79.509433962264154</v>
      </c>
    </row>
    <row r="812" spans="1:30" x14ac:dyDescent="0.3">
      <c r="A812" t="s">
        <v>1710</v>
      </c>
      <c r="B812" t="s">
        <v>1711</v>
      </c>
      <c r="C812" t="s">
        <v>2847</v>
      </c>
      <c r="D812" t="s">
        <v>2162</v>
      </c>
      <c r="E812" t="str">
        <f t="shared" si="142"/>
        <v>Russell Carpenter</v>
      </c>
      <c r="H812" t="s">
        <v>107</v>
      </c>
      <c r="I812" t="str">
        <f t="shared" si="143"/>
        <v>Male</v>
      </c>
      <c r="J812">
        <v>21</v>
      </c>
      <c r="K812">
        <f t="shared" si="144"/>
        <v>21</v>
      </c>
      <c r="L812" t="str">
        <f t="shared" si="145"/>
        <v>First level</v>
      </c>
      <c r="M812" t="s">
        <v>149</v>
      </c>
      <c r="N812" t="s">
        <v>150</v>
      </c>
      <c r="O812" t="s">
        <v>49</v>
      </c>
      <c r="P812">
        <v>0</v>
      </c>
      <c r="Q812">
        <f t="shared" si="146"/>
        <v>0</v>
      </c>
      <c r="R812" t="s">
        <v>151</v>
      </c>
      <c r="S812" s="8" t="s">
        <v>151</v>
      </c>
      <c r="T812" s="9">
        <v>20</v>
      </c>
      <c r="U812" s="9">
        <f t="shared" si="147"/>
        <v>20</v>
      </c>
      <c r="V812" s="10">
        <v>20</v>
      </c>
      <c r="W812">
        <v>2.6</v>
      </c>
      <c r="X812" s="11">
        <f t="shared" si="148"/>
        <v>2.6</v>
      </c>
      <c r="Y812" t="s">
        <v>170</v>
      </c>
      <c r="Z812" t="str">
        <f t="shared" si="149"/>
        <v>no</v>
      </c>
      <c r="AA812" t="str">
        <f t="shared" si="150"/>
        <v>no</v>
      </c>
      <c r="AB812" t="str">
        <f t="shared" si="151"/>
        <v>No</v>
      </c>
      <c r="AC812" s="12">
        <v>64</v>
      </c>
      <c r="AD812" s="12">
        <f t="shared" si="152"/>
        <v>64</v>
      </c>
    </row>
    <row r="813" spans="1:30" x14ac:dyDescent="0.3">
      <c r="A813" t="s">
        <v>1712</v>
      </c>
      <c r="B813" t="s">
        <v>1713</v>
      </c>
      <c r="C813" t="s">
        <v>2428</v>
      </c>
      <c r="D813" t="s">
        <v>2432</v>
      </c>
      <c r="E813" t="str">
        <f t="shared" si="142"/>
        <v>Richard Hill</v>
      </c>
      <c r="H813" t="s">
        <v>107</v>
      </c>
      <c r="I813" t="str">
        <f t="shared" si="143"/>
        <v>Male</v>
      </c>
      <c r="J813">
        <v>52</v>
      </c>
      <c r="K813">
        <f t="shared" si="144"/>
        <v>52</v>
      </c>
      <c r="L813" t="str">
        <f t="shared" si="145"/>
        <v>Fourth level</v>
      </c>
      <c r="M813" t="s">
        <v>134</v>
      </c>
      <c r="N813" t="s">
        <v>135</v>
      </c>
      <c r="O813" t="s">
        <v>57</v>
      </c>
      <c r="P813">
        <v>30</v>
      </c>
      <c r="Q813">
        <f t="shared" si="146"/>
        <v>30</v>
      </c>
      <c r="R813" t="s">
        <v>44</v>
      </c>
      <c r="S813" s="8" t="s">
        <v>44</v>
      </c>
      <c r="T813" s="9">
        <v>30</v>
      </c>
      <c r="U813" s="9">
        <f t="shared" si="147"/>
        <v>30</v>
      </c>
      <c r="V813" s="10">
        <v>30</v>
      </c>
      <c r="W813">
        <v>2</v>
      </c>
      <c r="X813" s="11">
        <f t="shared" si="148"/>
        <v>2</v>
      </c>
      <c r="Y813" t="s">
        <v>2103</v>
      </c>
      <c r="Z813" t="str">
        <f t="shared" si="149"/>
        <v>Yes</v>
      </c>
      <c r="AA813" t="str">
        <f t="shared" si="150"/>
        <v>Yes</v>
      </c>
      <c r="AB813" t="str">
        <f t="shared" si="151"/>
        <v>Yes</v>
      </c>
      <c r="AC813" s="12">
        <v>68</v>
      </c>
      <c r="AD813" s="12">
        <f t="shared" si="152"/>
        <v>68</v>
      </c>
    </row>
    <row r="814" spans="1:30" x14ac:dyDescent="0.3">
      <c r="A814" t="s">
        <v>1714</v>
      </c>
      <c r="B814" t="s">
        <v>1715</v>
      </c>
      <c r="C814" t="s">
        <v>2634</v>
      </c>
      <c r="D814" t="s">
        <v>2848</v>
      </c>
      <c r="E814" t="str">
        <f t="shared" si="142"/>
        <v>Lindsay Potts</v>
      </c>
      <c r="H814" t="s">
        <v>86</v>
      </c>
      <c r="I814" t="str">
        <f t="shared" si="143"/>
        <v>Female</v>
      </c>
      <c r="J814">
        <v>39</v>
      </c>
      <c r="K814">
        <f t="shared" si="144"/>
        <v>39</v>
      </c>
      <c r="L814" t="str">
        <f t="shared" si="145"/>
        <v>Second level</v>
      </c>
      <c r="M814" t="s">
        <v>134</v>
      </c>
      <c r="N814" t="s">
        <v>135</v>
      </c>
      <c r="O814" t="s">
        <v>33</v>
      </c>
      <c r="P814">
        <v>20</v>
      </c>
      <c r="Q814">
        <f t="shared" si="146"/>
        <v>20</v>
      </c>
      <c r="R814" t="s">
        <v>181</v>
      </c>
      <c r="S814" s="8" t="s">
        <v>181</v>
      </c>
      <c r="T814" s="9">
        <v>75</v>
      </c>
      <c r="U814" s="9">
        <f t="shared" si="147"/>
        <v>75</v>
      </c>
      <c r="V814" s="10">
        <v>75</v>
      </c>
      <c r="W814">
        <v>2.7</v>
      </c>
      <c r="X814" s="11">
        <f t="shared" si="148"/>
        <v>2.7</v>
      </c>
      <c r="Y814" t="s">
        <v>2103</v>
      </c>
      <c r="Z814" t="str">
        <f t="shared" si="149"/>
        <v>Yes</v>
      </c>
      <c r="AA814" t="str">
        <f t="shared" si="150"/>
        <v>Yes</v>
      </c>
      <c r="AB814" t="str">
        <f t="shared" si="151"/>
        <v>Yes</v>
      </c>
      <c r="AC814" s="12">
        <v>67</v>
      </c>
      <c r="AD814" s="12">
        <f t="shared" si="152"/>
        <v>67</v>
      </c>
    </row>
    <row r="815" spans="1:30" x14ac:dyDescent="0.3">
      <c r="A815" t="s">
        <v>1716</v>
      </c>
      <c r="B815" t="s">
        <v>1717</v>
      </c>
      <c r="C815" t="s">
        <v>2128</v>
      </c>
      <c r="D815" t="s">
        <v>2303</v>
      </c>
      <c r="E815" t="str">
        <f t="shared" si="142"/>
        <v>Michelle Campbell</v>
      </c>
      <c r="H815" t="s">
        <v>86</v>
      </c>
      <c r="I815" t="str">
        <f t="shared" si="143"/>
        <v>Female</v>
      </c>
      <c r="J815">
        <v>31</v>
      </c>
      <c r="K815">
        <f t="shared" si="144"/>
        <v>31</v>
      </c>
      <c r="L815" t="str">
        <f t="shared" si="145"/>
        <v>Second level</v>
      </c>
      <c r="M815" t="s">
        <v>23</v>
      </c>
      <c r="N815" t="s">
        <v>24</v>
      </c>
      <c r="O815" t="s">
        <v>25</v>
      </c>
      <c r="P815">
        <v>0</v>
      </c>
      <c r="Q815">
        <f t="shared" si="146"/>
        <v>0</v>
      </c>
      <c r="R815" t="s">
        <v>44</v>
      </c>
      <c r="S815" s="8" t="s">
        <v>44</v>
      </c>
      <c r="T815" s="9">
        <v>30</v>
      </c>
      <c r="U815" s="9">
        <f t="shared" si="147"/>
        <v>30</v>
      </c>
      <c r="V815" s="10">
        <v>30</v>
      </c>
      <c r="W815">
        <v>2.2999999999999998</v>
      </c>
      <c r="X815" s="11">
        <f t="shared" si="148"/>
        <v>2.2999999999999998</v>
      </c>
      <c r="Y815" t="s">
        <v>170</v>
      </c>
      <c r="Z815" t="str">
        <f t="shared" si="149"/>
        <v>no</v>
      </c>
      <c r="AA815" t="str">
        <f t="shared" si="150"/>
        <v>no</v>
      </c>
      <c r="AB815" t="str">
        <f t="shared" si="151"/>
        <v>No</v>
      </c>
      <c r="AC815" s="12">
        <v>79</v>
      </c>
      <c r="AD815" s="12">
        <f t="shared" si="152"/>
        <v>79</v>
      </c>
    </row>
    <row r="816" spans="1:30" x14ac:dyDescent="0.3">
      <c r="A816" t="s">
        <v>1718</v>
      </c>
      <c r="B816" t="s">
        <v>1719</v>
      </c>
      <c r="C816" t="s">
        <v>2849</v>
      </c>
      <c r="D816" t="s">
        <v>2181</v>
      </c>
      <c r="E816" t="str">
        <f t="shared" si="142"/>
        <v>Alan Williams</v>
      </c>
      <c r="H816" t="s">
        <v>107</v>
      </c>
      <c r="I816" t="str">
        <f t="shared" si="143"/>
        <v>Male</v>
      </c>
      <c r="J816">
        <v>22</v>
      </c>
      <c r="K816">
        <f t="shared" si="144"/>
        <v>22</v>
      </c>
      <c r="L816" t="str">
        <f t="shared" si="145"/>
        <v>First level</v>
      </c>
      <c r="M816" t="s">
        <v>122</v>
      </c>
      <c r="N816" t="s">
        <v>123</v>
      </c>
      <c r="O816" t="s">
        <v>82</v>
      </c>
      <c r="P816">
        <v>4</v>
      </c>
      <c r="Q816">
        <f t="shared" si="146"/>
        <v>4</v>
      </c>
      <c r="R816" t="s">
        <v>40</v>
      </c>
      <c r="S816" s="8" t="s">
        <v>40</v>
      </c>
      <c r="T816" s="9">
        <v>40</v>
      </c>
      <c r="U816" s="9">
        <f t="shared" si="147"/>
        <v>40</v>
      </c>
      <c r="V816" s="10">
        <v>40</v>
      </c>
      <c r="W816">
        <v>3.8</v>
      </c>
      <c r="X816" s="11">
        <f t="shared" si="148"/>
        <v>3.8</v>
      </c>
      <c r="Y816" t="s">
        <v>2103</v>
      </c>
      <c r="Z816" t="str">
        <f t="shared" si="149"/>
        <v>Yes</v>
      </c>
      <c r="AA816" t="str">
        <f t="shared" si="150"/>
        <v>Yes</v>
      </c>
      <c r="AB816" t="str">
        <f t="shared" si="151"/>
        <v>Yes</v>
      </c>
      <c r="AC816" s="12">
        <v>100</v>
      </c>
      <c r="AD816" s="12">
        <f t="shared" si="152"/>
        <v>100</v>
      </c>
    </row>
    <row r="817" spans="1:30" x14ac:dyDescent="0.3">
      <c r="A817" t="s">
        <v>1720</v>
      </c>
      <c r="B817" t="s">
        <v>1721</v>
      </c>
      <c r="C817" t="s">
        <v>2364</v>
      </c>
      <c r="D817" t="s">
        <v>2705</v>
      </c>
      <c r="E817" t="str">
        <f t="shared" si="142"/>
        <v>Robin Hinton</v>
      </c>
      <c r="H817" t="s">
        <v>86</v>
      </c>
      <c r="I817" t="str">
        <f t="shared" si="143"/>
        <v>Female</v>
      </c>
      <c r="J817">
        <v>38</v>
      </c>
      <c r="K817">
        <f t="shared" si="144"/>
        <v>38</v>
      </c>
      <c r="L817" t="str">
        <f t="shared" si="145"/>
        <v>Second level</v>
      </c>
      <c r="M817" t="s">
        <v>75</v>
      </c>
      <c r="N817" t="s">
        <v>24</v>
      </c>
      <c r="O817" t="s">
        <v>82</v>
      </c>
      <c r="P817">
        <v>10</v>
      </c>
      <c r="Q817">
        <f t="shared" si="146"/>
        <v>10</v>
      </c>
      <c r="R817" t="s">
        <v>76</v>
      </c>
      <c r="S817" s="8" t="s">
        <v>76</v>
      </c>
      <c r="T817" s="9">
        <v>40</v>
      </c>
      <c r="U817" s="9">
        <f t="shared" si="147"/>
        <v>40</v>
      </c>
      <c r="V817" s="10">
        <v>40</v>
      </c>
      <c r="X817" s="11">
        <f t="shared" si="148"/>
        <v>2.428048780487805</v>
      </c>
      <c r="Y817" t="s">
        <v>2102</v>
      </c>
      <c r="Z817" t="str">
        <f t="shared" si="149"/>
        <v>No</v>
      </c>
      <c r="AA817" t="str">
        <f t="shared" si="150"/>
        <v>No</v>
      </c>
      <c r="AB817" t="str">
        <f t="shared" si="151"/>
        <v>No</v>
      </c>
      <c r="AC817" s="12">
        <v>66</v>
      </c>
      <c r="AD817" s="12">
        <f t="shared" si="152"/>
        <v>66</v>
      </c>
    </row>
    <row r="818" spans="1:30" x14ac:dyDescent="0.3">
      <c r="A818" t="s">
        <v>1722</v>
      </c>
      <c r="B818" t="s">
        <v>1723</v>
      </c>
      <c r="C818" t="s">
        <v>2397</v>
      </c>
      <c r="D818" t="s">
        <v>2282</v>
      </c>
      <c r="E818" t="str">
        <f t="shared" si="142"/>
        <v>Brian Holland</v>
      </c>
      <c r="H818" t="s">
        <v>107</v>
      </c>
      <c r="I818" t="str">
        <f t="shared" si="143"/>
        <v>Male</v>
      </c>
      <c r="J818">
        <v>44</v>
      </c>
      <c r="K818">
        <f t="shared" si="144"/>
        <v>44</v>
      </c>
      <c r="L818" t="str">
        <f t="shared" si="145"/>
        <v>Third level</v>
      </c>
      <c r="M818" t="s">
        <v>80</v>
      </c>
      <c r="N818" t="s">
        <v>81</v>
      </c>
      <c r="O818" t="s">
        <v>33</v>
      </c>
      <c r="P818">
        <v>24</v>
      </c>
      <c r="Q818">
        <f t="shared" si="146"/>
        <v>24</v>
      </c>
      <c r="R818" t="s">
        <v>58</v>
      </c>
      <c r="S818" s="8" t="s">
        <v>2093</v>
      </c>
      <c r="T818" s="9">
        <v>75</v>
      </c>
      <c r="U818" s="9">
        <f t="shared" si="147"/>
        <v>75</v>
      </c>
      <c r="V818" s="10">
        <v>75</v>
      </c>
      <c r="W818">
        <v>4.5999999999999996</v>
      </c>
      <c r="X818" s="11">
        <f t="shared" si="148"/>
        <v>4.5999999999999996</v>
      </c>
      <c r="Y818" t="s">
        <v>170</v>
      </c>
      <c r="Z818" t="str">
        <f t="shared" si="149"/>
        <v>no</v>
      </c>
      <c r="AA818" t="str">
        <f t="shared" si="150"/>
        <v>no</v>
      </c>
      <c r="AB818" t="str">
        <f t="shared" si="151"/>
        <v>No</v>
      </c>
      <c r="AC818" s="12">
        <v>97</v>
      </c>
      <c r="AD818" s="12">
        <f t="shared" si="152"/>
        <v>97</v>
      </c>
    </row>
    <row r="819" spans="1:30" x14ac:dyDescent="0.3">
      <c r="A819" t="s">
        <v>1724</v>
      </c>
      <c r="B819" t="s">
        <v>1725</v>
      </c>
      <c r="C819" t="s">
        <v>2406</v>
      </c>
      <c r="D819" t="s">
        <v>2600</v>
      </c>
      <c r="E819" t="str">
        <f t="shared" si="142"/>
        <v>Adam Stone</v>
      </c>
      <c r="H819" t="s">
        <v>107</v>
      </c>
      <c r="I819" t="str">
        <f t="shared" si="143"/>
        <v>Male</v>
      </c>
      <c r="J819">
        <v>53</v>
      </c>
      <c r="K819">
        <f t="shared" si="144"/>
        <v>53</v>
      </c>
      <c r="L819" t="str">
        <f t="shared" si="145"/>
        <v>Fourth level</v>
      </c>
      <c r="M819" t="s">
        <v>55</v>
      </c>
      <c r="N819" t="s">
        <v>56</v>
      </c>
      <c r="O819" t="s">
        <v>124</v>
      </c>
      <c r="P819">
        <v>21</v>
      </c>
      <c r="Q819">
        <f t="shared" si="146"/>
        <v>21</v>
      </c>
      <c r="R819" t="s">
        <v>18</v>
      </c>
      <c r="S819" s="8" t="s">
        <v>18</v>
      </c>
      <c r="T819" s="9">
        <v>100</v>
      </c>
      <c r="U819" s="9">
        <f t="shared" si="147"/>
        <v>100</v>
      </c>
      <c r="V819" s="10">
        <v>100</v>
      </c>
      <c r="W819">
        <v>3.4</v>
      </c>
      <c r="X819" s="11">
        <f t="shared" si="148"/>
        <v>3.4</v>
      </c>
      <c r="Y819" t="s">
        <v>2102</v>
      </c>
      <c r="Z819" t="str">
        <f t="shared" si="149"/>
        <v>No</v>
      </c>
      <c r="AA819" t="str">
        <f t="shared" si="150"/>
        <v>No</v>
      </c>
      <c r="AB819" t="str">
        <f t="shared" si="151"/>
        <v>No</v>
      </c>
      <c r="AC819" s="12">
        <v>62</v>
      </c>
      <c r="AD819" s="12">
        <f t="shared" si="152"/>
        <v>62</v>
      </c>
    </row>
    <row r="820" spans="1:30" x14ac:dyDescent="0.3">
      <c r="A820" t="s">
        <v>1726</v>
      </c>
      <c r="B820" t="s">
        <v>1727</v>
      </c>
      <c r="C820" t="s">
        <v>2115</v>
      </c>
      <c r="D820" t="s">
        <v>2838</v>
      </c>
      <c r="E820" t="str">
        <f t="shared" si="142"/>
        <v>Curtis Lambert</v>
      </c>
      <c r="H820" t="s">
        <v>107</v>
      </c>
      <c r="I820" t="str">
        <f t="shared" si="143"/>
        <v>Male</v>
      </c>
      <c r="J820">
        <v>22</v>
      </c>
      <c r="K820">
        <f t="shared" si="144"/>
        <v>22</v>
      </c>
      <c r="L820" t="str">
        <f t="shared" si="145"/>
        <v>First level</v>
      </c>
      <c r="M820" t="s">
        <v>186</v>
      </c>
      <c r="N820" t="s">
        <v>187</v>
      </c>
      <c r="O820" t="s">
        <v>57</v>
      </c>
      <c r="P820">
        <v>2</v>
      </c>
      <c r="Q820">
        <f t="shared" si="146"/>
        <v>2</v>
      </c>
      <c r="R820" t="s">
        <v>325</v>
      </c>
      <c r="S820" s="8" t="s">
        <v>2097</v>
      </c>
      <c r="T820" s="9">
        <v>20</v>
      </c>
      <c r="U820" s="9">
        <f t="shared" si="147"/>
        <v>20</v>
      </c>
      <c r="V820" s="10">
        <v>20</v>
      </c>
      <c r="X820" s="11">
        <f t="shared" si="148"/>
        <v>2.4086419753086425</v>
      </c>
      <c r="Y820" t="s">
        <v>170</v>
      </c>
      <c r="Z820" t="str">
        <f t="shared" si="149"/>
        <v>no</v>
      </c>
      <c r="AA820" t="str">
        <f t="shared" si="150"/>
        <v>no</v>
      </c>
      <c r="AB820" t="str">
        <f t="shared" si="151"/>
        <v>No</v>
      </c>
      <c r="AC820" s="12"/>
      <c r="AD820" s="12">
        <f t="shared" si="152"/>
        <v>79.728476821192046</v>
      </c>
    </row>
    <row r="821" spans="1:30" x14ac:dyDescent="0.3">
      <c r="A821" t="s">
        <v>1728</v>
      </c>
      <c r="B821" t="s">
        <v>1729</v>
      </c>
      <c r="C821" t="s">
        <v>2850</v>
      </c>
      <c r="D821" t="s">
        <v>2851</v>
      </c>
      <c r="E821" t="str">
        <f t="shared" si="142"/>
        <v>Alexandra Sims</v>
      </c>
      <c r="H821" t="s">
        <v>86</v>
      </c>
      <c r="I821" t="str">
        <f t="shared" si="143"/>
        <v>Female</v>
      </c>
      <c r="J821">
        <v>40</v>
      </c>
      <c r="K821">
        <f t="shared" si="144"/>
        <v>40</v>
      </c>
      <c r="L821" t="str">
        <f t="shared" si="145"/>
        <v>Second level</v>
      </c>
      <c r="M821" t="s">
        <v>103</v>
      </c>
      <c r="N821" t="s">
        <v>104</v>
      </c>
      <c r="O821" t="s">
        <v>17</v>
      </c>
      <c r="P821">
        <v>14</v>
      </c>
      <c r="Q821">
        <f t="shared" si="146"/>
        <v>14</v>
      </c>
      <c r="R821" t="s">
        <v>92</v>
      </c>
      <c r="S821" s="8" t="s">
        <v>92</v>
      </c>
      <c r="T821" s="9">
        <v>75</v>
      </c>
      <c r="U821" s="9">
        <f t="shared" si="147"/>
        <v>75</v>
      </c>
      <c r="V821" s="10">
        <v>75</v>
      </c>
      <c r="W821">
        <v>0</v>
      </c>
      <c r="X821" s="11">
        <f t="shared" si="148"/>
        <v>0</v>
      </c>
      <c r="Y821" t="s">
        <v>2103</v>
      </c>
      <c r="Z821" t="str">
        <f t="shared" si="149"/>
        <v>Yes</v>
      </c>
      <c r="AA821" t="str">
        <f t="shared" si="150"/>
        <v>Yes</v>
      </c>
      <c r="AB821" t="str">
        <f t="shared" si="151"/>
        <v>Yes</v>
      </c>
      <c r="AC821" s="12">
        <v>79</v>
      </c>
      <c r="AD821" s="12">
        <f t="shared" si="152"/>
        <v>79</v>
      </c>
    </row>
    <row r="822" spans="1:30" x14ac:dyDescent="0.3">
      <c r="A822" t="s">
        <v>1730</v>
      </c>
      <c r="B822" t="s">
        <v>1731</v>
      </c>
      <c r="C822" t="s">
        <v>2256</v>
      </c>
      <c r="D822" t="s">
        <v>2113</v>
      </c>
      <c r="E822" t="str">
        <f t="shared" si="142"/>
        <v>Brenda Spencer</v>
      </c>
      <c r="H822" t="s">
        <v>43</v>
      </c>
      <c r="I822" t="str">
        <f t="shared" si="143"/>
        <v>Female</v>
      </c>
      <c r="J822">
        <v>49</v>
      </c>
      <c r="K822">
        <f t="shared" si="144"/>
        <v>49</v>
      </c>
      <c r="L822" t="str">
        <f t="shared" si="145"/>
        <v>Third level</v>
      </c>
      <c r="M822" t="s">
        <v>186</v>
      </c>
      <c r="N822" t="s">
        <v>187</v>
      </c>
      <c r="O822" t="s">
        <v>25</v>
      </c>
      <c r="P822">
        <v>15</v>
      </c>
      <c r="Q822">
        <f t="shared" si="146"/>
        <v>15</v>
      </c>
      <c r="R822" t="s">
        <v>76</v>
      </c>
      <c r="S822" s="8" t="s">
        <v>76</v>
      </c>
      <c r="T822" s="9">
        <v>40</v>
      </c>
      <c r="U822" s="9">
        <f t="shared" si="147"/>
        <v>40</v>
      </c>
      <c r="V822" s="10">
        <v>40</v>
      </c>
      <c r="W822">
        <v>3.9</v>
      </c>
      <c r="X822" s="11">
        <f t="shared" si="148"/>
        <v>3.9</v>
      </c>
      <c r="Y822" t="s">
        <v>2102</v>
      </c>
      <c r="Z822" t="str">
        <f t="shared" si="149"/>
        <v>No</v>
      </c>
      <c r="AA822" t="str">
        <f t="shared" si="150"/>
        <v>No</v>
      </c>
      <c r="AB822" t="str">
        <f t="shared" si="151"/>
        <v>No</v>
      </c>
      <c r="AC822" s="12">
        <v>86</v>
      </c>
      <c r="AD822" s="12">
        <f t="shared" si="152"/>
        <v>86</v>
      </c>
    </row>
    <row r="823" spans="1:30" x14ac:dyDescent="0.3">
      <c r="A823" t="s">
        <v>1732</v>
      </c>
      <c r="B823" t="s">
        <v>1733</v>
      </c>
      <c r="C823" t="s">
        <v>2327</v>
      </c>
      <c r="D823" t="s">
        <v>2747</v>
      </c>
      <c r="E823" t="str">
        <f t="shared" si="142"/>
        <v>Joshua Bush</v>
      </c>
      <c r="H823" t="s">
        <v>69</v>
      </c>
      <c r="I823" t="str">
        <f t="shared" si="143"/>
        <v>Male</v>
      </c>
      <c r="J823">
        <v>30</v>
      </c>
      <c r="K823">
        <f t="shared" si="144"/>
        <v>30</v>
      </c>
      <c r="L823" t="str">
        <f t="shared" si="145"/>
        <v>First level</v>
      </c>
      <c r="M823" t="s">
        <v>23</v>
      </c>
      <c r="N823" t="s">
        <v>24</v>
      </c>
      <c r="O823" t="s">
        <v>82</v>
      </c>
      <c r="P823">
        <v>11</v>
      </c>
      <c r="Q823">
        <f t="shared" si="146"/>
        <v>11</v>
      </c>
      <c r="R823" t="s">
        <v>50</v>
      </c>
      <c r="S823" s="8" t="s">
        <v>50</v>
      </c>
      <c r="T823" s="9">
        <v>30</v>
      </c>
      <c r="U823" s="9">
        <f t="shared" si="147"/>
        <v>30</v>
      </c>
      <c r="V823" s="10">
        <v>30</v>
      </c>
      <c r="W823">
        <v>4.2</v>
      </c>
      <c r="X823" s="11">
        <f t="shared" si="148"/>
        <v>4.2</v>
      </c>
      <c r="Y823" t="s">
        <v>2102</v>
      </c>
      <c r="Z823" t="str">
        <f t="shared" si="149"/>
        <v>No</v>
      </c>
      <c r="AA823" t="str">
        <f t="shared" si="150"/>
        <v>No</v>
      </c>
      <c r="AB823" t="str">
        <f t="shared" si="151"/>
        <v>No</v>
      </c>
      <c r="AC823" s="12">
        <v>65</v>
      </c>
      <c r="AD823" s="12">
        <f t="shared" si="152"/>
        <v>65</v>
      </c>
    </row>
    <row r="824" spans="1:30" x14ac:dyDescent="0.3">
      <c r="A824" t="s">
        <v>1734</v>
      </c>
      <c r="B824" t="s">
        <v>1735</v>
      </c>
      <c r="C824" t="s">
        <v>2819</v>
      </c>
      <c r="D824" t="s">
        <v>2123</v>
      </c>
      <c r="E824" t="str">
        <f t="shared" si="142"/>
        <v>Erin Martin</v>
      </c>
      <c r="H824" t="s">
        <v>43</v>
      </c>
      <c r="I824" t="str">
        <f t="shared" si="143"/>
        <v>Female</v>
      </c>
      <c r="J824">
        <v>37</v>
      </c>
      <c r="K824">
        <f t="shared" si="144"/>
        <v>37</v>
      </c>
      <c r="L824" t="str">
        <f t="shared" si="145"/>
        <v>Second level</v>
      </c>
      <c r="M824" t="s">
        <v>95</v>
      </c>
      <c r="N824" t="s">
        <v>96</v>
      </c>
      <c r="O824" t="s">
        <v>49</v>
      </c>
      <c r="P824">
        <v>6</v>
      </c>
      <c r="Q824">
        <f t="shared" si="146"/>
        <v>6</v>
      </c>
      <c r="R824" t="s">
        <v>151</v>
      </c>
      <c r="S824" s="8" t="s">
        <v>151</v>
      </c>
      <c r="T824" s="9">
        <v>20</v>
      </c>
      <c r="U824" s="9">
        <f t="shared" si="147"/>
        <v>20</v>
      </c>
      <c r="V824" s="10">
        <v>20</v>
      </c>
      <c r="X824" s="11">
        <f t="shared" si="148"/>
        <v>2.403144654088051</v>
      </c>
      <c r="Y824" t="s">
        <v>65</v>
      </c>
      <c r="AA824" t="str">
        <f t="shared" si="150"/>
        <v>Unknown</v>
      </c>
      <c r="AB824" t="str">
        <f t="shared" si="151"/>
        <v>Unknown</v>
      </c>
      <c r="AC824" s="12">
        <v>99</v>
      </c>
      <c r="AD824" s="12">
        <f t="shared" si="152"/>
        <v>99</v>
      </c>
    </row>
    <row r="825" spans="1:30" x14ac:dyDescent="0.3">
      <c r="A825" t="s">
        <v>1736</v>
      </c>
      <c r="B825" t="s">
        <v>1737</v>
      </c>
      <c r="C825" t="s">
        <v>2316</v>
      </c>
      <c r="D825" t="s">
        <v>2201</v>
      </c>
      <c r="E825" t="str">
        <f t="shared" si="142"/>
        <v>Alexander Hogan</v>
      </c>
      <c r="H825" t="s">
        <v>30</v>
      </c>
      <c r="I825" t="str">
        <f t="shared" si="143"/>
        <v>Male</v>
      </c>
      <c r="J825">
        <v>21</v>
      </c>
      <c r="K825">
        <f t="shared" si="144"/>
        <v>21</v>
      </c>
      <c r="L825" t="str">
        <f t="shared" si="145"/>
        <v>First level</v>
      </c>
      <c r="M825" t="s">
        <v>149</v>
      </c>
      <c r="N825" t="s">
        <v>150</v>
      </c>
      <c r="O825" t="s">
        <v>33</v>
      </c>
      <c r="P825">
        <v>2</v>
      </c>
      <c r="Q825">
        <f t="shared" si="146"/>
        <v>2</v>
      </c>
      <c r="R825" t="s">
        <v>18</v>
      </c>
      <c r="S825" s="8" t="s">
        <v>18</v>
      </c>
      <c r="T825" s="9">
        <v>100</v>
      </c>
      <c r="U825" s="9">
        <f t="shared" si="147"/>
        <v>100</v>
      </c>
      <c r="V825" s="10">
        <v>100</v>
      </c>
      <c r="W825">
        <v>3.6</v>
      </c>
      <c r="X825" s="11">
        <f t="shared" si="148"/>
        <v>3.6</v>
      </c>
      <c r="Y825" t="s">
        <v>2102</v>
      </c>
      <c r="Z825" t="str">
        <f t="shared" si="149"/>
        <v>No</v>
      </c>
      <c r="AA825" t="str">
        <f t="shared" si="150"/>
        <v>No</v>
      </c>
      <c r="AB825" t="str">
        <f t="shared" si="151"/>
        <v>No</v>
      </c>
      <c r="AC825" s="12">
        <v>85</v>
      </c>
      <c r="AD825" s="12">
        <f t="shared" si="152"/>
        <v>85</v>
      </c>
    </row>
    <row r="826" spans="1:30" x14ac:dyDescent="0.3">
      <c r="A826" t="s">
        <v>1738</v>
      </c>
      <c r="B826" t="s">
        <v>1739</v>
      </c>
      <c r="C826" t="s">
        <v>2371</v>
      </c>
      <c r="D826" t="s">
        <v>2238</v>
      </c>
      <c r="E826" t="str">
        <f t="shared" si="142"/>
        <v>William Harris</v>
      </c>
      <c r="H826" t="s">
        <v>107</v>
      </c>
      <c r="I826" t="str">
        <f t="shared" si="143"/>
        <v>Male</v>
      </c>
      <c r="J826">
        <v>20</v>
      </c>
      <c r="K826">
        <f t="shared" si="144"/>
        <v>20</v>
      </c>
      <c r="L826" t="str">
        <f t="shared" si="145"/>
        <v>First level</v>
      </c>
      <c r="M826" t="s">
        <v>122</v>
      </c>
      <c r="N826" t="s">
        <v>123</v>
      </c>
      <c r="O826" t="s">
        <v>49</v>
      </c>
      <c r="P826">
        <v>1</v>
      </c>
      <c r="Q826">
        <f t="shared" si="146"/>
        <v>1</v>
      </c>
      <c r="R826" t="s">
        <v>108</v>
      </c>
      <c r="S826" s="8" t="s">
        <v>2095</v>
      </c>
      <c r="T826" s="9">
        <v>50</v>
      </c>
      <c r="U826" s="9">
        <f t="shared" si="147"/>
        <v>50</v>
      </c>
      <c r="V826" s="10">
        <v>50</v>
      </c>
      <c r="X826" s="11">
        <f t="shared" si="148"/>
        <v>2.3955696202531649</v>
      </c>
      <c r="Y826" t="s">
        <v>77</v>
      </c>
      <c r="Z826" t="str">
        <f t="shared" si="149"/>
        <v>yes</v>
      </c>
      <c r="AA826" t="str">
        <f t="shared" si="150"/>
        <v>yes</v>
      </c>
      <c r="AB826" t="str">
        <f t="shared" si="151"/>
        <v>Yes</v>
      </c>
      <c r="AC826" s="12">
        <v>81</v>
      </c>
      <c r="AD826" s="12">
        <f t="shared" si="152"/>
        <v>81</v>
      </c>
    </row>
    <row r="827" spans="1:30" x14ac:dyDescent="0.3">
      <c r="A827" t="s">
        <v>1740</v>
      </c>
      <c r="B827" t="s">
        <v>1741</v>
      </c>
      <c r="C827" t="s">
        <v>2166</v>
      </c>
      <c r="D827" t="s">
        <v>2271</v>
      </c>
      <c r="E827" t="str">
        <f t="shared" si="142"/>
        <v>Michael Mcmahon</v>
      </c>
      <c r="H827" t="s">
        <v>30</v>
      </c>
      <c r="I827" t="str">
        <f t="shared" si="143"/>
        <v>Male</v>
      </c>
      <c r="J827">
        <v>20</v>
      </c>
      <c r="K827">
        <f t="shared" si="144"/>
        <v>20</v>
      </c>
      <c r="L827" t="str">
        <f t="shared" si="145"/>
        <v>First level</v>
      </c>
      <c r="M827" t="s">
        <v>186</v>
      </c>
      <c r="N827" t="s">
        <v>187</v>
      </c>
      <c r="O827" t="s">
        <v>57</v>
      </c>
      <c r="P827">
        <v>2</v>
      </c>
      <c r="Q827">
        <f t="shared" si="146"/>
        <v>2</v>
      </c>
      <c r="R827" t="s">
        <v>40</v>
      </c>
      <c r="S827" s="8" t="s">
        <v>40</v>
      </c>
      <c r="T827" s="9">
        <v>40</v>
      </c>
      <c r="U827" s="9">
        <f t="shared" si="147"/>
        <v>40</v>
      </c>
      <c r="V827" s="10">
        <v>40</v>
      </c>
      <c r="W827">
        <v>2.1</v>
      </c>
      <c r="X827" s="11">
        <f t="shared" si="148"/>
        <v>2.1</v>
      </c>
      <c r="Y827" t="s">
        <v>2102</v>
      </c>
      <c r="Z827" t="str">
        <f t="shared" si="149"/>
        <v>No</v>
      </c>
      <c r="AA827" t="str">
        <f t="shared" si="150"/>
        <v>No</v>
      </c>
      <c r="AB827" t="str">
        <f t="shared" si="151"/>
        <v>No</v>
      </c>
      <c r="AC827" s="12">
        <v>64</v>
      </c>
      <c r="AD827" s="12">
        <f t="shared" si="152"/>
        <v>64</v>
      </c>
    </row>
    <row r="828" spans="1:30" x14ac:dyDescent="0.3">
      <c r="A828" t="s">
        <v>1742</v>
      </c>
      <c r="B828" t="s">
        <v>1743</v>
      </c>
      <c r="C828" t="s">
        <v>2166</v>
      </c>
      <c r="D828" t="s">
        <v>2453</v>
      </c>
      <c r="E828" t="str">
        <f t="shared" si="142"/>
        <v>Michael Watson</v>
      </c>
      <c r="H828" t="s">
        <v>69</v>
      </c>
      <c r="I828" t="str">
        <f t="shared" si="143"/>
        <v>Male</v>
      </c>
      <c r="J828">
        <v>20</v>
      </c>
      <c r="K828">
        <f t="shared" si="144"/>
        <v>20</v>
      </c>
      <c r="L828" t="str">
        <f t="shared" si="145"/>
        <v>First level</v>
      </c>
      <c r="M828" t="s">
        <v>80</v>
      </c>
      <c r="N828" t="s">
        <v>81</v>
      </c>
      <c r="O828" t="s">
        <v>124</v>
      </c>
      <c r="P828">
        <v>2</v>
      </c>
      <c r="Q828">
        <f t="shared" si="146"/>
        <v>2</v>
      </c>
      <c r="R828" t="s">
        <v>151</v>
      </c>
      <c r="S828" s="8" t="s">
        <v>151</v>
      </c>
      <c r="T828" s="9">
        <v>20</v>
      </c>
      <c r="U828" s="9">
        <f t="shared" si="147"/>
        <v>20</v>
      </c>
      <c r="V828" s="10">
        <v>20</v>
      </c>
      <c r="W828">
        <v>3.9</v>
      </c>
      <c r="X828" s="11">
        <f t="shared" si="148"/>
        <v>3.9</v>
      </c>
      <c r="Y828" t="s">
        <v>2102</v>
      </c>
      <c r="Z828" t="str">
        <f t="shared" si="149"/>
        <v>No</v>
      </c>
      <c r="AA828" t="str">
        <f t="shared" si="150"/>
        <v>No</v>
      </c>
      <c r="AB828" t="str">
        <f t="shared" si="151"/>
        <v>No</v>
      </c>
      <c r="AC828" s="12">
        <v>84</v>
      </c>
      <c r="AD828" s="12">
        <f t="shared" si="152"/>
        <v>84</v>
      </c>
    </row>
    <row r="829" spans="1:30" x14ac:dyDescent="0.3">
      <c r="A829" t="s">
        <v>1744</v>
      </c>
      <c r="B829" t="s">
        <v>1745</v>
      </c>
      <c r="C829" t="s">
        <v>2160</v>
      </c>
      <c r="D829" t="s">
        <v>2627</v>
      </c>
      <c r="E829" t="str">
        <f t="shared" si="142"/>
        <v>Lori Perez</v>
      </c>
      <c r="H829" t="s">
        <v>86</v>
      </c>
      <c r="I829" t="str">
        <f t="shared" si="143"/>
        <v>Female</v>
      </c>
      <c r="J829">
        <v>26</v>
      </c>
      <c r="K829">
        <f t="shared" si="144"/>
        <v>26</v>
      </c>
      <c r="L829" t="str">
        <f t="shared" si="145"/>
        <v>First level</v>
      </c>
      <c r="M829" t="s">
        <v>134</v>
      </c>
      <c r="N829" t="s">
        <v>135</v>
      </c>
      <c r="O829" t="s">
        <v>124</v>
      </c>
      <c r="P829">
        <v>2</v>
      </c>
      <c r="Q829">
        <f t="shared" si="146"/>
        <v>2</v>
      </c>
      <c r="R829" t="s">
        <v>76</v>
      </c>
      <c r="S829" s="8" t="s">
        <v>76</v>
      </c>
      <c r="T829" s="9">
        <v>40</v>
      </c>
      <c r="U829" s="9">
        <f t="shared" si="147"/>
        <v>40</v>
      </c>
      <c r="V829" s="10">
        <v>40</v>
      </c>
      <c r="W829">
        <v>0</v>
      </c>
      <c r="X829" s="11">
        <f t="shared" si="148"/>
        <v>0</v>
      </c>
      <c r="Y829" t="s">
        <v>65</v>
      </c>
      <c r="AA829" t="str">
        <f t="shared" si="150"/>
        <v>Unknown</v>
      </c>
      <c r="AB829" t="str">
        <f t="shared" si="151"/>
        <v>Unknown</v>
      </c>
      <c r="AC829" s="12">
        <v>66</v>
      </c>
      <c r="AD829" s="12">
        <f t="shared" si="152"/>
        <v>66</v>
      </c>
    </row>
    <row r="830" spans="1:30" x14ac:dyDescent="0.3">
      <c r="A830" t="s">
        <v>1746</v>
      </c>
      <c r="B830" t="s">
        <v>1747</v>
      </c>
      <c r="C830" t="s">
        <v>2634</v>
      </c>
      <c r="D830" t="s">
        <v>2824</v>
      </c>
      <c r="E830" t="str">
        <f t="shared" si="142"/>
        <v>Lindsay Le</v>
      </c>
      <c r="H830" t="s">
        <v>43</v>
      </c>
      <c r="I830" t="str">
        <f t="shared" si="143"/>
        <v>Female</v>
      </c>
      <c r="J830">
        <v>50</v>
      </c>
      <c r="K830">
        <f t="shared" si="144"/>
        <v>50</v>
      </c>
      <c r="L830" t="str">
        <f t="shared" si="145"/>
        <v>Third level</v>
      </c>
      <c r="M830" t="s">
        <v>122</v>
      </c>
      <c r="N830" t="s">
        <v>123</v>
      </c>
      <c r="O830" t="s">
        <v>39</v>
      </c>
      <c r="P830">
        <v>12</v>
      </c>
      <c r="Q830">
        <f t="shared" si="146"/>
        <v>12</v>
      </c>
      <c r="R830" t="s">
        <v>181</v>
      </c>
      <c r="S830" s="8" t="s">
        <v>181</v>
      </c>
      <c r="T830" s="9">
        <v>75</v>
      </c>
      <c r="U830" s="9">
        <f t="shared" si="147"/>
        <v>75</v>
      </c>
      <c r="V830" s="10">
        <v>75</v>
      </c>
      <c r="W830">
        <v>0</v>
      </c>
      <c r="X830" s="11">
        <f t="shared" si="148"/>
        <v>0</v>
      </c>
      <c r="Y830" t="s">
        <v>2102</v>
      </c>
      <c r="Z830" t="str">
        <f t="shared" si="149"/>
        <v>No</v>
      </c>
      <c r="AA830" t="str">
        <f t="shared" si="150"/>
        <v>No</v>
      </c>
      <c r="AB830" t="str">
        <f t="shared" si="151"/>
        <v>No</v>
      </c>
      <c r="AC830" s="12">
        <v>75</v>
      </c>
      <c r="AD830" s="12">
        <f t="shared" si="152"/>
        <v>75</v>
      </c>
    </row>
    <row r="831" spans="1:30" x14ac:dyDescent="0.3">
      <c r="A831" t="s">
        <v>1748</v>
      </c>
      <c r="B831" t="s">
        <v>1749</v>
      </c>
      <c r="C831" t="s">
        <v>2138</v>
      </c>
      <c r="D831" t="s">
        <v>2477</v>
      </c>
      <c r="E831" t="str">
        <f t="shared" si="142"/>
        <v>Scott Long</v>
      </c>
      <c r="H831" t="s">
        <v>107</v>
      </c>
      <c r="I831" t="str">
        <f t="shared" si="143"/>
        <v>Male</v>
      </c>
      <c r="J831">
        <v>50</v>
      </c>
      <c r="K831">
        <f t="shared" si="144"/>
        <v>50</v>
      </c>
      <c r="L831" t="str">
        <f t="shared" si="145"/>
        <v>Third level</v>
      </c>
      <c r="M831" t="s">
        <v>201</v>
      </c>
      <c r="N831" t="s">
        <v>81</v>
      </c>
      <c r="O831" t="s">
        <v>49</v>
      </c>
      <c r="P831">
        <v>28</v>
      </c>
      <c r="Q831">
        <f t="shared" si="146"/>
        <v>28</v>
      </c>
      <c r="R831" t="s">
        <v>44</v>
      </c>
      <c r="S831" s="8" t="s">
        <v>44</v>
      </c>
      <c r="T831" s="9">
        <v>30</v>
      </c>
      <c r="U831" s="9">
        <f t="shared" si="147"/>
        <v>30</v>
      </c>
      <c r="V831" s="10">
        <v>30</v>
      </c>
      <c r="W831">
        <v>1.8</v>
      </c>
      <c r="X831" s="11">
        <f t="shared" si="148"/>
        <v>1.8</v>
      </c>
      <c r="Y831" t="s">
        <v>65</v>
      </c>
      <c r="AA831" t="str">
        <f t="shared" si="150"/>
        <v>Unknown</v>
      </c>
      <c r="AB831" t="str">
        <f t="shared" si="151"/>
        <v>Unknown</v>
      </c>
      <c r="AC831" s="12"/>
      <c r="AD831" s="12">
        <f t="shared" si="152"/>
        <v>79.822695035460995</v>
      </c>
    </row>
    <row r="832" spans="1:30" x14ac:dyDescent="0.3">
      <c r="A832" t="s">
        <v>1750</v>
      </c>
      <c r="B832" t="s">
        <v>1751</v>
      </c>
      <c r="C832" t="s">
        <v>2242</v>
      </c>
      <c r="D832" t="s">
        <v>2134</v>
      </c>
      <c r="E832" t="str">
        <f t="shared" si="142"/>
        <v>Diana Ferguson</v>
      </c>
      <c r="H832" t="s">
        <v>86</v>
      </c>
      <c r="I832" t="str">
        <f t="shared" si="143"/>
        <v>Female</v>
      </c>
      <c r="J832">
        <v>54</v>
      </c>
      <c r="K832">
        <f t="shared" si="144"/>
        <v>54</v>
      </c>
      <c r="L832" t="str">
        <f t="shared" si="145"/>
        <v>Fourth level</v>
      </c>
      <c r="M832" t="s">
        <v>55</v>
      </c>
      <c r="N832" t="s">
        <v>56</v>
      </c>
      <c r="O832" t="s">
        <v>49</v>
      </c>
      <c r="P832">
        <v>4</v>
      </c>
      <c r="Q832">
        <f t="shared" si="146"/>
        <v>4</v>
      </c>
      <c r="R832" t="s">
        <v>151</v>
      </c>
      <c r="S832" s="8" t="s">
        <v>151</v>
      </c>
      <c r="T832" s="9">
        <v>20</v>
      </c>
      <c r="U832" s="9">
        <f t="shared" si="147"/>
        <v>20</v>
      </c>
      <c r="V832" s="10">
        <v>20</v>
      </c>
      <c r="W832">
        <v>1.1000000000000001</v>
      </c>
      <c r="X832" s="11">
        <f t="shared" si="148"/>
        <v>1.1000000000000001</v>
      </c>
      <c r="Y832" t="s">
        <v>2103</v>
      </c>
      <c r="Z832" t="str">
        <f t="shared" si="149"/>
        <v>Yes</v>
      </c>
      <c r="AA832" t="str">
        <f t="shared" si="150"/>
        <v>Yes</v>
      </c>
      <c r="AB832" t="str">
        <f t="shared" si="151"/>
        <v>Yes</v>
      </c>
      <c r="AC832" s="12">
        <v>63</v>
      </c>
      <c r="AD832" s="12">
        <f t="shared" si="152"/>
        <v>63</v>
      </c>
    </row>
    <row r="833" spans="1:30" x14ac:dyDescent="0.3">
      <c r="A833" t="s">
        <v>1752</v>
      </c>
      <c r="B833" t="s">
        <v>1753</v>
      </c>
      <c r="C833" t="s">
        <v>2380</v>
      </c>
      <c r="D833" t="s">
        <v>2232</v>
      </c>
      <c r="E833" t="str">
        <f t="shared" si="142"/>
        <v>Joseph Miller</v>
      </c>
      <c r="H833" t="s">
        <v>30</v>
      </c>
      <c r="I833" t="str">
        <f t="shared" si="143"/>
        <v>Male</v>
      </c>
      <c r="J833">
        <v>54</v>
      </c>
      <c r="K833">
        <f t="shared" si="144"/>
        <v>54</v>
      </c>
      <c r="L833" t="str">
        <f t="shared" si="145"/>
        <v>Fourth level</v>
      </c>
      <c r="M833" t="s">
        <v>201</v>
      </c>
      <c r="N833" t="s">
        <v>81</v>
      </c>
      <c r="O833" t="s">
        <v>17</v>
      </c>
      <c r="P833">
        <v>3</v>
      </c>
      <c r="Q833">
        <f t="shared" si="146"/>
        <v>3</v>
      </c>
      <c r="R833" t="s">
        <v>151</v>
      </c>
      <c r="S833" s="8" t="s">
        <v>151</v>
      </c>
      <c r="T833" s="9">
        <v>20</v>
      </c>
      <c r="U833" s="9">
        <f t="shared" si="147"/>
        <v>20</v>
      </c>
      <c r="V833" s="10">
        <v>20</v>
      </c>
      <c r="W833">
        <v>1.6</v>
      </c>
      <c r="X833" s="11">
        <f t="shared" si="148"/>
        <v>1.6</v>
      </c>
      <c r="Y833" t="s">
        <v>2103</v>
      </c>
      <c r="Z833" t="str">
        <f t="shared" si="149"/>
        <v>Yes</v>
      </c>
      <c r="AA833" t="str">
        <f t="shared" si="150"/>
        <v>Yes</v>
      </c>
      <c r="AB833" t="str">
        <f t="shared" si="151"/>
        <v>Yes</v>
      </c>
      <c r="AC833" s="12">
        <v>70</v>
      </c>
      <c r="AD833" s="12">
        <f t="shared" si="152"/>
        <v>70</v>
      </c>
    </row>
    <row r="834" spans="1:30" x14ac:dyDescent="0.3">
      <c r="A834" t="s">
        <v>1754</v>
      </c>
      <c r="B834" t="s">
        <v>1755</v>
      </c>
      <c r="C834" t="s">
        <v>2444</v>
      </c>
      <c r="D834" t="s">
        <v>2852</v>
      </c>
      <c r="E834" t="str">
        <f t="shared" si="142"/>
        <v>Julia Reid</v>
      </c>
      <c r="H834" t="s">
        <v>86</v>
      </c>
      <c r="I834" t="str">
        <f t="shared" si="143"/>
        <v>Female</v>
      </c>
      <c r="J834">
        <v>34</v>
      </c>
      <c r="K834">
        <f t="shared" si="144"/>
        <v>34</v>
      </c>
      <c r="L834" t="str">
        <f t="shared" si="145"/>
        <v>Second level</v>
      </c>
      <c r="M834" t="s">
        <v>149</v>
      </c>
      <c r="N834" t="s">
        <v>150</v>
      </c>
      <c r="O834" t="s">
        <v>124</v>
      </c>
      <c r="P834">
        <v>4</v>
      </c>
      <c r="Q834">
        <f t="shared" si="146"/>
        <v>4</v>
      </c>
      <c r="R834" t="s">
        <v>50</v>
      </c>
      <c r="S834" s="8" t="s">
        <v>50</v>
      </c>
      <c r="T834" s="9">
        <v>30</v>
      </c>
      <c r="U834" s="9">
        <f t="shared" si="147"/>
        <v>30</v>
      </c>
      <c r="V834" s="10">
        <v>30</v>
      </c>
      <c r="W834">
        <v>3.1</v>
      </c>
      <c r="X834" s="11">
        <f t="shared" si="148"/>
        <v>3.1</v>
      </c>
      <c r="Y834" t="s">
        <v>65</v>
      </c>
      <c r="AA834" t="str">
        <f t="shared" si="150"/>
        <v>Unknown</v>
      </c>
      <c r="AB834" t="str">
        <f t="shared" si="151"/>
        <v>Unknown</v>
      </c>
      <c r="AC834" s="12">
        <v>90</v>
      </c>
      <c r="AD834" s="12">
        <f t="shared" si="152"/>
        <v>90</v>
      </c>
    </row>
    <row r="835" spans="1:30" x14ac:dyDescent="0.3">
      <c r="A835" t="s">
        <v>1756</v>
      </c>
      <c r="B835" t="s">
        <v>1757</v>
      </c>
      <c r="C835" t="s">
        <v>2187</v>
      </c>
      <c r="D835" t="s">
        <v>2853</v>
      </c>
      <c r="E835" t="str">
        <f t="shared" ref="E835:E898" si="153">CONCATENATE(C835," ",D835)</f>
        <v>Samantha Matthews</v>
      </c>
      <c r="H835" t="s">
        <v>86</v>
      </c>
      <c r="I835" t="str">
        <f t="shared" ref="I835:I898" si="154">PROPER(H835)</f>
        <v>Female</v>
      </c>
      <c r="J835">
        <v>20</v>
      </c>
      <c r="K835">
        <f t="shared" ref="K835:K898" si="155">IF(ISBLANK(J835),ROUND(AVERAGEIF($I$2:$I$1001,I835,$J$2:$J$1001),0),J835)</f>
        <v>20</v>
      </c>
      <c r="L835" t="str">
        <f t="shared" ref="L835:L898" si="156">IF(AND(K835&gt;=20,K835&lt;=30),"First level",IF(AND(K835&gt;30,K835&lt;=40),"Second level",IF(AND(K835&gt;40,K835&lt;=50),"Third level",IF(H842&gt;50,"Fourth level"))))</f>
        <v>First level</v>
      </c>
      <c r="M835" t="s">
        <v>15</v>
      </c>
      <c r="N835" t="s">
        <v>16</v>
      </c>
      <c r="O835" t="s">
        <v>99</v>
      </c>
      <c r="P835">
        <v>1</v>
      </c>
      <c r="Q835">
        <f t="shared" ref="Q835:Q898" si="157">IF(ISBLANK(P835),ROUND(AVERAGEIF($L$2:$L$1001,L835,$P$2:$P$1001),0),P835)</f>
        <v>1</v>
      </c>
      <c r="R835" t="s">
        <v>34</v>
      </c>
      <c r="S835" s="8" t="s">
        <v>34</v>
      </c>
      <c r="T835" s="9">
        <v>50</v>
      </c>
      <c r="U835" s="9">
        <f t="shared" ref="U835:U898" si="158">IF(ISBLANK(T835),AVERAGE(T834:T1834),T835)</f>
        <v>50</v>
      </c>
      <c r="V835" s="10">
        <v>50</v>
      </c>
      <c r="W835">
        <v>3.4</v>
      </c>
      <c r="X835" s="11">
        <f t="shared" ref="X835:X898" si="159">IF(ISBLANK(W835),AVERAGE(W835:W1834),W835)</f>
        <v>3.4</v>
      </c>
      <c r="Y835" t="s">
        <v>2103</v>
      </c>
      <c r="Z835" t="str">
        <f t="shared" ref="Z835:Z898" si="160">CLEAN(Y835)</f>
        <v>Yes</v>
      </c>
      <c r="AA835" t="str">
        <f t="shared" ref="AA835:AA898" si="161">IF(ISBLANK(Z835),"Unknown",Z835)</f>
        <v>Yes</v>
      </c>
      <c r="AB835" t="str">
        <f t="shared" ref="AB835:AB898" si="162">PROPER(AA835)</f>
        <v>Yes</v>
      </c>
      <c r="AC835" s="12">
        <v>79</v>
      </c>
      <c r="AD835" s="12">
        <f t="shared" ref="AD835:AD898" si="163">IF(ISBLANK(AC835),AVERAGE(AC835:AC1834),AC835)</f>
        <v>79</v>
      </c>
    </row>
    <row r="836" spans="1:30" x14ac:dyDescent="0.3">
      <c r="A836" t="s">
        <v>1758</v>
      </c>
      <c r="B836" t="s">
        <v>1759</v>
      </c>
      <c r="C836" t="s">
        <v>2397</v>
      </c>
      <c r="D836" t="s">
        <v>2326</v>
      </c>
      <c r="E836" t="str">
        <f t="shared" si="153"/>
        <v>Brian Bailey</v>
      </c>
      <c r="H836" t="s">
        <v>30</v>
      </c>
      <c r="I836" t="str">
        <f t="shared" si="154"/>
        <v>Male</v>
      </c>
      <c r="J836">
        <v>29</v>
      </c>
      <c r="K836">
        <f t="shared" si="155"/>
        <v>29</v>
      </c>
      <c r="L836" t="str">
        <f t="shared" si="156"/>
        <v>First level</v>
      </c>
      <c r="M836" t="s">
        <v>31</v>
      </c>
      <c r="N836" t="s">
        <v>32</v>
      </c>
      <c r="O836" t="s">
        <v>49</v>
      </c>
      <c r="P836">
        <v>8</v>
      </c>
      <c r="Q836">
        <f t="shared" si="157"/>
        <v>8</v>
      </c>
      <c r="R836" t="s">
        <v>76</v>
      </c>
      <c r="S836" s="8" t="s">
        <v>76</v>
      </c>
      <c r="T836" s="9">
        <v>40</v>
      </c>
      <c r="U836" s="9">
        <f t="shared" si="158"/>
        <v>40</v>
      </c>
      <c r="V836" s="10">
        <v>40</v>
      </c>
      <c r="W836">
        <v>3.1</v>
      </c>
      <c r="X836" s="11">
        <f t="shared" si="159"/>
        <v>3.1</v>
      </c>
      <c r="Y836" t="s">
        <v>2102</v>
      </c>
      <c r="Z836" t="str">
        <f t="shared" si="160"/>
        <v>No</v>
      </c>
      <c r="AA836" t="str">
        <f t="shared" si="161"/>
        <v>No</v>
      </c>
      <c r="AB836" t="str">
        <f t="shared" si="162"/>
        <v>No</v>
      </c>
      <c r="AC836" s="12">
        <v>60</v>
      </c>
      <c r="AD836" s="12">
        <f t="shared" si="163"/>
        <v>60</v>
      </c>
    </row>
    <row r="837" spans="1:30" x14ac:dyDescent="0.3">
      <c r="A837" t="s">
        <v>1760</v>
      </c>
      <c r="B837" t="s">
        <v>1761</v>
      </c>
      <c r="C837" t="s">
        <v>2854</v>
      </c>
      <c r="D837" t="s">
        <v>2705</v>
      </c>
      <c r="E837" t="str">
        <f t="shared" si="153"/>
        <v>Toni Hinton</v>
      </c>
      <c r="H837" t="s">
        <v>43</v>
      </c>
      <c r="I837" t="str">
        <f t="shared" si="154"/>
        <v>Female</v>
      </c>
      <c r="J837">
        <v>57</v>
      </c>
      <c r="K837">
        <f t="shared" si="155"/>
        <v>57</v>
      </c>
      <c r="L837" t="str">
        <f t="shared" si="156"/>
        <v>Fourth level</v>
      </c>
      <c r="M837" t="s">
        <v>75</v>
      </c>
      <c r="N837" t="s">
        <v>24</v>
      </c>
      <c r="O837" t="s">
        <v>99</v>
      </c>
      <c r="P837">
        <v>11</v>
      </c>
      <c r="Q837">
        <f t="shared" si="157"/>
        <v>11</v>
      </c>
      <c r="R837" t="s">
        <v>58</v>
      </c>
      <c r="S837" s="8" t="s">
        <v>2093</v>
      </c>
      <c r="T837" s="9">
        <v>75</v>
      </c>
      <c r="U837" s="9">
        <f t="shared" si="158"/>
        <v>75</v>
      </c>
      <c r="V837" s="10">
        <v>75</v>
      </c>
      <c r="W837">
        <v>2.2999999999999998</v>
      </c>
      <c r="X837" s="11">
        <f t="shared" si="159"/>
        <v>2.2999999999999998</v>
      </c>
      <c r="Y837" t="s">
        <v>2102</v>
      </c>
      <c r="Z837" t="str">
        <f t="shared" si="160"/>
        <v>No</v>
      </c>
      <c r="AA837" t="str">
        <f t="shared" si="161"/>
        <v>No</v>
      </c>
      <c r="AB837" t="str">
        <f t="shared" si="162"/>
        <v>No</v>
      </c>
      <c r="AC837" s="12"/>
      <c r="AD837" s="12">
        <f t="shared" si="163"/>
        <v>80.095588235294116</v>
      </c>
    </row>
    <row r="838" spans="1:30" x14ac:dyDescent="0.3">
      <c r="A838" t="s">
        <v>1762</v>
      </c>
      <c r="B838" t="s">
        <v>1763</v>
      </c>
      <c r="C838" t="s">
        <v>2364</v>
      </c>
      <c r="D838" t="s">
        <v>2274</v>
      </c>
      <c r="E838" t="str">
        <f t="shared" si="153"/>
        <v>Robin Ortiz</v>
      </c>
      <c r="H838" t="s">
        <v>86</v>
      </c>
      <c r="I838" t="str">
        <f t="shared" si="154"/>
        <v>Female</v>
      </c>
      <c r="J838">
        <v>36</v>
      </c>
      <c r="K838">
        <f t="shared" si="155"/>
        <v>36</v>
      </c>
      <c r="L838" t="str">
        <f t="shared" si="156"/>
        <v>Second level</v>
      </c>
      <c r="M838" t="s">
        <v>47</v>
      </c>
      <c r="N838" t="s">
        <v>48</v>
      </c>
      <c r="O838" t="s">
        <v>49</v>
      </c>
      <c r="P838">
        <v>8</v>
      </c>
      <c r="Q838">
        <f t="shared" si="157"/>
        <v>8</v>
      </c>
      <c r="R838" t="s">
        <v>61</v>
      </c>
      <c r="S838" s="8" t="s">
        <v>2094</v>
      </c>
      <c r="T838" s="9">
        <v>40</v>
      </c>
      <c r="U838" s="9">
        <f t="shared" si="158"/>
        <v>40</v>
      </c>
      <c r="V838" s="10">
        <v>40</v>
      </c>
      <c r="X838" s="11">
        <f t="shared" si="159"/>
        <v>2.4224489795918367</v>
      </c>
      <c r="Y838" t="s">
        <v>2102</v>
      </c>
      <c r="Z838" t="str">
        <f t="shared" si="160"/>
        <v>No</v>
      </c>
      <c r="AA838" t="str">
        <f t="shared" si="161"/>
        <v>No</v>
      </c>
      <c r="AB838" t="str">
        <f t="shared" si="162"/>
        <v>No</v>
      </c>
      <c r="AC838" s="12">
        <v>80</v>
      </c>
      <c r="AD838" s="12">
        <f t="shared" si="163"/>
        <v>80</v>
      </c>
    </row>
    <row r="839" spans="1:30" x14ac:dyDescent="0.3">
      <c r="A839" t="s">
        <v>1764</v>
      </c>
      <c r="B839" t="s">
        <v>1765</v>
      </c>
      <c r="C839" t="s">
        <v>2406</v>
      </c>
      <c r="D839" t="s">
        <v>2855</v>
      </c>
      <c r="E839" t="str">
        <f t="shared" si="153"/>
        <v>Adam Griffith</v>
      </c>
      <c r="H839" t="s">
        <v>107</v>
      </c>
      <c r="I839" t="str">
        <f t="shared" si="154"/>
        <v>Male</v>
      </c>
      <c r="J839">
        <v>51</v>
      </c>
      <c r="K839">
        <f t="shared" si="155"/>
        <v>51</v>
      </c>
      <c r="L839" t="str">
        <f t="shared" si="156"/>
        <v>Fourth level</v>
      </c>
      <c r="M839" t="s">
        <v>122</v>
      </c>
      <c r="N839" t="s">
        <v>123</v>
      </c>
      <c r="O839" t="s">
        <v>39</v>
      </c>
      <c r="P839">
        <v>32</v>
      </c>
      <c r="Q839">
        <f t="shared" si="157"/>
        <v>32</v>
      </c>
      <c r="R839" t="s">
        <v>72</v>
      </c>
      <c r="S839" s="8" t="s">
        <v>72</v>
      </c>
      <c r="T839" s="9">
        <v>50</v>
      </c>
      <c r="U839" s="9">
        <f t="shared" si="158"/>
        <v>50</v>
      </c>
      <c r="V839" s="10">
        <v>50</v>
      </c>
      <c r="W839">
        <v>3.2</v>
      </c>
      <c r="X839" s="11">
        <f t="shared" si="159"/>
        <v>3.2</v>
      </c>
      <c r="Y839" t="s">
        <v>2102</v>
      </c>
      <c r="Z839" t="str">
        <f t="shared" si="160"/>
        <v>No</v>
      </c>
      <c r="AA839" t="str">
        <f t="shared" si="161"/>
        <v>No</v>
      </c>
      <c r="AB839" t="str">
        <f t="shared" si="162"/>
        <v>No</v>
      </c>
      <c r="AC839" s="12">
        <v>88</v>
      </c>
      <c r="AD839" s="12">
        <f t="shared" si="163"/>
        <v>88</v>
      </c>
    </row>
    <row r="840" spans="1:30" x14ac:dyDescent="0.3">
      <c r="A840" t="s">
        <v>1766</v>
      </c>
      <c r="B840" t="s">
        <v>1767</v>
      </c>
      <c r="C840" t="s">
        <v>2447</v>
      </c>
      <c r="D840" t="s">
        <v>2253</v>
      </c>
      <c r="E840" t="str">
        <f t="shared" si="153"/>
        <v>Daniel Roberson</v>
      </c>
      <c r="H840" t="s">
        <v>107</v>
      </c>
      <c r="I840" t="str">
        <f t="shared" si="154"/>
        <v>Male</v>
      </c>
      <c r="J840">
        <v>44</v>
      </c>
      <c r="K840">
        <f t="shared" si="155"/>
        <v>44</v>
      </c>
      <c r="L840" t="str">
        <f t="shared" si="156"/>
        <v>Third level</v>
      </c>
      <c r="M840" t="s">
        <v>103</v>
      </c>
      <c r="N840" t="s">
        <v>104</v>
      </c>
      <c r="O840" t="s">
        <v>82</v>
      </c>
      <c r="P840">
        <v>4</v>
      </c>
      <c r="Q840">
        <f t="shared" si="157"/>
        <v>4</v>
      </c>
      <c r="R840" t="s">
        <v>119</v>
      </c>
      <c r="S840" s="8" t="s">
        <v>2096</v>
      </c>
      <c r="T840" s="9">
        <v>30</v>
      </c>
      <c r="U840" s="9">
        <f t="shared" si="158"/>
        <v>30</v>
      </c>
      <c r="V840" s="10">
        <v>30</v>
      </c>
      <c r="W840">
        <v>0</v>
      </c>
      <c r="X840" s="11">
        <f t="shared" si="159"/>
        <v>0</v>
      </c>
      <c r="Y840" t="s">
        <v>2102</v>
      </c>
      <c r="Z840" t="str">
        <f t="shared" si="160"/>
        <v>No</v>
      </c>
      <c r="AA840" t="str">
        <f t="shared" si="161"/>
        <v>No</v>
      </c>
      <c r="AB840" t="str">
        <f t="shared" si="162"/>
        <v>No</v>
      </c>
      <c r="AC840" s="12">
        <v>80</v>
      </c>
      <c r="AD840" s="12">
        <f t="shared" si="163"/>
        <v>80</v>
      </c>
    </row>
    <row r="841" spans="1:30" x14ac:dyDescent="0.3">
      <c r="A841" t="s">
        <v>1768</v>
      </c>
      <c r="B841" t="s">
        <v>1769</v>
      </c>
      <c r="C841" t="s">
        <v>2856</v>
      </c>
      <c r="D841" t="s">
        <v>2857</v>
      </c>
      <c r="E841" t="str">
        <f t="shared" si="153"/>
        <v>Dale Haynes</v>
      </c>
      <c r="H841" t="s">
        <v>107</v>
      </c>
      <c r="I841" t="str">
        <f t="shared" si="154"/>
        <v>Male</v>
      </c>
      <c r="J841">
        <v>58</v>
      </c>
      <c r="K841">
        <f t="shared" si="155"/>
        <v>58</v>
      </c>
      <c r="L841" t="str">
        <f t="shared" si="156"/>
        <v>Fourth level</v>
      </c>
      <c r="M841" t="s">
        <v>201</v>
      </c>
      <c r="N841" t="s">
        <v>81</v>
      </c>
      <c r="O841" t="s">
        <v>87</v>
      </c>
      <c r="P841">
        <v>33</v>
      </c>
      <c r="Q841">
        <f t="shared" si="157"/>
        <v>33</v>
      </c>
      <c r="R841" t="s">
        <v>44</v>
      </c>
      <c r="S841" s="8" t="s">
        <v>44</v>
      </c>
      <c r="T841" s="9">
        <v>30</v>
      </c>
      <c r="U841" s="9">
        <f t="shared" si="158"/>
        <v>30</v>
      </c>
      <c r="V841" s="10">
        <v>30</v>
      </c>
      <c r="W841">
        <v>3.3</v>
      </c>
      <c r="X841" s="11">
        <f t="shared" si="159"/>
        <v>3.3</v>
      </c>
      <c r="Y841" t="s">
        <v>2103</v>
      </c>
      <c r="Z841" t="str">
        <f t="shared" si="160"/>
        <v>Yes</v>
      </c>
      <c r="AA841" t="str">
        <f t="shared" si="161"/>
        <v>Yes</v>
      </c>
      <c r="AB841" t="str">
        <f t="shared" si="162"/>
        <v>Yes</v>
      </c>
      <c r="AC841" s="12">
        <v>71</v>
      </c>
      <c r="AD841" s="12">
        <f t="shared" si="163"/>
        <v>71</v>
      </c>
    </row>
    <row r="842" spans="1:30" x14ac:dyDescent="0.3">
      <c r="A842" t="s">
        <v>1770</v>
      </c>
      <c r="B842" t="s">
        <v>1771</v>
      </c>
      <c r="C842" t="s">
        <v>2170</v>
      </c>
      <c r="D842" t="s">
        <v>2138</v>
      </c>
      <c r="E842" t="str">
        <f t="shared" si="153"/>
        <v>Emily Scott</v>
      </c>
      <c r="H842" t="s">
        <v>86</v>
      </c>
      <c r="I842" t="str">
        <f t="shared" si="154"/>
        <v>Female</v>
      </c>
      <c r="J842">
        <v>38</v>
      </c>
      <c r="K842">
        <f t="shared" si="155"/>
        <v>38</v>
      </c>
      <c r="L842" t="str">
        <f t="shared" si="156"/>
        <v>Second level</v>
      </c>
      <c r="M842" t="s">
        <v>164</v>
      </c>
      <c r="N842" t="s">
        <v>165</v>
      </c>
      <c r="O842" t="s">
        <v>25</v>
      </c>
      <c r="P842">
        <v>14</v>
      </c>
      <c r="Q842">
        <f t="shared" si="157"/>
        <v>14</v>
      </c>
      <c r="R842" t="s">
        <v>65</v>
      </c>
      <c r="S842" s="8" t="s">
        <v>65</v>
      </c>
      <c r="T842" s="9"/>
      <c r="U842" s="9">
        <f t="shared" si="158"/>
        <v>54.664429530201339</v>
      </c>
      <c r="V842" s="10">
        <v>54.664429530201339</v>
      </c>
      <c r="W842">
        <v>1.1000000000000001</v>
      </c>
      <c r="X842" s="11">
        <f t="shared" si="159"/>
        <v>1.1000000000000001</v>
      </c>
      <c r="Y842" t="s">
        <v>2103</v>
      </c>
      <c r="Z842" t="str">
        <f t="shared" si="160"/>
        <v>Yes</v>
      </c>
      <c r="AA842" t="str">
        <f t="shared" si="161"/>
        <v>Yes</v>
      </c>
      <c r="AB842" t="str">
        <f t="shared" si="162"/>
        <v>Yes</v>
      </c>
      <c r="AC842" s="12">
        <v>76</v>
      </c>
      <c r="AD842" s="12">
        <f t="shared" si="163"/>
        <v>76</v>
      </c>
    </row>
    <row r="843" spans="1:30" x14ac:dyDescent="0.3">
      <c r="A843" t="s">
        <v>1772</v>
      </c>
      <c r="B843" t="s">
        <v>1773</v>
      </c>
      <c r="C843" t="s">
        <v>2273</v>
      </c>
      <c r="D843" t="s">
        <v>2186</v>
      </c>
      <c r="E843" t="str">
        <f t="shared" si="153"/>
        <v>David Brown</v>
      </c>
      <c r="H843" t="s">
        <v>107</v>
      </c>
      <c r="I843" t="str">
        <f t="shared" si="154"/>
        <v>Male</v>
      </c>
      <c r="J843">
        <v>24</v>
      </c>
      <c r="K843">
        <f t="shared" si="155"/>
        <v>24</v>
      </c>
      <c r="L843" t="str">
        <f t="shared" si="156"/>
        <v>First level</v>
      </c>
      <c r="M843" t="s">
        <v>64</v>
      </c>
      <c r="N843" t="s">
        <v>24</v>
      </c>
      <c r="O843" t="s">
        <v>82</v>
      </c>
      <c r="P843">
        <v>6</v>
      </c>
      <c r="Q843">
        <f t="shared" si="157"/>
        <v>6</v>
      </c>
      <c r="R843" t="s">
        <v>119</v>
      </c>
      <c r="S843" s="8" t="s">
        <v>2096</v>
      </c>
      <c r="T843" s="9">
        <v>30</v>
      </c>
      <c r="U843" s="9">
        <f t="shared" si="158"/>
        <v>30</v>
      </c>
      <c r="V843" s="10">
        <v>30</v>
      </c>
      <c r="W843">
        <v>4.5999999999999996</v>
      </c>
      <c r="X843" s="11">
        <f t="shared" si="159"/>
        <v>4.5999999999999996</v>
      </c>
      <c r="Y843" t="s">
        <v>2103</v>
      </c>
      <c r="Z843" t="str">
        <f t="shared" si="160"/>
        <v>Yes</v>
      </c>
      <c r="AA843" t="str">
        <f t="shared" si="161"/>
        <v>Yes</v>
      </c>
      <c r="AB843" t="str">
        <f t="shared" si="162"/>
        <v>Yes</v>
      </c>
      <c r="AC843" s="12">
        <v>93</v>
      </c>
      <c r="AD843" s="12">
        <f t="shared" si="163"/>
        <v>93</v>
      </c>
    </row>
    <row r="844" spans="1:30" x14ac:dyDescent="0.3">
      <c r="A844" t="s">
        <v>1774</v>
      </c>
      <c r="B844" t="s">
        <v>1775</v>
      </c>
      <c r="C844" t="s">
        <v>2455</v>
      </c>
      <c r="D844" t="s">
        <v>2858</v>
      </c>
      <c r="E844" t="str">
        <f t="shared" si="153"/>
        <v>Stephanie Guzman</v>
      </c>
      <c r="H844" t="s">
        <v>86</v>
      </c>
      <c r="I844" t="str">
        <f t="shared" si="154"/>
        <v>Female</v>
      </c>
      <c r="J844">
        <v>30</v>
      </c>
      <c r="K844">
        <f t="shared" si="155"/>
        <v>30</v>
      </c>
      <c r="L844" t="str">
        <f t="shared" si="156"/>
        <v>First level</v>
      </c>
      <c r="M844" t="s">
        <v>70</v>
      </c>
      <c r="N844" t="s">
        <v>71</v>
      </c>
      <c r="O844" t="s">
        <v>17</v>
      </c>
      <c r="P844">
        <v>5</v>
      </c>
      <c r="Q844">
        <f t="shared" si="157"/>
        <v>5</v>
      </c>
      <c r="R844" t="s">
        <v>119</v>
      </c>
      <c r="S844" s="8" t="s">
        <v>2096</v>
      </c>
      <c r="T844" s="9">
        <v>30</v>
      </c>
      <c r="U844" s="9">
        <f t="shared" si="158"/>
        <v>30</v>
      </c>
      <c r="V844" s="10">
        <v>30</v>
      </c>
      <c r="X844" s="11">
        <f t="shared" si="159"/>
        <v>2.4218309859154932</v>
      </c>
      <c r="Y844" t="s">
        <v>2102</v>
      </c>
      <c r="Z844" t="str">
        <f t="shared" si="160"/>
        <v>No</v>
      </c>
      <c r="AA844" t="str">
        <f t="shared" si="161"/>
        <v>No</v>
      </c>
      <c r="AB844" t="str">
        <f t="shared" si="162"/>
        <v>No</v>
      </c>
      <c r="AC844" s="12"/>
      <c r="AD844" s="12">
        <f t="shared" si="163"/>
        <v>80.038461538461533</v>
      </c>
    </row>
    <row r="845" spans="1:30" x14ac:dyDescent="0.3">
      <c r="A845" t="s">
        <v>1776</v>
      </c>
      <c r="B845" t="s">
        <v>1777</v>
      </c>
      <c r="C845" t="s">
        <v>2635</v>
      </c>
      <c r="D845" t="s">
        <v>2117</v>
      </c>
      <c r="E845" t="str">
        <f t="shared" si="153"/>
        <v>Maxwell Johnson</v>
      </c>
      <c r="H845" t="s">
        <v>69</v>
      </c>
      <c r="I845" t="str">
        <f t="shared" si="154"/>
        <v>Male</v>
      </c>
      <c r="J845">
        <v>25</v>
      </c>
      <c r="K845">
        <f t="shared" si="155"/>
        <v>25</v>
      </c>
      <c r="L845" t="str">
        <f t="shared" si="156"/>
        <v>First level</v>
      </c>
      <c r="M845" t="s">
        <v>55</v>
      </c>
      <c r="N845" t="s">
        <v>56</v>
      </c>
      <c r="O845" t="s">
        <v>87</v>
      </c>
      <c r="P845">
        <v>3</v>
      </c>
      <c r="Q845">
        <f t="shared" si="157"/>
        <v>3</v>
      </c>
      <c r="R845" t="s">
        <v>92</v>
      </c>
      <c r="S845" s="8" t="s">
        <v>92</v>
      </c>
      <c r="T845" s="9">
        <v>75</v>
      </c>
      <c r="U845" s="9">
        <f t="shared" si="158"/>
        <v>75</v>
      </c>
      <c r="V845" s="10">
        <v>75</v>
      </c>
      <c r="X845" s="11">
        <f t="shared" si="159"/>
        <v>2.4218309859154932</v>
      </c>
      <c r="Y845" t="s">
        <v>2102</v>
      </c>
      <c r="Z845" t="str">
        <f t="shared" si="160"/>
        <v>No</v>
      </c>
      <c r="AA845" t="str">
        <f t="shared" si="161"/>
        <v>No</v>
      </c>
      <c r="AB845" t="str">
        <f t="shared" si="162"/>
        <v>No</v>
      </c>
      <c r="AC845" s="12">
        <v>83</v>
      </c>
      <c r="AD845" s="12">
        <f t="shared" si="163"/>
        <v>83</v>
      </c>
    </row>
    <row r="846" spans="1:30" x14ac:dyDescent="0.3">
      <c r="A846" t="s">
        <v>1778</v>
      </c>
      <c r="B846" t="s">
        <v>1779</v>
      </c>
      <c r="C846" t="s">
        <v>2859</v>
      </c>
      <c r="D846" t="s">
        <v>2402</v>
      </c>
      <c r="E846" t="str">
        <f t="shared" si="153"/>
        <v>Reginald Stephens</v>
      </c>
      <c r="H846" t="s">
        <v>107</v>
      </c>
      <c r="I846" t="str">
        <f t="shared" si="154"/>
        <v>Male</v>
      </c>
      <c r="J846">
        <v>54</v>
      </c>
      <c r="K846">
        <f t="shared" si="155"/>
        <v>54</v>
      </c>
      <c r="L846" t="str">
        <f t="shared" si="156"/>
        <v>Fourth level</v>
      </c>
      <c r="M846" t="s">
        <v>55</v>
      </c>
      <c r="N846" t="s">
        <v>56</v>
      </c>
      <c r="O846" t="s">
        <v>25</v>
      </c>
      <c r="P846">
        <v>17</v>
      </c>
      <c r="Q846">
        <f t="shared" si="157"/>
        <v>17</v>
      </c>
      <c r="R846" t="s">
        <v>240</v>
      </c>
      <c r="S846" s="8" t="s">
        <v>18</v>
      </c>
      <c r="T846" s="9">
        <v>100</v>
      </c>
      <c r="U846" s="9">
        <f t="shared" si="158"/>
        <v>100</v>
      </c>
      <c r="V846" s="10">
        <v>100</v>
      </c>
      <c r="W846">
        <v>0</v>
      </c>
      <c r="X846" s="11">
        <f t="shared" si="159"/>
        <v>0</v>
      </c>
      <c r="Y846" t="s">
        <v>2102</v>
      </c>
      <c r="Z846" t="str">
        <f t="shared" si="160"/>
        <v>No</v>
      </c>
      <c r="AA846" t="str">
        <f t="shared" si="161"/>
        <v>No</v>
      </c>
      <c r="AB846" t="str">
        <f t="shared" si="162"/>
        <v>No</v>
      </c>
      <c r="AC846" s="12">
        <v>71</v>
      </c>
      <c r="AD846" s="12">
        <f t="shared" si="163"/>
        <v>71</v>
      </c>
    </row>
    <row r="847" spans="1:30" x14ac:dyDescent="0.3">
      <c r="A847" t="s">
        <v>1780</v>
      </c>
      <c r="B847" t="s">
        <v>1781</v>
      </c>
      <c r="C847" t="s">
        <v>2384</v>
      </c>
      <c r="D847" t="s">
        <v>2159</v>
      </c>
      <c r="E847" t="str">
        <f t="shared" si="153"/>
        <v>Justin Jones</v>
      </c>
      <c r="H847" t="s">
        <v>30</v>
      </c>
      <c r="I847" t="str">
        <f t="shared" si="154"/>
        <v>Male</v>
      </c>
      <c r="J847">
        <v>54</v>
      </c>
      <c r="K847">
        <f t="shared" si="155"/>
        <v>54</v>
      </c>
      <c r="L847" t="str">
        <f t="shared" si="156"/>
        <v>Fourth level</v>
      </c>
      <c r="M847" t="s">
        <v>15</v>
      </c>
      <c r="N847" t="s">
        <v>16</v>
      </c>
      <c r="O847" t="s">
        <v>87</v>
      </c>
      <c r="P847">
        <v>9</v>
      </c>
      <c r="Q847">
        <f t="shared" si="157"/>
        <v>9</v>
      </c>
      <c r="R847" t="s">
        <v>325</v>
      </c>
      <c r="S847" s="8" t="s">
        <v>2097</v>
      </c>
      <c r="T847" s="9">
        <v>20</v>
      </c>
      <c r="U847" s="9">
        <f t="shared" si="158"/>
        <v>20</v>
      </c>
      <c r="V847" s="10">
        <v>20</v>
      </c>
      <c r="W847">
        <v>0</v>
      </c>
      <c r="X847" s="11">
        <f t="shared" si="159"/>
        <v>0</v>
      </c>
      <c r="Y847" t="s">
        <v>77</v>
      </c>
      <c r="Z847" t="str">
        <f t="shared" si="160"/>
        <v>yes</v>
      </c>
      <c r="AA847" t="str">
        <f t="shared" si="161"/>
        <v>yes</v>
      </c>
      <c r="AB847" t="str">
        <f t="shared" si="162"/>
        <v>Yes</v>
      </c>
      <c r="AC847" s="12">
        <v>96</v>
      </c>
      <c r="AD847" s="12">
        <f t="shared" si="163"/>
        <v>96</v>
      </c>
    </row>
    <row r="848" spans="1:30" x14ac:dyDescent="0.3">
      <c r="A848" t="s">
        <v>1782</v>
      </c>
      <c r="B848" t="s">
        <v>1783</v>
      </c>
      <c r="C848" t="s">
        <v>2860</v>
      </c>
      <c r="D848" t="s">
        <v>2109</v>
      </c>
      <c r="E848" t="str">
        <f t="shared" si="153"/>
        <v>Kristine Garcia</v>
      </c>
      <c r="H848" t="s">
        <v>86</v>
      </c>
      <c r="I848" t="str">
        <f t="shared" si="154"/>
        <v>Female</v>
      </c>
      <c r="J848">
        <v>53</v>
      </c>
      <c r="K848">
        <f t="shared" si="155"/>
        <v>53</v>
      </c>
      <c r="L848" t="str">
        <f t="shared" si="156"/>
        <v>Fourth level</v>
      </c>
      <c r="M848" t="s">
        <v>145</v>
      </c>
      <c r="N848" t="s">
        <v>146</v>
      </c>
      <c r="O848" t="s">
        <v>33</v>
      </c>
      <c r="P848">
        <v>16</v>
      </c>
      <c r="Q848">
        <f t="shared" si="157"/>
        <v>16</v>
      </c>
      <c r="R848" t="s">
        <v>76</v>
      </c>
      <c r="S848" s="8" t="s">
        <v>76</v>
      </c>
      <c r="T848" s="9">
        <v>40</v>
      </c>
      <c r="U848" s="9">
        <f t="shared" si="158"/>
        <v>40</v>
      </c>
      <c r="V848" s="10">
        <v>40</v>
      </c>
      <c r="W848">
        <v>0</v>
      </c>
      <c r="X848" s="11">
        <f t="shared" si="159"/>
        <v>0</v>
      </c>
      <c r="Y848" t="s">
        <v>170</v>
      </c>
      <c r="Z848" t="str">
        <f t="shared" si="160"/>
        <v>no</v>
      </c>
      <c r="AA848" t="str">
        <f t="shared" si="161"/>
        <v>no</v>
      </c>
      <c r="AB848" t="str">
        <f t="shared" si="162"/>
        <v>No</v>
      </c>
      <c r="AC848" s="12"/>
      <c r="AD848" s="12">
        <f t="shared" si="163"/>
        <v>79.960629921259837</v>
      </c>
    </row>
    <row r="849" spans="1:30" x14ac:dyDescent="0.3">
      <c r="A849" t="s">
        <v>1784</v>
      </c>
      <c r="B849" t="s">
        <v>1785</v>
      </c>
      <c r="C849" t="s">
        <v>2366</v>
      </c>
      <c r="D849" t="s">
        <v>2811</v>
      </c>
      <c r="E849" t="str">
        <f t="shared" si="153"/>
        <v>John Nguyen</v>
      </c>
      <c r="H849" t="s">
        <v>30</v>
      </c>
      <c r="I849" t="str">
        <f t="shared" si="154"/>
        <v>Male</v>
      </c>
      <c r="J849">
        <v>22</v>
      </c>
      <c r="K849">
        <f t="shared" si="155"/>
        <v>22</v>
      </c>
      <c r="L849" t="str">
        <f t="shared" si="156"/>
        <v>First level</v>
      </c>
      <c r="M849" t="s">
        <v>134</v>
      </c>
      <c r="N849" t="s">
        <v>135</v>
      </c>
      <c r="O849" t="s">
        <v>49</v>
      </c>
      <c r="P849">
        <v>3</v>
      </c>
      <c r="Q849">
        <f t="shared" si="157"/>
        <v>3</v>
      </c>
      <c r="R849" t="s">
        <v>92</v>
      </c>
      <c r="S849" s="8" t="s">
        <v>92</v>
      </c>
      <c r="T849" s="9">
        <v>75</v>
      </c>
      <c r="U849" s="9">
        <f t="shared" si="158"/>
        <v>75</v>
      </c>
      <c r="V849" s="10">
        <v>75</v>
      </c>
      <c r="W849">
        <v>3.4</v>
      </c>
      <c r="X849" s="11">
        <f t="shared" si="159"/>
        <v>3.4</v>
      </c>
      <c r="Y849" t="s">
        <v>2103</v>
      </c>
      <c r="Z849" t="str">
        <f t="shared" si="160"/>
        <v>Yes</v>
      </c>
      <c r="AA849" t="str">
        <f t="shared" si="161"/>
        <v>Yes</v>
      </c>
      <c r="AB849" t="str">
        <f t="shared" si="162"/>
        <v>Yes</v>
      </c>
      <c r="AC849" s="12">
        <v>65</v>
      </c>
      <c r="AD849" s="12">
        <f t="shared" si="163"/>
        <v>65</v>
      </c>
    </row>
    <row r="850" spans="1:30" x14ac:dyDescent="0.3">
      <c r="A850" t="s">
        <v>1786</v>
      </c>
      <c r="B850" t="s">
        <v>1787</v>
      </c>
      <c r="C850" t="s">
        <v>2152</v>
      </c>
      <c r="D850" t="s">
        <v>2446</v>
      </c>
      <c r="E850" t="str">
        <f t="shared" si="153"/>
        <v>Anna Fleming</v>
      </c>
      <c r="H850" t="s">
        <v>43</v>
      </c>
      <c r="I850" t="str">
        <f t="shared" si="154"/>
        <v>Female</v>
      </c>
      <c r="J850">
        <v>23</v>
      </c>
      <c r="K850">
        <f t="shared" si="155"/>
        <v>23</v>
      </c>
      <c r="L850" t="str">
        <f t="shared" si="156"/>
        <v>First level</v>
      </c>
      <c r="M850" t="s">
        <v>190</v>
      </c>
      <c r="N850" t="s">
        <v>81</v>
      </c>
      <c r="O850" t="s">
        <v>57</v>
      </c>
      <c r="P850">
        <v>2</v>
      </c>
      <c r="Q850">
        <f t="shared" si="157"/>
        <v>2</v>
      </c>
      <c r="R850" t="s">
        <v>325</v>
      </c>
      <c r="S850" s="8" t="s">
        <v>2097</v>
      </c>
      <c r="T850" s="9">
        <v>20</v>
      </c>
      <c r="U850" s="9">
        <f t="shared" si="158"/>
        <v>20</v>
      </c>
      <c r="V850" s="10">
        <v>20</v>
      </c>
      <c r="W850">
        <v>1.3</v>
      </c>
      <c r="X850" s="11">
        <f t="shared" si="159"/>
        <v>1.3</v>
      </c>
      <c r="Y850" t="s">
        <v>2102</v>
      </c>
      <c r="Z850" t="str">
        <f t="shared" si="160"/>
        <v>No</v>
      </c>
      <c r="AA850" t="str">
        <f t="shared" si="161"/>
        <v>No</v>
      </c>
      <c r="AB850" t="str">
        <f t="shared" si="162"/>
        <v>No</v>
      </c>
      <c r="AC850" s="12"/>
      <c r="AD850" s="12">
        <f t="shared" si="163"/>
        <v>80.079365079365076</v>
      </c>
    </row>
    <row r="851" spans="1:30" x14ac:dyDescent="0.3">
      <c r="A851" t="s">
        <v>1788</v>
      </c>
      <c r="B851" t="s">
        <v>1789</v>
      </c>
      <c r="C851" t="s">
        <v>2612</v>
      </c>
      <c r="D851" t="s">
        <v>2619</v>
      </c>
      <c r="E851" t="str">
        <f t="shared" si="153"/>
        <v>Linda Williamson</v>
      </c>
      <c r="H851" t="s">
        <v>22</v>
      </c>
      <c r="I851" t="str">
        <f t="shared" si="154"/>
        <v>Female</v>
      </c>
      <c r="J851">
        <v>47</v>
      </c>
      <c r="K851">
        <f t="shared" si="155"/>
        <v>47</v>
      </c>
      <c r="L851" t="str">
        <f t="shared" si="156"/>
        <v>Third level</v>
      </c>
      <c r="M851" t="s">
        <v>145</v>
      </c>
      <c r="N851" t="s">
        <v>146</v>
      </c>
      <c r="O851" t="s">
        <v>87</v>
      </c>
      <c r="P851">
        <v>16</v>
      </c>
      <c r="Q851">
        <f t="shared" si="157"/>
        <v>16</v>
      </c>
      <c r="R851" t="s">
        <v>34</v>
      </c>
      <c r="S851" s="8" t="s">
        <v>34</v>
      </c>
      <c r="T851" s="9">
        <v>50</v>
      </c>
      <c r="U851" s="9">
        <f t="shared" si="158"/>
        <v>50</v>
      </c>
      <c r="V851" s="10">
        <v>50</v>
      </c>
      <c r="W851">
        <v>1.9</v>
      </c>
      <c r="X851" s="11">
        <f t="shared" si="159"/>
        <v>1.9</v>
      </c>
      <c r="Y851" t="s">
        <v>2102</v>
      </c>
      <c r="Z851" t="str">
        <f t="shared" si="160"/>
        <v>No</v>
      </c>
      <c r="AA851" t="str">
        <f t="shared" si="161"/>
        <v>No</v>
      </c>
      <c r="AB851" t="str">
        <f t="shared" si="162"/>
        <v>No</v>
      </c>
      <c r="AC851" s="12">
        <v>71</v>
      </c>
      <c r="AD851" s="12">
        <f t="shared" si="163"/>
        <v>71</v>
      </c>
    </row>
    <row r="852" spans="1:30" x14ac:dyDescent="0.3">
      <c r="A852" t="s">
        <v>1790</v>
      </c>
      <c r="B852" t="s">
        <v>1791</v>
      </c>
      <c r="C852" t="s">
        <v>2776</v>
      </c>
      <c r="D852" t="s">
        <v>2220</v>
      </c>
      <c r="E852" t="str">
        <f t="shared" si="153"/>
        <v>Roy Wilson</v>
      </c>
      <c r="H852" t="s">
        <v>107</v>
      </c>
      <c r="I852" t="str">
        <f t="shared" si="154"/>
        <v>Male</v>
      </c>
      <c r="J852">
        <v>24</v>
      </c>
      <c r="K852">
        <f t="shared" si="155"/>
        <v>24</v>
      </c>
      <c r="L852" t="str">
        <f t="shared" si="156"/>
        <v>First level</v>
      </c>
      <c r="M852" t="s">
        <v>145</v>
      </c>
      <c r="N852" t="s">
        <v>146</v>
      </c>
      <c r="O852" t="s">
        <v>39</v>
      </c>
      <c r="P852">
        <v>6</v>
      </c>
      <c r="Q852">
        <f t="shared" si="157"/>
        <v>6</v>
      </c>
      <c r="R852" t="s">
        <v>34</v>
      </c>
      <c r="S852" s="8" t="s">
        <v>34</v>
      </c>
      <c r="T852" s="9">
        <v>50</v>
      </c>
      <c r="U852" s="9">
        <f t="shared" si="158"/>
        <v>50</v>
      </c>
      <c r="V852" s="10">
        <v>50</v>
      </c>
      <c r="W852">
        <v>1.4</v>
      </c>
      <c r="X852" s="11">
        <f t="shared" si="159"/>
        <v>1.4</v>
      </c>
      <c r="Y852" t="s">
        <v>2103</v>
      </c>
      <c r="Z852" t="str">
        <f t="shared" si="160"/>
        <v>Yes</v>
      </c>
      <c r="AA852" t="str">
        <f t="shared" si="161"/>
        <v>Yes</v>
      </c>
      <c r="AB852" t="str">
        <f t="shared" si="162"/>
        <v>Yes</v>
      </c>
      <c r="AC852" s="12">
        <v>63</v>
      </c>
      <c r="AD852" s="12">
        <f t="shared" si="163"/>
        <v>63</v>
      </c>
    </row>
    <row r="853" spans="1:30" x14ac:dyDescent="0.3">
      <c r="A853" t="s">
        <v>1792</v>
      </c>
      <c r="B853" t="s">
        <v>1793</v>
      </c>
      <c r="C853" t="s">
        <v>2151</v>
      </c>
      <c r="D853" t="s">
        <v>2258</v>
      </c>
      <c r="E853" t="str">
        <f t="shared" si="153"/>
        <v>Jennifer Pierce</v>
      </c>
      <c r="H853" t="s">
        <v>86</v>
      </c>
      <c r="I853" t="str">
        <f t="shared" si="154"/>
        <v>Female</v>
      </c>
      <c r="J853">
        <v>57</v>
      </c>
      <c r="K853">
        <f t="shared" si="155"/>
        <v>57</v>
      </c>
      <c r="L853" t="str">
        <f t="shared" si="156"/>
        <v>Fourth level</v>
      </c>
      <c r="M853" t="s">
        <v>103</v>
      </c>
      <c r="N853" t="s">
        <v>104</v>
      </c>
      <c r="O853" t="s">
        <v>82</v>
      </c>
      <c r="P853">
        <v>10</v>
      </c>
      <c r="Q853">
        <f t="shared" si="157"/>
        <v>10</v>
      </c>
      <c r="R853" t="s">
        <v>240</v>
      </c>
      <c r="S853" s="8" t="s">
        <v>18</v>
      </c>
      <c r="T853" s="9">
        <v>100</v>
      </c>
      <c r="U853" s="9">
        <f t="shared" si="158"/>
        <v>100</v>
      </c>
      <c r="V853" s="10">
        <v>100</v>
      </c>
      <c r="W853">
        <v>4.3</v>
      </c>
      <c r="X853" s="11">
        <f t="shared" si="159"/>
        <v>4.3</v>
      </c>
      <c r="Y853" t="s">
        <v>2102</v>
      </c>
      <c r="Z853" t="str">
        <f t="shared" si="160"/>
        <v>No</v>
      </c>
      <c r="AA853" t="str">
        <f t="shared" si="161"/>
        <v>No</v>
      </c>
      <c r="AB853" t="str">
        <f t="shared" si="162"/>
        <v>No</v>
      </c>
      <c r="AC853" s="12"/>
      <c r="AD853" s="12">
        <f t="shared" si="163"/>
        <v>80.290322580645167</v>
      </c>
    </row>
    <row r="854" spans="1:30" x14ac:dyDescent="0.3">
      <c r="A854" t="s">
        <v>1794</v>
      </c>
      <c r="B854" t="s">
        <v>1795</v>
      </c>
      <c r="C854" t="s">
        <v>2184</v>
      </c>
      <c r="D854" t="s">
        <v>2117</v>
      </c>
      <c r="E854" t="str">
        <f t="shared" si="153"/>
        <v>Jason Johnson</v>
      </c>
      <c r="H854" t="s">
        <v>107</v>
      </c>
      <c r="I854" t="str">
        <f t="shared" si="154"/>
        <v>Male</v>
      </c>
      <c r="J854">
        <v>48</v>
      </c>
      <c r="K854">
        <f t="shared" si="155"/>
        <v>48</v>
      </c>
      <c r="L854" t="str">
        <f t="shared" si="156"/>
        <v>Third level</v>
      </c>
      <c r="M854" t="s">
        <v>201</v>
      </c>
      <c r="N854" t="s">
        <v>81</v>
      </c>
      <c r="O854" t="s">
        <v>33</v>
      </c>
      <c r="P854">
        <v>16</v>
      </c>
      <c r="Q854">
        <f t="shared" si="157"/>
        <v>16</v>
      </c>
      <c r="R854" t="s">
        <v>50</v>
      </c>
      <c r="S854" s="8" t="s">
        <v>50</v>
      </c>
      <c r="T854" s="9">
        <v>30</v>
      </c>
      <c r="U854" s="9">
        <f t="shared" si="158"/>
        <v>30</v>
      </c>
      <c r="V854" s="10">
        <v>30</v>
      </c>
      <c r="X854" s="11">
        <f t="shared" si="159"/>
        <v>2.4746268656716413</v>
      </c>
      <c r="Y854" t="s">
        <v>170</v>
      </c>
      <c r="Z854" t="str">
        <f t="shared" si="160"/>
        <v>no</v>
      </c>
      <c r="AA854" t="str">
        <f t="shared" si="161"/>
        <v>no</v>
      </c>
      <c r="AB854" t="str">
        <f t="shared" si="162"/>
        <v>No</v>
      </c>
      <c r="AC854" s="12">
        <v>97</v>
      </c>
      <c r="AD854" s="12">
        <f t="shared" si="163"/>
        <v>97</v>
      </c>
    </row>
    <row r="855" spans="1:30" x14ac:dyDescent="0.3">
      <c r="A855" t="s">
        <v>1796</v>
      </c>
      <c r="B855" t="s">
        <v>1797</v>
      </c>
      <c r="C855" t="s">
        <v>2643</v>
      </c>
      <c r="D855" t="s">
        <v>2753</v>
      </c>
      <c r="E855" t="str">
        <f t="shared" si="153"/>
        <v>Jasmine Lane</v>
      </c>
      <c r="H855" t="s">
        <v>86</v>
      </c>
      <c r="I855" t="str">
        <f t="shared" si="154"/>
        <v>Female</v>
      </c>
      <c r="J855">
        <v>21</v>
      </c>
      <c r="K855">
        <f t="shared" si="155"/>
        <v>21</v>
      </c>
      <c r="L855" t="str">
        <f t="shared" si="156"/>
        <v>First level</v>
      </c>
      <c r="M855" t="s">
        <v>70</v>
      </c>
      <c r="N855" t="s">
        <v>71</v>
      </c>
      <c r="O855" t="s">
        <v>82</v>
      </c>
      <c r="P855">
        <v>0</v>
      </c>
      <c r="Q855">
        <f t="shared" si="157"/>
        <v>0</v>
      </c>
      <c r="R855" t="s">
        <v>240</v>
      </c>
      <c r="S855" s="8" t="s">
        <v>18</v>
      </c>
      <c r="T855" s="9">
        <v>100</v>
      </c>
      <c r="U855" s="9">
        <f t="shared" si="158"/>
        <v>100</v>
      </c>
      <c r="V855" s="10">
        <v>100</v>
      </c>
      <c r="W855">
        <v>4.3</v>
      </c>
      <c r="X855" s="11">
        <f t="shared" si="159"/>
        <v>4.3</v>
      </c>
      <c r="Y855" t="s">
        <v>2102</v>
      </c>
      <c r="Z855" t="str">
        <f t="shared" si="160"/>
        <v>No</v>
      </c>
      <c r="AA855" t="str">
        <f t="shared" si="161"/>
        <v>No</v>
      </c>
      <c r="AB855" t="str">
        <f t="shared" si="162"/>
        <v>No</v>
      </c>
      <c r="AC855" s="12"/>
      <c r="AD855" s="12">
        <f t="shared" si="163"/>
        <v>80.154471544715449</v>
      </c>
    </row>
    <row r="856" spans="1:30" x14ac:dyDescent="0.3">
      <c r="A856" t="s">
        <v>1798</v>
      </c>
      <c r="B856" t="s">
        <v>1799</v>
      </c>
      <c r="C856" t="s">
        <v>2861</v>
      </c>
      <c r="D856" t="s">
        <v>2862</v>
      </c>
      <c r="E856" t="str">
        <f t="shared" si="153"/>
        <v>Evan Soto</v>
      </c>
      <c r="H856" t="s">
        <v>107</v>
      </c>
      <c r="I856" t="str">
        <f t="shared" si="154"/>
        <v>Male</v>
      </c>
      <c r="J856">
        <v>33</v>
      </c>
      <c r="K856">
        <f t="shared" si="155"/>
        <v>33</v>
      </c>
      <c r="L856" t="str">
        <f t="shared" si="156"/>
        <v>Second level</v>
      </c>
      <c r="M856" t="s">
        <v>95</v>
      </c>
      <c r="N856" t="s">
        <v>96</v>
      </c>
      <c r="O856" t="s">
        <v>49</v>
      </c>
      <c r="P856">
        <v>13</v>
      </c>
      <c r="Q856">
        <f t="shared" si="157"/>
        <v>13</v>
      </c>
      <c r="R856" t="s">
        <v>58</v>
      </c>
      <c r="S856" s="8" t="s">
        <v>2093</v>
      </c>
      <c r="T856" s="9">
        <v>75</v>
      </c>
      <c r="U856" s="9">
        <f t="shared" si="158"/>
        <v>75</v>
      </c>
      <c r="V856" s="10">
        <v>75</v>
      </c>
      <c r="W856">
        <v>0</v>
      </c>
      <c r="X856" s="11">
        <f t="shared" si="159"/>
        <v>0</v>
      </c>
      <c r="Y856" t="s">
        <v>2103</v>
      </c>
      <c r="Z856" t="str">
        <f t="shared" si="160"/>
        <v>Yes</v>
      </c>
      <c r="AA856" t="str">
        <f t="shared" si="161"/>
        <v>Yes</v>
      </c>
      <c r="AB856" t="str">
        <f t="shared" si="162"/>
        <v>Yes</v>
      </c>
      <c r="AC856" s="12"/>
      <c r="AD856" s="12">
        <f t="shared" si="163"/>
        <v>80.154471544715449</v>
      </c>
    </row>
    <row r="857" spans="1:30" x14ac:dyDescent="0.3">
      <c r="A857" t="s">
        <v>1800</v>
      </c>
      <c r="B857" t="s">
        <v>1801</v>
      </c>
      <c r="C857" t="s">
        <v>2292</v>
      </c>
      <c r="D857" t="s">
        <v>2863</v>
      </c>
      <c r="E857" t="str">
        <f t="shared" si="153"/>
        <v>Kevin Serrano</v>
      </c>
      <c r="H857" t="s">
        <v>107</v>
      </c>
      <c r="I857" t="str">
        <f t="shared" si="154"/>
        <v>Male</v>
      </c>
      <c r="J857">
        <v>41</v>
      </c>
      <c r="K857">
        <f t="shared" si="155"/>
        <v>41</v>
      </c>
      <c r="L857" t="str">
        <f t="shared" si="156"/>
        <v>Third level</v>
      </c>
      <c r="M857" t="s">
        <v>70</v>
      </c>
      <c r="N857" t="s">
        <v>71</v>
      </c>
      <c r="O857" t="s">
        <v>99</v>
      </c>
      <c r="P857">
        <v>12</v>
      </c>
      <c r="Q857">
        <f t="shared" si="157"/>
        <v>12</v>
      </c>
      <c r="R857" t="s">
        <v>65</v>
      </c>
      <c r="S857" s="8" t="s">
        <v>65</v>
      </c>
      <c r="T857" s="9"/>
      <c r="U857" s="9">
        <f t="shared" si="158"/>
        <v>54.777777777777779</v>
      </c>
      <c r="V857" s="10">
        <v>54.777777777777779</v>
      </c>
      <c r="W857">
        <v>1.3</v>
      </c>
      <c r="X857" s="11">
        <f t="shared" si="159"/>
        <v>1.3</v>
      </c>
      <c r="Y857" t="s">
        <v>2102</v>
      </c>
      <c r="Z857" t="str">
        <f t="shared" si="160"/>
        <v>No</v>
      </c>
      <c r="AA857" t="str">
        <f t="shared" si="161"/>
        <v>No</v>
      </c>
      <c r="AB857" t="str">
        <f t="shared" si="162"/>
        <v>No</v>
      </c>
      <c r="AC857" s="12">
        <v>85</v>
      </c>
      <c r="AD857" s="12">
        <f t="shared" si="163"/>
        <v>85</v>
      </c>
    </row>
    <row r="858" spans="1:30" x14ac:dyDescent="0.3">
      <c r="A858" t="s">
        <v>1802</v>
      </c>
      <c r="B858" t="s">
        <v>1803</v>
      </c>
      <c r="C858" t="s">
        <v>2533</v>
      </c>
      <c r="D858" t="s">
        <v>2864</v>
      </c>
      <c r="E858" t="str">
        <f t="shared" si="153"/>
        <v>Nathaniel Benson</v>
      </c>
      <c r="H858" t="s">
        <v>69</v>
      </c>
      <c r="I858" t="str">
        <f t="shared" si="154"/>
        <v>Male</v>
      </c>
      <c r="J858">
        <v>40</v>
      </c>
      <c r="K858">
        <f t="shared" si="155"/>
        <v>40</v>
      </c>
      <c r="L858" t="str">
        <f t="shared" si="156"/>
        <v>Second level</v>
      </c>
      <c r="M858" t="s">
        <v>23</v>
      </c>
      <c r="N858" t="s">
        <v>24</v>
      </c>
      <c r="O858" t="s">
        <v>87</v>
      </c>
      <c r="P858">
        <v>13</v>
      </c>
      <c r="Q858">
        <f t="shared" si="157"/>
        <v>13</v>
      </c>
      <c r="R858" t="s">
        <v>108</v>
      </c>
      <c r="S858" s="8" t="s">
        <v>2095</v>
      </c>
      <c r="T858" s="9">
        <v>50</v>
      </c>
      <c r="U858" s="9">
        <f t="shared" si="158"/>
        <v>50</v>
      </c>
      <c r="V858" s="10">
        <v>50</v>
      </c>
      <c r="W858">
        <v>2.9</v>
      </c>
      <c r="X858" s="11">
        <f t="shared" si="159"/>
        <v>2.9</v>
      </c>
      <c r="Y858" t="s">
        <v>170</v>
      </c>
      <c r="Z858" t="str">
        <f t="shared" si="160"/>
        <v>no</v>
      </c>
      <c r="AA858" t="str">
        <f t="shared" si="161"/>
        <v>no</v>
      </c>
      <c r="AB858" t="str">
        <f t="shared" si="162"/>
        <v>No</v>
      </c>
      <c r="AC858" s="12">
        <v>82</v>
      </c>
      <c r="AD858" s="12">
        <f t="shared" si="163"/>
        <v>82</v>
      </c>
    </row>
    <row r="859" spans="1:30" x14ac:dyDescent="0.3">
      <c r="A859" t="s">
        <v>1804</v>
      </c>
      <c r="B859" t="s">
        <v>1805</v>
      </c>
      <c r="C859" t="s">
        <v>2865</v>
      </c>
      <c r="D859" t="s">
        <v>2332</v>
      </c>
      <c r="E859" t="str">
        <f t="shared" si="153"/>
        <v>Deanna Miles</v>
      </c>
      <c r="H859" t="s">
        <v>86</v>
      </c>
      <c r="I859" t="str">
        <f t="shared" si="154"/>
        <v>Female</v>
      </c>
      <c r="J859">
        <v>40</v>
      </c>
      <c r="K859">
        <f t="shared" si="155"/>
        <v>40</v>
      </c>
      <c r="L859" t="str">
        <f t="shared" si="156"/>
        <v>Second level</v>
      </c>
      <c r="M859" t="s">
        <v>190</v>
      </c>
      <c r="N859" t="s">
        <v>81</v>
      </c>
      <c r="O859" t="s">
        <v>33</v>
      </c>
      <c r="P859">
        <v>22</v>
      </c>
      <c r="Q859">
        <f t="shared" si="157"/>
        <v>22</v>
      </c>
      <c r="R859" t="s">
        <v>61</v>
      </c>
      <c r="S859" s="8" t="s">
        <v>2094</v>
      </c>
      <c r="T859" s="9">
        <v>40</v>
      </c>
      <c r="U859" s="9">
        <f t="shared" si="158"/>
        <v>40</v>
      </c>
      <c r="V859" s="10">
        <v>40</v>
      </c>
      <c r="W859">
        <v>4.3</v>
      </c>
      <c r="X859" s="11">
        <f t="shared" si="159"/>
        <v>4.3</v>
      </c>
      <c r="Y859" t="s">
        <v>2102</v>
      </c>
      <c r="Z859" t="str">
        <f t="shared" si="160"/>
        <v>No</v>
      </c>
      <c r="AA859" t="str">
        <f t="shared" si="161"/>
        <v>No</v>
      </c>
      <c r="AB859" t="str">
        <f t="shared" si="162"/>
        <v>No</v>
      </c>
      <c r="AC859" s="12">
        <v>95</v>
      </c>
      <c r="AD859" s="12">
        <f t="shared" si="163"/>
        <v>95</v>
      </c>
    </row>
    <row r="860" spans="1:30" x14ac:dyDescent="0.3">
      <c r="A860" t="s">
        <v>1806</v>
      </c>
      <c r="B860" t="s">
        <v>1807</v>
      </c>
      <c r="C860" t="s">
        <v>2866</v>
      </c>
      <c r="D860" t="s">
        <v>2776</v>
      </c>
      <c r="E860" t="str">
        <f t="shared" si="153"/>
        <v>Beverly Roy</v>
      </c>
      <c r="H860" t="s">
        <v>86</v>
      </c>
      <c r="I860" t="str">
        <f t="shared" si="154"/>
        <v>Female</v>
      </c>
      <c r="J860">
        <v>20</v>
      </c>
      <c r="K860">
        <f t="shared" si="155"/>
        <v>20</v>
      </c>
      <c r="L860" t="str">
        <f t="shared" si="156"/>
        <v>First level</v>
      </c>
      <c r="M860" t="s">
        <v>64</v>
      </c>
      <c r="N860" t="s">
        <v>24</v>
      </c>
      <c r="O860" t="s">
        <v>33</v>
      </c>
      <c r="P860">
        <v>1</v>
      </c>
      <c r="Q860">
        <f t="shared" si="157"/>
        <v>1</v>
      </c>
      <c r="R860" t="s">
        <v>65</v>
      </c>
      <c r="S860" s="8" t="s">
        <v>65</v>
      </c>
      <c r="T860" s="9"/>
      <c r="U860" s="9">
        <f t="shared" si="158"/>
        <v>54.661654135338345</v>
      </c>
      <c r="V860" s="10">
        <v>54.661654135338345</v>
      </c>
      <c r="W860">
        <v>2.7</v>
      </c>
      <c r="X860" s="11">
        <f t="shared" si="159"/>
        <v>2.7</v>
      </c>
      <c r="Y860" t="s">
        <v>2102</v>
      </c>
      <c r="Z860" t="str">
        <f t="shared" si="160"/>
        <v>No</v>
      </c>
      <c r="AA860" t="str">
        <f t="shared" si="161"/>
        <v>No</v>
      </c>
      <c r="AB860" t="str">
        <f t="shared" si="162"/>
        <v>No</v>
      </c>
      <c r="AC860" s="12">
        <v>94</v>
      </c>
      <c r="AD860" s="12">
        <f t="shared" si="163"/>
        <v>94</v>
      </c>
    </row>
    <row r="861" spans="1:30" x14ac:dyDescent="0.3">
      <c r="A861" t="s">
        <v>1808</v>
      </c>
      <c r="B861" t="s">
        <v>1809</v>
      </c>
      <c r="C861" t="s">
        <v>2473</v>
      </c>
      <c r="D861" t="s">
        <v>2867</v>
      </c>
      <c r="E861" t="str">
        <f t="shared" si="153"/>
        <v>Heather Saunders</v>
      </c>
      <c r="H861" t="s">
        <v>86</v>
      </c>
      <c r="I861" t="str">
        <f t="shared" si="154"/>
        <v>Female</v>
      </c>
      <c r="J861">
        <v>42</v>
      </c>
      <c r="K861">
        <f t="shared" si="155"/>
        <v>42</v>
      </c>
      <c r="L861" t="str">
        <f t="shared" si="156"/>
        <v>Third level</v>
      </c>
      <c r="M861" t="s">
        <v>190</v>
      </c>
      <c r="N861" t="s">
        <v>81</v>
      </c>
      <c r="O861" t="s">
        <v>39</v>
      </c>
      <c r="Q861">
        <f t="shared" si="157"/>
        <v>13</v>
      </c>
      <c r="R861" t="s">
        <v>72</v>
      </c>
      <c r="S861" s="8" t="s">
        <v>72</v>
      </c>
      <c r="T861" s="9">
        <v>50</v>
      </c>
      <c r="U861" s="9">
        <f t="shared" si="158"/>
        <v>50</v>
      </c>
      <c r="V861" s="10">
        <v>50</v>
      </c>
      <c r="W861">
        <v>4.2</v>
      </c>
      <c r="X861" s="11">
        <f t="shared" si="159"/>
        <v>4.2</v>
      </c>
      <c r="Y861" t="s">
        <v>65</v>
      </c>
      <c r="AA861" t="str">
        <f t="shared" si="161"/>
        <v>Unknown</v>
      </c>
      <c r="AB861" t="str">
        <f t="shared" si="162"/>
        <v>Unknown</v>
      </c>
      <c r="AC861" s="12">
        <v>96</v>
      </c>
      <c r="AD861" s="12">
        <f t="shared" si="163"/>
        <v>96</v>
      </c>
    </row>
    <row r="862" spans="1:30" x14ac:dyDescent="0.3">
      <c r="A862" t="s">
        <v>1810</v>
      </c>
      <c r="B862" t="s">
        <v>1811</v>
      </c>
      <c r="C862" t="s">
        <v>2233</v>
      </c>
      <c r="D862" t="s">
        <v>2868</v>
      </c>
      <c r="E862" t="str">
        <f t="shared" si="153"/>
        <v>Nicholas Guerrero</v>
      </c>
      <c r="H862" t="s">
        <v>107</v>
      </c>
      <c r="I862" t="str">
        <f t="shared" si="154"/>
        <v>Male</v>
      </c>
      <c r="J862">
        <v>32</v>
      </c>
      <c r="K862">
        <f t="shared" si="155"/>
        <v>32</v>
      </c>
      <c r="L862" t="str">
        <f t="shared" si="156"/>
        <v>Second level</v>
      </c>
      <c r="M862" t="s">
        <v>138</v>
      </c>
      <c r="N862" t="s">
        <v>24</v>
      </c>
      <c r="O862" t="s">
        <v>17</v>
      </c>
      <c r="P862">
        <v>12</v>
      </c>
      <c r="Q862">
        <f t="shared" si="157"/>
        <v>12</v>
      </c>
      <c r="R862" t="s">
        <v>76</v>
      </c>
      <c r="S862" s="8" t="s">
        <v>76</v>
      </c>
      <c r="T862" s="9">
        <v>40</v>
      </c>
      <c r="U862" s="9">
        <f t="shared" si="158"/>
        <v>40</v>
      </c>
      <c r="V862" s="10">
        <v>40</v>
      </c>
      <c r="W862">
        <v>0</v>
      </c>
      <c r="X862" s="11">
        <f t="shared" si="159"/>
        <v>0</v>
      </c>
      <c r="Y862" t="s">
        <v>77</v>
      </c>
      <c r="Z862" t="str">
        <f t="shared" si="160"/>
        <v>yes</v>
      </c>
      <c r="AA862" t="str">
        <f t="shared" si="161"/>
        <v>yes</v>
      </c>
      <c r="AB862" t="str">
        <f t="shared" si="162"/>
        <v>Yes</v>
      </c>
      <c r="AC862" s="12">
        <v>63</v>
      </c>
      <c r="AD862" s="12">
        <f t="shared" si="163"/>
        <v>63</v>
      </c>
    </row>
    <row r="863" spans="1:30" x14ac:dyDescent="0.3">
      <c r="A863" t="s">
        <v>1812</v>
      </c>
      <c r="B863" t="s">
        <v>1813</v>
      </c>
      <c r="C863" t="s">
        <v>2308</v>
      </c>
      <c r="D863" t="s">
        <v>2117</v>
      </c>
      <c r="E863" t="str">
        <f t="shared" si="153"/>
        <v>Christopher Johnson</v>
      </c>
      <c r="H863" t="s">
        <v>107</v>
      </c>
      <c r="I863" t="str">
        <f t="shared" si="154"/>
        <v>Male</v>
      </c>
      <c r="J863">
        <v>60</v>
      </c>
      <c r="K863">
        <f t="shared" si="155"/>
        <v>60</v>
      </c>
      <c r="L863" t="str">
        <f t="shared" si="156"/>
        <v>Fourth level</v>
      </c>
      <c r="M863" t="s">
        <v>95</v>
      </c>
      <c r="N863" t="s">
        <v>96</v>
      </c>
      <c r="O863" t="s">
        <v>49</v>
      </c>
      <c r="Q863">
        <f t="shared" si="157"/>
        <v>19</v>
      </c>
      <c r="R863" t="s">
        <v>151</v>
      </c>
      <c r="S863" s="8" t="s">
        <v>151</v>
      </c>
      <c r="T863" s="9">
        <v>20</v>
      </c>
      <c r="U863" s="9">
        <f t="shared" si="158"/>
        <v>20</v>
      </c>
      <c r="V863" s="10">
        <v>20</v>
      </c>
      <c r="W863">
        <v>2.2000000000000002</v>
      </c>
      <c r="X863" s="11">
        <f t="shared" si="159"/>
        <v>2.2000000000000002</v>
      </c>
      <c r="Y863" t="s">
        <v>2102</v>
      </c>
      <c r="Z863" t="str">
        <f t="shared" si="160"/>
        <v>No</v>
      </c>
      <c r="AA863" t="str">
        <f t="shared" si="161"/>
        <v>No</v>
      </c>
      <c r="AB863" t="str">
        <f t="shared" si="162"/>
        <v>No</v>
      </c>
      <c r="AC863" s="12">
        <v>60</v>
      </c>
      <c r="AD863" s="12">
        <f t="shared" si="163"/>
        <v>60</v>
      </c>
    </row>
    <row r="864" spans="1:30" x14ac:dyDescent="0.3">
      <c r="A864" t="s">
        <v>1814</v>
      </c>
      <c r="B864" t="s">
        <v>1815</v>
      </c>
      <c r="C864" t="s">
        <v>2336</v>
      </c>
      <c r="D864" t="s">
        <v>2869</v>
      </c>
      <c r="E864" t="str">
        <f t="shared" si="153"/>
        <v>Steven Flowers</v>
      </c>
      <c r="H864" t="s">
        <v>107</v>
      </c>
      <c r="I864" t="str">
        <f t="shared" si="154"/>
        <v>Male</v>
      </c>
      <c r="J864">
        <v>46</v>
      </c>
      <c r="K864">
        <f t="shared" si="155"/>
        <v>46</v>
      </c>
      <c r="L864" t="str">
        <f t="shared" si="156"/>
        <v>Third level</v>
      </c>
      <c r="M864" t="s">
        <v>149</v>
      </c>
      <c r="N864" t="s">
        <v>150</v>
      </c>
      <c r="O864" t="s">
        <v>124</v>
      </c>
      <c r="P864">
        <v>12</v>
      </c>
      <c r="Q864">
        <f t="shared" si="157"/>
        <v>12</v>
      </c>
      <c r="R864" t="s">
        <v>34</v>
      </c>
      <c r="S864" s="8" t="s">
        <v>34</v>
      </c>
      <c r="T864" s="9">
        <v>50</v>
      </c>
      <c r="U864" s="9">
        <f t="shared" si="158"/>
        <v>50</v>
      </c>
      <c r="V864" s="10">
        <v>50</v>
      </c>
      <c r="W864">
        <v>4.7</v>
      </c>
      <c r="X864" s="11">
        <f t="shared" si="159"/>
        <v>4.7</v>
      </c>
      <c r="Y864" t="s">
        <v>77</v>
      </c>
      <c r="Z864" t="str">
        <f t="shared" si="160"/>
        <v>yes</v>
      </c>
      <c r="AA864" t="str">
        <f t="shared" si="161"/>
        <v>yes</v>
      </c>
      <c r="AB864" t="str">
        <f t="shared" si="162"/>
        <v>Yes</v>
      </c>
      <c r="AC864" s="12">
        <v>77</v>
      </c>
      <c r="AD864" s="12">
        <f t="shared" si="163"/>
        <v>77</v>
      </c>
    </row>
    <row r="865" spans="1:30" x14ac:dyDescent="0.3">
      <c r="A865" t="s">
        <v>1816</v>
      </c>
      <c r="B865" t="s">
        <v>1817</v>
      </c>
      <c r="C865" t="s">
        <v>2623</v>
      </c>
      <c r="D865" t="s">
        <v>2870</v>
      </c>
      <c r="E865" t="str">
        <f t="shared" si="153"/>
        <v>Marvin Woods</v>
      </c>
      <c r="H865" t="s">
        <v>30</v>
      </c>
      <c r="I865" t="str">
        <f t="shared" si="154"/>
        <v>Male</v>
      </c>
      <c r="J865">
        <v>29</v>
      </c>
      <c r="K865">
        <f t="shared" si="155"/>
        <v>29</v>
      </c>
      <c r="L865" t="str">
        <f t="shared" si="156"/>
        <v>First level</v>
      </c>
      <c r="M865" t="s">
        <v>186</v>
      </c>
      <c r="N865" t="s">
        <v>187</v>
      </c>
      <c r="O865" t="s">
        <v>99</v>
      </c>
      <c r="P865">
        <v>0</v>
      </c>
      <c r="Q865">
        <f t="shared" si="157"/>
        <v>0</v>
      </c>
      <c r="R865" t="s">
        <v>44</v>
      </c>
      <c r="S865" s="8" t="s">
        <v>44</v>
      </c>
      <c r="T865" s="9">
        <v>30</v>
      </c>
      <c r="U865" s="9">
        <f t="shared" si="158"/>
        <v>30</v>
      </c>
      <c r="V865" s="10">
        <v>30</v>
      </c>
      <c r="W865">
        <v>0</v>
      </c>
      <c r="X865" s="11">
        <f t="shared" si="159"/>
        <v>0</v>
      </c>
      <c r="Y865" t="s">
        <v>2102</v>
      </c>
      <c r="Z865" t="str">
        <f t="shared" si="160"/>
        <v>No</v>
      </c>
      <c r="AA865" t="str">
        <f t="shared" si="161"/>
        <v>No</v>
      </c>
      <c r="AB865" t="str">
        <f t="shared" si="162"/>
        <v>No</v>
      </c>
      <c r="AC865" s="12">
        <v>63</v>
      </c>
      <c r="AD865" s="12">
        <f t="shared" si="163"/>
        <v>63</v>
      </c>
    </row>
    <row r="866" spans="1:30" x14ac:dyDescent="0.3">
      <c r="A866" t="s">
        <v>1818</v>
      </c>
      <c r="B866" t="s">
        <v>1819</v>
      </c>
      <c r="C866" t="s">
        <v>2128</v>
      </c>
      <c r="D866" t="s">
        <v>2871</v>
      </c>
      <c r="E866" t="str">
        <f t="shared" si="153"/>
        <v>Michelle Cook</v>
      </c>
      <c r="H866" t="s">
        <v>22</v>
      </c>
      <c r="I866" t="str">
        <f t="shared" si="154"/>
        <v>Female</v>
      </c>
      <c r="J866">
        <v>39</v>
      </c>
      <c r="K866">
        <f t="shared" si="155"/>
        <v>39</v>
      </c>
      <c r="L866" t="str">
        <f t="shared" si="156"/>
        <v>Second level</v>
      </c>
      <c r="M866" t="s">
        <v>117</v>
      </c>
      <c r="N866" t="s">
        <v>118</v>
      </c>
      <c r="O866" t="s">
        <v>25</v>
      </c>
      <c r="P866">
        <v>18</v>
      </c>
      <c r="Q866">
        <f t="shared" si="157"/>
        <v>18</v>
      </c>
      <c r="R866" t="s">
        <v>151</v>
      </c>
      <c r="S866" s="8" t="s">
        <v>151</v>
      </c>
      <c r="T866" s="9">
        <v>20</v>
      </c>
      <c r="U866" s="9">
        <f t="shared" si="158"/>
        <v>20</v>
      </c>
      <c r="V866" s="10">
        <v>20</v>
      </c>
      <c r="W866">
        <v>2.5</v>
      </c>
      <c r="X866" s="11">
        <f t="shared" si="159"/>
        <v>2.5</v>
      </c>
      <c r="Y866" t="s">
        <v>77</v>
      </c>
      <c r="Z866" t="str">
        <f t="shared" si="160"/>
        <v>yes</v>
      </c>
      <c r="AA866" t="str">
        <f t="shared" si="161"/>
        <v>yes</v>
      </c>
      <c r="AB866" t="str">
        <f t="shared" si="162"/>
        <v>Yes</v>
      </c>
      <c r="AC866" s="12">
        <v>61</v>
      </c>
      <c r="AD866" s="12">
        <f t="shared" si="163"/>
        <v>61</v>
      </c>
    </row>
    <row r="867" spans="1:30" x14ac:dyDescent="0.3">
      <c r="A867" t="s">
        <v>1820</v>
      </c>
      <c r="B867" t="s">
        <v>1821</v>
      </c>
      <c r="C867" t="s">
        <v>2262</v>
      </c>
      <c r="D867" t="s">
        <v>2872</v>
      </c>
      <c r="E867" t="str">
        <f t="shared" si="153"/>
        <v>Logan Zamora</v>
      </c>
      <c r="H867" t="s">
        <v>69</v>
      </c>
      <c r="I867" t="str">
        <f t="shared" si="154"/>
        <v>Male</v>
      </c>
      <c r="J867">
        <v>55</v>
      </c>
      <c r="K867">
        <f t="shared" si="155"/>
        <v>55</v>
      </c>
      <c r="L867" t="str">
        <f t="shared" si="156"/>
        <v>Fourth level</v>
      </c>
      <c r="M867" t="s">
        <v>134</v>
      </c>
      <c r="N867" t="s">
        <v>135</v>
      </c>
      <c r="O867" t="s">
        <v>25</v>
      </c>
      <c r="P867">
        <v>2</v>
      </c>
      <c r="Q867">
        <f t="shared" si="157"/>
        <v>2</v>
      </c>
      <c r="R867" t="s">
        <v>72</v>
      </c>
      <c r="S867" s="8" t="s">
        <v>72</v>
      </c>
      <c r="T867" s="9">
        <v>50</v>
      </c>
      <c r="U867" s="9">
        <f t="shared" si="158"/>
        <v>50</v>
      </c>
      <c r="V867" s="10">
        <v>50</v>
      </c>
      <c r="W867">
        <v>3.9</v>
      </c>
      <c r="X867" s="11">
        <f t="shared" si="159"/>
        <v>3.9</v>
      </c>
      <c r="Y867" t="s">
        <v>77</v>
      </c>
      <c r="Z867" t="str">
        <f t="shared" si="160"/>
        <v>yes</v>
      </c>
      <c r="AA867" t="str">
        <f t="shared" si="161"/>
        <v>yes</v>
      </c>
      <c r="AB867" t="str">
        <f t="shared" si="162"/>
        <v>Yes</v>
      </c>
      <c r="AC867" s="12">
        <v>88</v>
      </c>
      <c r="AD867" s="12">
        <f t="shared" si="163"/>
        <v>88</v>
      </c>
    </row>
    <row r="868" spans="1:30" x14ac:dyDescent="0.3">
      <c r="A868" t="s">
        <v>1822</v>
      </c>
      <c r="B868" t="s">
        <v>1823</v>
      </c>
      <c r="C868" t="s">
        <v>2746</v>
      </c>
      <c r="D868" t="s">
        <v>2423</v>
      </c>
      <c r="E868" t="str">
        <f t="shared" si="153"/>
        <v>Casey Roberts</v>
      </c>
      <c r="H868" t="s">
        <v>107</v>
      </c>
      <c r="I868" t="str">
        <f t="shared" si="154"/>
        <v>Male</v>
      </c>
      <c r="J868">
        <v>55</v>
      </c>
      <c r="K868">
        <f t="shared" si="155"/>
        <v>55</v>
      </c>
      <c r="L868" t="str">
        <f t="shared" si="156"/>
        <v>Fourth level</v>
      </c>
      <c r="M868" t="s">
        <v>70</v>
      </c>
      <c r="N868" t="s">
        <v>71</v>
      </c>
      <c r="O868" t="s">
        <v>87</v>
      </c>
      <c r="Q868">
        <f t="shared" si="157"/>
        <v>19</v>
      </c>
      <c r="R868" t="s">
        <v>26</v>
      </c>
      <c r="S868" s="8" t="s">
        <v>18</v>
      </c>
      <c r="T868" s="9">
        <v>100</v>
      </c>
      <c r="U868" s="9">
        <f t="shared" si="158"/>
        <v>100</v>
      </c>
      <c r="V868" s="10">
        <v>100</v>
      </c>
      <c r="W868">
        <v>1.2</v>
      </c>
      <c r="X868" s="11">
        <f t="shared" si="159"/>
        <v>1.2</v>
      </c>
      <c r="Y868" t="s">
        <v>2103</v>
      </c>
      <c r="Z868" t="str">
        <f t="shared" si="160"/>
        <v>Yes</v>
      </c>
      <c r="AA868" t="str">
        <f t="shared" si="161"/>
        <v>Yes</v>
      </c>
      <c r="AB868" t="str">
        <f t="shared" si="162"/>
        <v>Yes</v>
      </c>
      <c r="AC868" s="12">
        <v>69</v>
      </c>
      <c r="AD868" s="12">
        <f t="shared" si="163"/>
        <v>69</v>
      </c>
    </row>
    <row r="869" spans="1:30" x14ac:dyDescent="0.3">
      <c r="A869" t="s">
        <v>1824</v>
      </c>
      <c r="B869" t="s">
        <v>1825</v>
      </c>
      <c r="C869" t="s">
        <v>2873</v>
      </c>
      <c r="D869" t="s">
        <v>2205</v>
      </c>
      <c r="E869" t="str">
        <f t="shared" si="153"/>
        <v>Jerry Price</v>
      </c>
      <c r="H869" t="s">
        <v>107</v>
      </c>
      <c r="I869" t="str">
        <f t="shared" si="154"/>
        <v>Male</v>
      </c>
      <c r="J869">
        <v>40</v>
      </c>
      <c r="K869">
        <f t="shared" si="155"/>
        <v>40</v>
      </c>
      <c r="L869" t="str">
        <f t="shared" si="156"/>
        <v>Second level</v>
      </c>
      <c r="M869" t="s">
        <v>55</v>
      </c>
      <c r="N869" t="s">
        <v>56</v>
      </c>
      <c r="O869" t="s">
        <v>57</v>
      </c>
      <c r="P869">
        <v>2</v>
      </c>
      <c r="Q869">
        <f t="shared" si="157"/>
        <v>2</v>
      </c>
      <c r="R869" t="s">
        <v>92</v>
      </c>
      <c r="S869" s="8" t="s">
        <v>92</v>
      </c>
      <c r="T869" s="9">
        <v>75</v>
      </c>
      <c r="U869" s="9">
        <f t="shared" si="158"/>
        <v>75</v>
      </c>
      <c r="V869" s="10">
        <v>75</v>
      </c>
      <c r="W869">
        <v>4.5</v>
      </c>
      <c r="X869" s="11">
        <f t="shared" si="159"/>
        <v>4.5</v>
      </c>
      <c r="Y869" t="s">
        <v>77</v>
      </c>
      <c r="Z869" t="str">
        <f t="shared" si="160"/>
        <v>yes</v>
      </c>
      <c r="AA869" t="str">
        <f t="shared" si="161"/>
        <v>yes</v>
      </c>
      <c r="AB869" t="str">
        <f t="shared" si="162"/>
        <v>Yes</v>
      </c>
      <c r="AC869" s="12"/>
      <c r="AD869" s="12">
        <f t="shared" si="163"/>
        <v>80.414414414414409</v>
      </c>
    </row>
    <row r="870" spans="1:30" x14ac:dyDescent="0.3">
      <c r="A870" t="s">
        <v>1826</v>
      </c>
      <c r="B870" t="s">
        <v>1827</v>
      </c>
      <c r="C870" t="s">
        <v>2224</v>
      </c>
      <c r="D870" t="s">
        <v>2573</v>
      </c>
      <c r="E870" t="str">
        <f t="shared" si="153"/>
        <v>Kelly Ellis</v>
      </c>
      <c r="H870" t="s">
        <v>86</v>
      </c>
      <c r="I870" t="str">
        <f t="shared" si="154"/>
        <v>Female</v>
      </c>
      <c r="J870">
        <v>56</v>
      </c>
      <c r="K870">
        <f t="shared" si="155"/>
        <v>56</v>
      </c>
      <c r="L870" t="str">
        <f t="shared" si="156"/>
        <v>Fourth level</v>
      </c>
      <c r="M870" t="s">
        <v>186</v>
      </c>
      <c r="N870" t="s">
        <v>187</v>
      </c>
      <c r="O870" t="s">
        <v>82</v>
      </c>
      <c r="P870">
        <v>35</v>
      </c>
      <c r="Q870">
        <f t="shared" si="157"/>
        <v>35</v>
      </c>
      <c r="R870" t="s">
        <v>40</v>
      </c>
      <c r="S870" s="8" t="s">
        <v>40</v>
      </c>
      <c r="T870" s="9">
        <v>40</v>
      </c>
      <c r="U870" s="9">
        <f t="shared" si="158"/>
        <v>40</v>
      </c>
      <c r="V870" s="10">
        <v>40</v>
      </c>
      <c r="W870">
        <v>2.7</v>
      </c>
      <c r="X870" s="11">
        <f t="shared" si="159"/>
        <v>2.7</v>
      </c>
      <c r="Y870" t="s">
        <v>2103</v>
      </c>
      <c r="Z870" t="str">
        <f t="shared" si="160"/>
        <v>Yes</v>
      </c>
      <c r="AA870" t="str">
        <f t="shared" si="161"/>
        <v>Yes</v>
      </c>
      <c r="AB870" t="str">
        <f t="shared" si="162"/>
        <v>Yes</v>
      </c>
      <c r="AC870" s="12">
        <v>82</v>
      </c>
      <c r="AD870" s="12">
        <f t="shared" si="163"/>
        <v>82</v>
      </c>
    </row>
    <row r="871" spans="1:30" x14ac:dyDescent="0.3">
      <c r="A871" t="s">
        <v>1828</v>
      </c>
      <c r="B871" t="s">
        <v>1829</v>
      </c>
      <c r="C871" t="s">
        <v>2874</v>
      </c>
      <c r="D871" t="s">
        <v>2451</v>
      </c>
      <c r="E871" t="str">
        <f t="shared" si="153"/>
        <v>Caleb Guerra</v>
      </c>
      <c r="H871" t="s">
        <v>69</v>
      </c>
      <c r="I871" t="str">
        <f t="shared" si="154"/>
        <v>Male</v>
      </c>
      <c r="J871">
        <v>57</v>
      </c>
      <c r="K871">
        <f t="shared" si="155"/>
        <v>57</v>
      </c>
      <c r="L871" t="str">
        <f t="shared" si="156"/>
        <v>Fourth level</v>
      </c>
      <c r="M871" t="s">
        <v>190</v>
      </c>
      <c r="N871" t="s">
        <v>81</v>
      </c>
      <c r="O871" t="s">
        <v>25</v>
      </c>
      <c r="P871">
        <v>21</v>
      </c>
      <c r="Q871">
        <f t="shared" si="157"/>
        <v>21</v>
      </c>
      <c r="R871" t="s">
        <v>92</v>
      </c>
      <c r="S871" s="8" t="s">
        <v>92</v>
      </c>
      <c r="T871" s="9">
        <v>75</v>
      </c>
      <c r="U871" s="9">
        <f t="shared" si="158"/>
        <v>75</v>
      </c>
      <c r="V871" s="10">
        <v>75</v>
      </c>
      <c r="W871">
        <v>2</v>
      </c>
      <c r="X871" s="11">
        <f t="shared" si="159"/>
        <v>2</v>
      </c>
      <c r="Y871" t="s">
        <v>2102</v>
      </c>
      <c r="Z871" t="str">
        <f t="shared" si="160"/>
        <v>No</v>
      </c>
      <c r="AA871" t="str">
        <f t="shared" si="161"/>
        <v>No</v>
      </c>
      <c r="AB871" t="str">
        <f t="shared" si="162"/>
        <v>No</v>
      </c>
      <c r="AC871" s="12">
        <v>96</v>
      </c>
      <c r="AD871" s="12">
        <f t="shared" si="163"/>
        <v>96</v>
      </c>
    </row>
    <row r="872" spans="1:30" x14ac:dyDescent="0.3">
      <c r="A872" t="s">
        <v>1830</v>
      </c>
      <c r="B872" t="s">
        <v>1831</v>
      </c>
      <c r="C872" t="s">
        <v>2187</v>
      </c>
      <c r="D872" t="s">
        <v>2559</v>
      </c>
      <c r="E872" t="str">
        <f t="shared" si="153"/>
        <v>Samantha Norman</v>
      </c>
      <c r="H872" t="s">
        <v>86</v>
      </c>
      <c r="I872" t="str">
        <f t="shared" si="154"/>
        <v>Female</v>
      </c>
      <c r="J872">
        <v>56</v>
      </c>
      <c r="K872">
        <f t="shared" si="155"/>
        <v>56</v>
      </c>
      <c r="L872" t="str">
        <f t="shared" si="156"/>
        <v>Fourth level</v>
      </c>
      <c r="M872" t="s">
        <v>134</v>
      </c>
      <c r="N872" t="s">
        <v>135</v>
      </c>
      <c r="O872" t="s">
        <v>99</v>
      </c>
      <c r="P872">
        <v>3</v>
      </c>
      <c r="Q872">
        <f t="shared" si="157"/>
        <v>3</v>
      </c>
      <c r="R872" t="s">
        <v>40</v>
      </c>
      <c r="S872" s="8" t="s">
        <v>40</v>
      </c>
      <c r="T872" s="9">
        <v>40</v>
      </c>
      <c r="U872" s="9">
        <f t="shared" si="158"/>
        <v>40</v>
      </c>
      <c r="V872" s="10">
        <v>40</v>
      </c>
      <c r="W872">
        <v>1.7</v>
      </c>
      <c r="X872" s="11">
        <f t="shared" si="159"/>
        <v>1.7</v>
      </c>
      <c r="Y872" t="s">
        <v>2102</v>
      </c>
      <c r="Z872" t="str">
        <f t="shared" si="160"/>
        <v>No</v>
      </c>
      <c r="AA872" t="str">
        <f t="shared" si="161"/>
        <v>No</v>
      </c>
      <c r="AB872" t="str">
        <f t="shared" si="162"/>
        <v>No</v>
      </c>
      <c r="AC872" s="12">
        <v>71</v>
      </c>
      <c r="AD872" s="12">
        <f t="shared" si="163"/>
        <v>71</v>
      </c>
    </row>
    <row r="873" spans="1:30" x14ac:dyDescent="0.3">
      <c r="A873" t="s">
        <v>1832</v>
      </c>
      <c r="B873" t="s">
        <v>1833</v>
      </c>
      <c r="C873" t="s">
        <v>2452</v>
      </c>
      <c r="D873" t="s">
        <v>2362</v>
      </c>
      <c r="E873" t="str">
        <f t="shared" si="153"/>
        <v>Sarah Clarke</v>
      </c>
      <c r="H873" t="s">
        <v>86</v>
      </c>
      <c r="I873" t="str">
        <f t="shared" si="154"/>
        <v>Female</v>
      </c>
      <c r="J873">
        <v>49</v>
      </c>
      <c r="K873">
        <f t="shared" si="155"/>
        <v>49</v>
      </c>
      <c r="L873" t="str">
        <f t="shared" si="156"/>
        <v>Third level</v>
      </c>
      <c r="M873" t="s">
        <v>31</v>
      </c>
      <c r="N873" t="s">
        <v>32</v>
      </c>
      <c r="O873" t="s">
        <v>25</v>
      </c>
      <c r="P873">
        <v>24</v>
      </c>
      <c r="Q873">
        <f t="shared" si="157"/>
        <v>24</v>
      </c>
      <c r="R873" t="s">
        <v>181</v>
      </c>
      <c r="S873" s="8" t="s">
        <v>181</v>
      </c>
      <c r="T873" s="9">
        <v>75</v>
      </c>
      <c r="U873" s="9">
        <f t="shared" si="158"/>
        <v>75</v>
      </c>
      <c r="V873" s="10">
        <v>75</v>
      </c>
      <c r="W873">
        <v>3</v>
      </c>
      <c r="X873" s="11">
        <f t="shared" si="159"/>
        <v>3</v>
      </c>
      <c r="Y873" t="s">
        <v>2103</v>
      </c>
      <c r="Z873" t="str">
        <f t="shared" si="160"/>
        <v>Yes</v>
      </c>
      <c r="AA873" t="str">
        <f t="shared" si="161"/>
        <v>Yes</v>
      </c>
      <c r="AB873" t="str">
        <f t="shared" si="162"/>
        <v>Yes</v>
      </c>
      <c r="AC873" s="12">
        <v>77</v>
      </c>
      <c r="AD873" s="12">
        <f t="shared" si="163"/>
        <v>77</v>
      </c>
    </row>
    <row r="874" spans="1:30" x14ac:dyDescent="0.3">
      <c r="A874" t="s">
        <v>1834</v>
      </c>
      <c r="B874" t="s">
        <v>1835</v>
      </c>
      <c r="C874" t="s">
        <v>2539</v>
      </c>
      <c r="D874" t="s">
        <v>2356</v>
      </c>
      <c r="E874" t="str">
        <f t="shared" si="153"/>
        <v>Aaron Blair</v>
      </c>
      <c r="H874" t="s">
        <v>69</v>
      </c>
      <c r="I874" t="str">
        <f t="shared" si="154"/>
        <v>Male</v>
      </c>
      <c r="J874">
        <v>26</v>
      </c>
      <c r="K874">
        <f t="shared" si="155"/>
        <v>26</v>
      </c>
      <c r="L874" t="str">
        <f t="shared" si="156"/>
        <v>First level</v>
      </c>
      <c r="M874" t="s">
        <v>201</v>
      </c>
      <c r="N874" t="s">
        <v>81</v>
      </c>
      <c r="O874" t="s">
        <v>17</v>
      </c>
      <c r="Q874">
        <f t="shared" si="157"/>
        <v>3</v>
      </c>
      <c r="R874" t="s">
        <v>181</v>
      </c>
      <c r="S874" s="8" t="s">
        <v>181</v>
      </c>
      <c r="T874" s="9">
        <v>75</v>
      </c>
      <c r="U874" s="9">
        <f t="shared" si="158"/>
        <v>75</v>
      </c>
      <c r="V874" s="10">
        <v>75</v>
      </c>
      <c r="W874">
        <v>2.1</v>
      </c>
      <c r="X874" s="11">
        <f t="shared" si="159"/>
        <v>2.1</v>
      </c>
      <c r="Y874" t="s">
        <v>77</v>
      </c>
      <c r="Z874" t="str">
        <f t="shared" si="160"/>
        <v>yes</v>
      </c>
      <c r="AA874" t="str">
        <f t="shared" si="161"/>
        <v>yes</v>
      </c>
      <c r="AB874" t="str">
        <f t="shared" si="162"/>
        <v>Yes</v>
      </c>
      <c r="AC874" s="12"/>
      <c r="AD874" s="12">
        <f t="shared" si="163"/>
        <v>80.373831775700936</v>
      </c>
    </row>
    <row r="875" spans="1:30" x14ac:dyDescent="0.3">
      <c r="A875" t="s">
        <v>1836</v>
      </c>
      <c r="B875" t="s">
        <v>1837</v>
      </c>
      <c r="C875" t="s">
        <v>2211</v>
      </c>
      <c r="D875" t="s">
        <v>2234</v>
      </c>
      <c r="E875" t="str">
        <f t="shared" si="153"/>
        <v>Courtney Burton</v>
      </c>
      <c r="H875" t="s">
        <v>86</v>
      </c>
      <c r="I875" t="str">
        <f t="shared" si="154"/>
        <v>Female</v>
      </c>
      <c r="J875">
        <v>36</v>
      </c>
      <c r="K875">
        <f t="shared" si="155"/>
        <v>36</v>
      </c>
      <c r="L875" t="str">
        <f t="shared" si="156"/>
        <v>Second level</v>
      </c>
      <c r="M875" t="s">
        <v>122</v>
      </c>
      <c r="N875" t="s">
        <v>123</v>
      </c>
      <c r="O875" t="s">
        <v>82</v>
      </c>
      <c r="P875">
        <v>0</v>
      </c>
      <c r="Q875">
        <f t="shared" si="157"/>
        <v>0</v>
      </c>
      <c r="R875" t="s">
        <v>92</v>
      </c>
      <c r="S875" s="8" t="s">
        <v>92</v>
      </c>
      <c r="T875" s="9">
        <v>75</v>
      </c>
      <c r="U875" s="9">
        <f t="shared" si="158"/>
        <v>75</v>
      </c>
      <c r="V875" s="10">
        <v>75</v>
      </c>
      <c r="W875">
        <v>1.5</v>
      </c>
      <c r="X875" s="11">
        <f t="shared" si="159"/>
        <v>1.5</v>
      </c>
      <c r="Y875" t="s">
        <v>65</v>
      </c>
      <c r="AA875" t="str">
        <f t="shared" si="161"/>
        <v>Unknown</v>
      </c>
      <c r="AB875" t="str">
        <f t="shared" si="162"/>
        <v>Unknown</v>
      </c>
      <c r="AC875" s="12">
        <v>73</v>
      </c>
      <c r="AD875" s="12">
        <f t="shared" si="163"/>
        <v>73</v>
      </c>
    </row>
    <row r="876" spans="1:30" x14ac:dyDescent="0.3">
      <c r="A876" t="s">
        <v>1838</v>
      </c>
      <c r="B876" t="s">
        <v>1839</v>
      </c>
      <c r="C876" t="s">
        <v>2572</v>
      </c>
      <c r="D876" t="s">
        <v>2744</v>
      </c>
      <c r="E876" t="str">
        <f t="shared" si="153"/>
        <v>Gerald Taylor</v>
      </c>
      <c r="H876" t="s">
        <v>107</v>
      </c>
      <c r="I876" t="str">
        <f t="shared" si="154"/>
        <v>Male</v>
      </c>
      <c r="J876">
        <v>20</v>
      </c>
      <c r="K876">
        <f t="shared" si="155"/>
        <v>20</v>
      </c>
      <c r="L876" t="str">
        <f t="shared" si="156"/>
        <v>First level</v>
      </c>
      <c r="M876" t="s">
        <v>134</v>
      </c>
      <c r="N876" t="s">
        <v>135</v>
      </c>
      <c r="O876" t="s">
        <v>39</v>
      </c>
      <c r="P876">
        <v>2</v>
      </c>
      <c r="Q876">
        <f t="shared" si="157"/>
        <v>2</v>
      </c>
      <c r="R876" t="s">
        <v>119</v>
      </c>
      <c r="S876" s="8" t="s">
        <v>2096</v>
      </c>
      <c r="T876" s="9">
        <v>30</v>
      </c>
      <c r="U876" s="9">
        <f t="shared" si="158"/>
        <v>30</v>
      </c>
      <c r="V876" s="10">
        <v>30</v>
      </c>
      <c r="W876">
        <v>1.7</v>
      </c>
      <c r="X876" s="11">
        <f t="shared" si="159"/>
        <v>1.7</v>
      </c>
      <c r="Y876" t="s">
        <v>2103</v>
      </c>
      <c r="Z876" t="str">
        <f t="shared" si="160"/>
        <v>Yes</v>
      </c>
      <c r="AA876" t="str">
        <f t="shared" si="161"/>
        <v>Yes</v>
      </c>
      <c r="AB876" t="str">
        <f t="shared" si="162"/>
        <v>Yes</v>
      </c>
      <c r="AC876" s="12">
        <v>60</v>
      </c>
      <c r="AD876" s="12">
        <f t="shared" si="163"/>
        <v>60</v>
      </c>
    </row>
    <row r="877" spans="1:30" x14ac:dyDescent="0.3">
      <c r="A877" t="s">
        <v>1840</v>
      </c>
      <c r="B877" t="s">
        <v>1841</v>
      </c>
      <c r="C877" t="s">
        <v>2492</v>
      </c>
      <c r="D877" t="s">
        <v>2192</v>
      </c>
      <c r="E877" t="str">
        <f t="shared" si="153"/>
        <v>Mary Ward</v>
      </c>
      <c r="H877" t="s">
        <v>86</v>
      </c>
      <c r="I877" t="str">
        <f t="shared" si="154"/>
        <v>Female</v>
      </c>
      <c r="J877">
        <v>40</v>
      </c>
      <c r="K877">
        <f t="shared" si="155"/>
        <v>40</v>
      </c>
      <c r="L877" t="str">
        <f t="shared" si="156"/>
        <v>Second level</v>
      </c>
      <c r="M877" t="s">
        <v>201</v>
      </c>
      <c r="N877" t="s">
        <v>81</v>
      </c>
      <c r="O877" t="s">
        <v>49</v>
      </c>
      <c r="Q877">
        <f t="shared" si="157"/>
        <v>9</v>
      </c>
      <c r="R877" t="s">
        <v>65</v>
      </c>
      <c r="S877" s="8" t="s">
        <v>65</v>
      </c>
      <c r="T877" s="9"/>
      <c r="U877" s="9">
        <f t="shared" si="158"/>
        <v>54.82905982905983</v>
      </c>
      <c r="V877" s="10">
        <v>54.82905982905983</v>
      </c>
      <c r="W877">
        <v>1.2</v>
      </c>
      <c r="X877" s="11">
        <f t="shared" si="159"/>
        <v>1.2</v>
      </c>
      <c r="Y877" t="s">
        <v>2103</v>
      </c>
      <c r="Z877" t="str">
        <f t="shared" si="160"/>
        <v>Yes</v>
      </c>
      <c r="AA877" t="str">
        <f t="shared" si="161"/>
        <v>Yes</v>
      </c>
      <c r="AB877" t="str">
        <f t="shared" si="162"/>
        <v>Yes</v>
      </c>
      <c r="AC877" s="12">
        <v>67</v>
      </c>
      <c r="AD877" s="12">
        <f t="shared" si="163"/>
        <v>67</v>
      </c>
    </row>
    <row r="878" spans="1:30" x14ac:dyDescent="0.3">
      <c r="A878" t="s">
        <v>1842</v>
      </c>
      <c r="B878" t="s">
        <v>1843</v>
      </c>
      <c r="C878" t="s">
        <v>2116</v>
      </c>
      <c r="D878" t="s">
        <v>2875</v>
      </c>
      <c r="E878" t="str">
        <f t="shared" si="153"/>
        <v>Lisa Beard</v>
      </c>
      <c r="H878" t="s">
        <v>43</v>
      </c>
      <c r="I878" t="str">
        <f t="shared" si="154"/>
        <v>Female</v>
      </c>
      <c r="J878">
        <v>30</v>
      </c>
      <c r="K878">
        <f t="shared" si="155"/>
        <v>30</v>
      </c>
      <c r="L878" t="str">
        <f t="shared" si="156"/>
        <v>First level</v>
      </c>
      <c r="M878" t="s">
        <v>103</v>
      </c>
      <c r="N878" t="s">
        <v>104</v>
      </c>
      <c r="O878" t="s">
        <v>25</v>
      </c>
      <c r="P878">
        <v>6</v>
      </c>
      <c r="Q878">
        <f t="shared" si="157"/>
        <v>6</v>
      </c>
      <c r="R878" t="s">
        <v>92</v>
      </c>
      <c r="S878" s="8" t="s">
        <v>92</v>
      </c>
      <c r="T878" s="9">
        <v>75</v>
      </c>
      <c r="U878" s="9">
        <f t="shared" si="158"/>
        <v>75</v>
      </c>
      <c r="V878" s="10">
        <v>75</v>
      </c>
      <c r="W878">
        <v>0</v>
      </c>
      <c r="X878" s="11">
        <f t="shared" si="159"/>
        <v>0</v>
      </c>
      <c r="Y878" t="s">
        <v>2102</v>
      </c>
      <c r="Z878" t="str">
        <f t="shared" si="160"/>
        <v>No</v>
      </c>
      <c r="AA878" t="str">
        <f t="shared" si="161"/>
        <v>No</v>
      </c>
      <c r="AB878" t="str">
        <f t="shared" si="162"/>
        <v>No</v>
      </c>
      <c r="AC878" s="12">
        <v>80</v>
      </c>
      <c r="AD878" s="12">
        <f t="shared" si="163"/>
        <v>80</v>
      </c>
    </row>
    <row r="879" spans="1:30" x14ac:dyDescent="0.3">
      <c r="A879" t="s">
        <v>1844</v>
      </c>
      <c r="B879" t="s">
        <v>1845</v>
      </c>
      <c r="C879" t="s">
        <v>2203</v>
      </c>
      <c r="D879" t="s">
        <v>2876</v>
      </c>
      <c r="E879" t="str">
        <f t="shared" si="153"/>
        <v>Larry Wallace</v>
      </c>
      <c r="H879" t="s">
        <v>107</v>
      </c>
      <c r="I879" t="str">
        <f t="shared" si="154"/>
        <v>Male</v>
      </c>
      <c r="J879">
        <v>51</v>
      </c>
      <c r="K879">
        <f t="shared" si="155"/>
        <v>51</v>
      </c>
      <c r="L879" t="str">
        <f t="shared" si="156"/>
        <v>Fourth level</v>
      </c>
      <c r="M879" t="s">
        <v>23</v>
      </c>
      <c r="N879" t="s">
        <v>24</v>
      </c>
      <c r="O879" t="s">
        <v>33</v>
      </c>
      <c r="P879">
        <v>21</v>
      </c>
      <c r="Q879">
        <f t="shared" si="157"/>
        <v>21</v>
      </c>
      <c r="R879" t="s">
        <v>151</v>
      </c>
      <c r="S879" s="8" t="s">
        <v>151</v>
      </c>
      <c r="T879" s="9">
        <v>20</v>
      </c>
      <c r="U879" s="9">
        <f t="shared" si="158"/>
        <v>20</v>
      </c>
      <c r="V879" s="10">
        <v>20</v>
      </c>
      <c r="X879" s="11">
        <f t="shared" si="159"/>
        <v>2.5181818181818172</v>
      </c>
      <c r="Y879" t="s">
        <v>2103</v>
      </c>
      <c r="Z879" t="str">
        <f t="shared" si="160"/>
        <v>Yes</v>
      </c>
      <c r="AA879" t="str">
        <f t="shared" si="161"/>
        <v>Yes</v>
      </c>
      <c r="AB879" t="str">
        <f t="shared" si="162"/>
        <v>Yes</v>
      </c>
      <c r="AC879" s="12"/>
      <c r="AD879" s="12">
        <f t="shared" si="163"/>
        <v>80.77669902912622</v>
      </c>
    </row>
    <row r="880" spans="1:30" x14ac:dyDescent="0.3">
      <c r="A880" t="s">
        <v>1846</v>
      </c>
      <c r="B880" t="s">
        <v>1847</v>
      </c>
      <c r="C880" t="s">
        <v>2549</v>
      </c>
      <c r="D880" t="s">
        <v>2228</v>
      </c>
      <c r="E880" t="str">
        <f t="shared" si="153"/>
        <v>Jeremiah Thompson</v>
      </c>
      <c r="H880" t="s">
        <v>107</v>
      </c>
      <c r="I880" t="str">
        <f t="shared" si="154"/>
        <v>Male</v>
      </c>
      <c r="J880">
        <v>46</v>
      </c>
      <c r="K880">
        <f t="shared" si="155"/>
        <v>46</v>
      </c>
      <c r="L880" t="str">
        <f t="shared" si="156"/>
        <v>Third level</v>
      </c>
      <c r="M880" t="s">
        <v>64</v>
      </c>
      <c r="N880" t="s">
        <v>24</v>
      </c>
      <c r="O880" t="s">
        <v>82</v>
      </c>
      <c r="P880">
        <v>24</v>
      </c>
      <c r="Q880">
        <f t="shared" si="157"/>
        <v>24</v>
      </c>
      <c r="R880" t="s">
        <v>76</v>
      </c>
      <c r="S880" s="8" t="s">
        <v>76</v>
      </c>
      <c r="T880" s="9">
        <v>40</v>
      </c>
      <c r="U880" s="9">
        <f t="shared" si="158"/>
        <v>40</v>
      </c>
      <c r="V880" s="10">
        <v>40</v>
      </c>
      <c r="W880">
        <v>3.3</v>
      </c>
      <c r="X880" s="11">
        <f t="shared" si="159"/>
        <v>3.3</v>
      </c>
      <c r="Y880" t="s">
        <v>2103</v>
      </c>
      <c r="Z880" t="str">
        <f t="shared" si="160"/>
        <v>Yes</v>
      </c>
      <c r="AA880" t="str">
        <f t="shared" si="161"/>
        <v>Yes</v>
      </c>
      <c r="AB880" t="str">
        <f t="shared" si="162"/>
        <v>Yes</v>
      </c>
      <c r="AC880" s="12">
        <v>87</v>
      </c>
      <c r="AD880" s="12">
        <f t="shared" si="163"/>
        <v>87</v>
      </c>
    </row>
    <row r="881" spans="1:30" x14ac:dyDescent="0.3">
      <c r="A881" t="s">
        <v>1848</v>
      </c>
      <c r="B881" t="s">
        <v>1849</v>
      </c>
      <c r="C881" t="s">
        <v>2168</v>
      </c>
      <c r="D881" t="s">
        <v>2181</v>
      </c>
      <c r="E881" t="str">
        <f t="shared" si="153"/>
        <v>Jessica Williams</v>
      </c>
      <c r="H881" t="s">
        <v>22</v>
      </c>
      <c r="I881" t="str">
        <f t="shared" si="154"/>
        <v>Female</v>
      </c>
      <c r="J881">
        <v>25</v>
      </c>
      <c r="K881">
        <f t="shared" si="155"/>
        <v>25</v>
      </c>
      <c r="L881" t="str">
        <f t="shared" si="156"/>
        <v>First level</v>
      </c>
      <c r="M881" t="s">
        <v>122</v>
      </c>
      <c r="N881" t="s">
        <v>123</v>
      </c>
      <c r="O881" t="s">
        <v>49</v>
      </c>
      <c r="P881">
        <v>6</v>
      </c>
      <c r="Q881">
        <f t="shared" si="157"/>
        <v>6</v>
      </c>
      <c r="R881" t="s">
        <v>151</v>
      </c>
      <c r="S881" s="8" t="s">
        <v>151</v>
      </c>
      <c r="T881" s="9">
        <v>20</v>
      </c>
      <c r="U881" s="9">
        <f t="shared" si="158"/>
        <v>20</v>
      </c>
      <c r="V881" s="10">
        <v>20</v>
      </c>
      <c r="W881">
        <v>2.1</v>
      </c>
      <c r="X881" s="11">
        <f t="shared" si="159"/>
        <v>2.1</v>
      </c>
      <c r="Y881" t="s">
        <v>170</v>
      </c>
      <c r="Z881" t="str">
        <f t="shared" si="160"/>
        <v>no</v>
      </c>
      <c r="AA881" t="str">
        <f t="shared" si="161"/>
        <v>no</v>
      </c>
      <c r="AB881" t="str">
        <f t="shared" si="162"/>
        <v>No</v>
      </c>
      <c r="AC881" s="12"/>
      <c r="AD881" s="12">
        <f t="shared" si="163"/>
        <v>80.715686274509807</v>
      </c>
    </row>
    <row r="882" spans="1:30" x14ac:dyDescent="0.3">
      <c r="A882" t="s">
        <v>1850</v>
      </c>
      <c r="B882" t="s">
        <v>1851</v>
      </c>
      <c r="C882" t="s">
        <v>2123</v>
      </c>
      <c r="D882" t="s">
        <v>2877</v>
      </c>
      <c r="E882" t="str">
        <f t="shared" si="153"/>
        <v>Martin Moreno</v>
      </c>
      <c r="H882" t="s">
        <v>30</v>
      </c>
      <c r="I882" t="str">
        <f t="shared" si="154"/>
        <v>Male</v>
      </c>
      <c r="J882">
        <v>53</v>
      </c>
      <c r="K882">
        <f t="shared" si="155"/>
        <v>53</v>
      </c>
      <c r="L882" t="str">
        <f t="shared" si="156"/>
        <v>Fourth level</v>
      </c>
      <c r="M882" t="s">
        <v>47</v>
      </c>
      <c r="N882" t="s">
        <v>48</v>
      </c>
      <c r="O882" t="s">
        <v>39</v>
      </c>
      <c r="P882">
        <v>32</v>
      </c>
      <c r="Q882">
        <f t="shared" si="157"/>
        <v>32</v>
      </c>
      <c r="R882" t="s">
        <v>34</v>
      </c>
      <c r="S882" s="8" t="s">
        <v>34</v>
      </c>
      <c r="T882" s="9">
        <v>50</v>
      </c>
      <c r="U882" s="9">
        <f t="shared" si="158"/>
        <v>50</v>
      </c>
      <c r="V882" s="10">
        <v>50</v>
      </c>
      <c r="X882" s="11">
        <f t="shared" si="159"/>
        <v>2.5148148148148142</v>
      </c>
      <c r="Y882" t="s">
        <v>2103</v>
      </c>
      <c r="Z882" t="str">
        <f t="shared" si="160"/>
        <v>Yes</v>
      </c>
      <c r="AA882" t="str">
        <f t="shared" si="161"/>
        <v>Yes</v>
      </c>
      <c r="AB882" t="str">
        <f t="shared" si="162"/>
        <v>Yes</v>
      </c>
      <c r="AC882" s="12"/>
      <c r="AD882" s="12">
        <f t="shared" si="163"/>
        <v>80.715686274509807</v>
      </c>
    </row>
    <row r="883" spans="1:30" x14ac:dyDescent="0.3">
      <c r="A883" t="s">
        <v>1852</v>
      </c>
      <c r="B883" t="s">
        <v>1853</v>
      </c>
      <c r="C883" t="s">
        <v>2878</v>
      </c>
      <c r="D883" t="s">
        <v>2581</v>
      </c>
      <c r="E883" t="str">
        <f t="shared" si="153"/>
        <v>Yolanda Proctor</v>
      </c>
      <c r="H883" t="s">
        <v>22</v>
      </c>
      <c r="I883" t="str">
        <f t="shared" si="154"/>
        <v>Female</v>
      </c>
      <c r="J883">
        <v>50</v>
      </c>
      <c r="K883">
        <f t="shared" si="155"/>
        <v>50</v>
      </c>
      <c r="L883" t="str">
        <f t="shared" si="156"/>
        <v>Third level</v>
      </c>
      <c r="M883" t="s">
        <v>149</v>
      </c>
      <c r="N883" t="s">
        <v>150</v>
      </c>
      <c r="O883" t="s">
        <v>25</v>
      </c>
      <c r="P883">
        <v>31</v>
      </c>
      <c r="Q883">
        <f t="shared" si="157"/>
        <v>31</v>
      </c>
      <c r="R883" t="s">
        <v>26</v>
      </c>
      <c r="S883" s="8" t="s">
        <v>18</v>
      </c>
      <c r="T883" s="9">
        <v>100</v>
      </c>
      <c r="U883" s="9">
        <f t="shared" si="158"/>
        <v>100</v>
      </c>
      <c r="V883" s="10">
        <v>100</v>
      </c>
      <c r="W883">
        <v>2.9</v>
      </c>
      <c r="X883" s="11">
        <f t="shared" si="159"/>
        <v>2.9</v>
      </c>
      <c r="Y883" t="s">
        <v>2103</v>
      </c>
      <c r="Z883" t="str">
        <f t="shared" si="160"/>
        <v>Yes</v>
      </c>
      <c r="AA883" t="str">
        <f t="shared" si="161"/>
        <v>Yes</v>
      </c>
      <c r="AB883" t="str">
        <f t="shared" si="162"/>
        <v>Yes</v>
      </c>
      <c r="AC883" s="12">
        <v>89</v>
      </c>
      <c r="AD883" s="12">
        <f t="shared" si="163"/>
        <v>89</v>
      </c>
    </row>
    <row r="884" spans="1:30" x14ac:dyDescent="0.3">
      <c r="A884" t="s">
        <v>1854</v>
      </c>
      <c r="B884" t="s">
        <v>1855</v>
      </c>
      <c r="C884" t="s">
        <v>2521</v>
      </c>
      <c r="D884" t="s">
        <v>2798</v>
      </c>
      <c r="E884" t="str">
        <f t="shared" si="153"/>
        <v>Allen Turner</v>
      </c>
      <c r="H884" t="s">
        <v>30</v>
      </c>
      <c r="I884" t="str">
        <f t="shared" si="154"/>
        <v>Male</v>
      </c>
      <c r="J884">
        <v>45</v>
      </c>
      <c r="K884">
        <f t="shared" si="155"/>
        <v>45</v>
      </c>
      <c r="L884" t="str">
        <f t="shared" si="156"/>
        <v>Third level</v>
      </c>
      <c r="M884" t="s">
        <v>122</v>
      </c>
      <c r="N884" t="s">
        <v>123</v>
      </c>
      <c r="O884" t="s">
        <v>49</v>
      </c>
      <c r="Q884">
        <f t="shared" si="157"/>
        <v>13</v>
      </c>
      <c r="R884" t="s">
        <v>325</v>
      </c>
      <c r="S884" s="8" t="s">
        <v>2097</v>
      </c>
      <c r="T884" s="9">
        <v>20</v>
      </c>
      <c r="U884" s="9">
        <f t="shared" si="158"/>
        <v>20</v>
      </c>
      <c r="V884" s="10">
        <v>20</v>
      </c>
      <c r="W884">
        <v>3.3</v>
      </c>
      <c r="X884" s="11">
        <f t="shared" si="159"/>
        <v>3.3</v>
      </c>
      <c r="Y884" t="s">
        <v>2103</v>
      </c>
      <c r="Z884" t="str">
        <f t="shared" si="160"/>
        <v>Yes</v>
      </c>
      <c r="AA884" t="str">
        <f t="shared" si="161"/>
        <v>Yes</v>
      </c>
      <c r="AB884" t="str">
        <f t="shared" si="162"/>
        <v>Yes</v>
      </c>
      <c r="AC884" s="12">
        <v>93</v>
      </c>
      <c r="AD884" s="12">
        <f t="shared" si="163"/>
        <v>93</v>
      </c>
    </row>
    <row r="885" spans="1:30" x14ac:dyDescent="0.3">
      <c r="A885" t="s">
        <v>1856</v>
      </c>
      <c r="B885" t="s">
        <v>1857</v>
      </c>
      <c r="C885" t="s">
        <v>2507</v>
      </c>
      <c r="D885" t="s">
        <v>2879</v>
      </c>
      <c r="E885" t="str">
        <f t="shared" si="153"/>
        <v>Beth Huff</v>
      </c>
      <c r="H885" t="s">
        <v>86</v>
      </c>
      <c r="I885" t="str">
        <f t="shared" si="154"/>
        <v>Female</v>
      </c>
      <c r="J885">
        <v>48</v>
      </c>
      <c r="K885">
        <f t="shared" si="155"/>
        <v>48</v>
      </c>
      <c r="L885" t="str">
        <f t="shared" si="156"/>
        <v>Third level</v>
      </c>
      <c r="M885" t="s">
        <v>138</v>
      </c>
      <c r="N885" t="s">
        <v>24</v>
      </c>
      <c r="O885" t="s">
        <v>87</v>
      </c>
      <c r="P885">
        <v>24</v>
      </c>
      <c r="Q885">
        <f t="shared" si="157"/>
        <v>24</v>
      </c>
      <c r="R885" t="s">
        <v>18</v>
      </c>
      <c r="S885" s="8" t="s">
        <v>18</v>
      </c>
      <c r="T885" s="9">
        <v>100</v>
      </c>
      <c r="U885" s="9">
        <f t="shared" si="158"/>
        <v>100</v>
      </c>
      <c r="V885" s="10">
        <v>100</v>
      </c>
      <c r="W885">
        <v>4.8</v>
      </c>
      <c r="X885" s="11">
        <f t="shared" si="159"/>
        <v>4.8</v>
      </c>
      <c r="Y885" t="s">
        <v>2103</v>
      </c>
      <c r="Z885" t="str">
        <f t="shared" si="160"/>
        <v>Yes</v>
      </c>
      <c r="AA885" t="str">
        <f t="shared" si="161"/>
        <v>Yes</v>
      </c>
      <c r="AB885" t="str">
        <f t="shared" si="162"/>
        <v>Yes</v>
      </c>
      <c r="AC885" s="12">
        <v>84</v>
      </c>
      <c r="AD885" s="12">
        <f t="shared" si="163"/>
        <v>84</v>
      </c>
    </row>
    <row r="886" spans="1:30" x14ac:dyDescent="0.3">
      <c r="A886" t="s">
        <v>1858</v>
      </c>
      <c r="B886" t="s">
        <v>1859</v>
      </c>
      <c r="C886" t="s">
        <v>2366</v>
      </c>
      <c r="D886" t="s">
        <v>2769</v>
      </c>
      <c r="E886" t="str">
        <f t="shared" si="153"/>
        <v>John Mckinney</v>
      </c>
      <c r="H886" t="s">
        <v>69</v>
      </c>
      <c r="I886" t="str">
        <f t="shared" si="154"/>
        <v>Male</v>
      </c>
      <c r="J886">
        <v>30</v>
      </c>
      <c r="K886">
        <f t="shared" si="155"/>
        <v>30</v>
      </c>
      <c r="L886" t="str">
        <f t="shared" si="156"/>
        <v>First level</v>
      </c>
      <c r="M886" t="s">
        <v>55</v>
      </c>
      <c r="N886" t="s">
        <v>56</v>
      </c>
      <c r="O886" t="s">
        <v>99</v>
      </c>
      <c r="Q886">
        <f t="shared" si="157"/>
        <v>3</v>
      </c>
      <c r="R886" t="s">
        <v>240</v>
      </c>
      <c r="S886" s="8" t="s">
        <v>18</v>
      </c>
      <c r="T886" s="9">
        <v>100</v>
      </c>
      <c r="U886" s="9">
        <f t="shared" si="158"/>
        <v>100</v>
      </c>
      <c r="V886" s="10">
        <v>100</v>
      </c>
      <c r="W886">
        <v>4.5</v>
      </c>
      <c r="X886" s="11">
        <f t="shared" si="159"/>
        <v>4.5</v>
      </c>
      <c r="Y886" t="s">
        <v>65</v>
      </c>
      <c r="AA886" t="str">
        <f t="shared" si="161"/>
        <v>Unknown</v>
      </c>
      <c r="AB886" t="str">
        <f t="shared" si="162"/>
        <v>Unknown</v>
      </c>
      <c r="AC886" s="12">
        <v>78</v>
      </c>
      <c r="AD886" s="12">
        <f t="shared" si="163"/>
        <v>78</v>
      </c>
    </row>
    <row r="887" spans="1:30" x14ac:dyDescent="0.3">
      <c r="A887" t="s">
        <v>1860</v>
      </c>
      <c r="B887" t="s">
        <v>578</v>
      </c>
      <c r="C887" t="s">
        <v>2452</v>
      </c>
      <c r="D887" t="s">
        <v>2285</v>
      </c>
      <c r="E887" t="str">
        <f t="shared" si="153"/>
        <v>Sarah Ho</v>
      </c>
      <c r="H887" t="s">
        <v>86</v>
      </c>
      <c r="I887" t="str">
        <f t="shared" si="154"/>
        <v>Female</v>
      </c>
      <c r="J887">
        <v>33</v>
      </c>
      <c r="K887">
        <f t="shared" si="155"/>
        <v>33</v>
      </c>
      <c r="L887" t="str">
        <f t="shared" si="156"/>
        <v>Second level</v>
      </c>
      <c r="M887" t="s">
        <v>47</v>
      </c>
      <c r="N887" t="s">
        <v>48</v>
      </c>
      <c r="O887" t="s">
        <v>82</v>
      </c>
      <c r="P887">
        <v>6</v>
      </c>
      <c r="Q887">
        <f t="shared" si="157"/>
        <v>6</v>
      </c>
      <c r="R887" t="s">
        <v>72</v>
      </c>
      <c r="S887" s="8" t="s">
        <v>72</v>
      </c>
      <c r="T887" s="9">
        <v>50</v>
      </c>
      <c r="U887" s="9">
        <f t="shared" si="158"/>
        <v>50</v>
      </c>
      <c r="V887" s="10">
        <v>50</v>
      </c>
      <c r="W887">
        <v>3.1</v>
      </c>
      <c r="X887" s="11">
        <f t="shared" si="159"/>
        <v>3.1</v>
      </c>
      <c r="Y887" t="s">
        <v>170</v>
      </c>
      <c r="Z887" t="str">
        <f t="shared" si="160"/>
        <v>no</v>
      </c>
      <c r="AA887" t="str">
        <f t="shared" si="161"/>
        <v>no</v>
      </c>
      <c r="AB887" t="str">
        <f t="shared" si="162"/>
        <v>No</v>
      </c>
      <c r="AC887" s="12">
        <v>90</v>
      </c>
      <c r="AD887" s="12">
        <f t="shared" si="163"/>
        <v>90</v>
      </c>
    </row>
    <row r="888" spans="1:30" x14ac:dyDescent="0.3">
      <c r="A888" t="s">
        <v>1861</v>
      </c>
      <c r="B888" t="s">
        <v>1862</v>
      </c>
      <c r="C888" t="s">
        <v>2331</v>
      </c>
      <c r="D888" t="s">
        <v>2880</v>
      </c>
      <c r="E888" t="str">
        <f t="shared" si="153"/>
        <v>Lindsey Wang</v>
      </c>
      <c r="H888" t="s">
        <v>86</v>
      </c>
      <c r="I888" t="str">
        <f t="shared" si="154"/>
        <v>Female</v>
      </c>
      <c r="J888">
        <v>50</v>
      </c>
      <c r="K888">
        <f t="shared" si="155"/>
        <v>50</v>
      </c>
      <c r="L888" t="str">
        <f t="shared" si="156"/>
        <v>Third level</v>
      </c>
      <c r="M888" t="s">
        <v>75</v>
      </c>
      <c r="N888" t="s">
        <v>24</v>
      </c>
      <c r="O888" t="s">
        <v>99</v>
      </c>
      <c r="P888">
        <v>11</v>
      </c>
      <c r="Q888">
        <f t="shared" si="157"/>
        <v>11</v>
      </c>
      <c r="R888" t="s">
        <v>65</v>
      </c>
      <c r="S888" s="8" t="s">
        <v>65</v>
      </c>
      <c r="T888" s="9"/>
      <c r="U888" s="9">
        <f t="shared" si="158"/>
        <v>54.766355140186917</v>
      </c>
      <c r="V888" s="10">
        <v>54.766355140186917</v>
      </c>
      <c r="W888">
        <v>4.9000000000000004</v>
      </c>
      <c r="X888" s="11">
        <f t="shared" si="159"/>
        <v>4.9000000000000004</v>
      </c>
      <c r="Y888" t="s">
        <v>2103</v>
      </c>
      <c r="Z888" t="str">
        <f t="shared" si="160"/>
        <v>Yes</v>
      </c>
      <c r="AA888" t="str">
        <f t="shared" si="161"/>
        <v>Yes</v>
      </c>
      <c r="AB888" t="str">
        <f t="shared" si="162"/>
        <v>Yes</v>
      </c>
      <c r="AC888" s="12">
        <v>88</v>
      </c>
      <c r="AD888" s="12">
        <f t="shared" si="163"/>
        <v>88</v>
      </c>
    </row>
    <row r="889" spans="1:30" x14ac:dyDescent="0.3">
      <c r="A889" t="s">
        <v>1863</v>
      </c>
      <c r="B889" t="s">
        <v>1864</v>
      </c>
      <c r="C889" t="s">
        <v>2716</v>
      </c>
      <c r="D889" t="s">
        <v>2881</v>
      </c>
      <c r="E889" t="str">
        <f t="shared" si="153"/>
        <v>Margaret Schwartz</v>
      </c>
      <c r="H889" t="s">
        <v>86</v>
      </c>
      <c r="I889" t="str">
        <f t="shared" si="154"/>
        <v>Female</v>
      </c>
      <c r="J889">
        <v>24</v>
      </c>
      <c r="K889">
        <f t="shared" si="155"/>
        <v>24</v>
      </c>
      <c r="L889" t="str">
        <f t="shared" si="156"/>
        <v>First level</v>
      </c>
      <c r="M889" t="s">
        <v>55</v>
      </c>
      <c r="N889" t="s">
        <v>56</v>
      </c>
      <c r="O889" t="s">
        <v>57</v>
      </c>
      <c r="Q889">
        <f t="shared" si="157"/>
        <v>3</v>
      </c>
      <c r="R889" t="s">
        <v>131</v>
      </c>
      <c r="S889" s="8" t="s">
        <v>131</v>
      </c>
      <c r="T889" s="9">
        <v>20</v>
      </c>
      <c r="U889" s="9">
        <f t="shared" si="158"/>
        <v>20</v>
      </c>
      <c r="V889" s="10">
        <v>20</v>
      </c>
      <c r="W889">
        <v>0</v>
      </c>
      <c r="X889" s="11">
        <f t="shared" si="159"/>
        <v>0</v>
      </c>
      <c r="Y889" t="s">
        <v>2102</v>
      </c>
      <c r="Z889" t="str">
        <f t="shared" si="160"/>
        <v>No</v>
      </c>
      <c r="AA889" t="str">
        <f t="shared" si="161"/>
        <v>No</v>
      </c>
      <c r="AB889" t="str">
        <f t="shared" si="162"/>
        <v>No</v>
      </c>
      <c r="AC889" s="12">
        <v>76</v>
      </c>
      <c r="AD889" s="12">
        <f t="shared" si="163"/>
        <v>76</v>
      </c>
    </row>
    <row r="890" spans="1:30" x14ac:dyDescent="0.3">
      <c r="A890" t="s">
        <v>1865</v>
      </c>
      <c r="B890" t="s">
        <v>1866</v>
      </c>
      <c r="C890" t="s">
        <v>2198</v>
      </c>
      <c r="D890" t="s">
        <v>2882</v>
      </c>
      <c r="E890" t="str">
        <f t="shared" si="153"/>
        <v>Kyle Ray</v>
      </c>
      <c r="H890" t="s">
        <v>30</v>
      </c>
      <c r="I890" t="str">
        <f t="shared" si="154"/>
        <v>Male</v>
      </c>
      <c r="J890">
        <v>38</v>
      </c>
      <c r="K890">
        <f t="shared" si="155"/>
        <v>38</v>
      </c>
      <c r="L890" t="str">
        <f t="shared" si="156"/>
        <v>Second level</v>
      </c>
      <c r="M890" t="s">
        <v>15</v>
      </c>
      <c r="N890" t="s">
        <v>16</v>
      </c>
      <c r="O890" t="s">
        <v>39</v>
      </c>
      <c r="P890">
        <v>14</v>
      </c>
      <c r="Q890">
        <f t="shared" si="157"/>
        <v>14</v>
      </c>
      <c r="R890" t="s">
        <v>92</v>
      </c>
      <c r="S890" s="8" t="s">
        <v>92</v>
      </c>
      <c r="T890" s="9">
        <v>75</v>
      </c>
      <c r="U890" s="9">
        <f t="shared" si="158"/>
        <v>75</v>
      </c>
      <c r="V890" s="10">
        <v>75</v>
      </c>
      <c r="W890">
        <v>1.5</v>
      </c>
      <c r="X890" s="11">
        <f t="shared" si="159"/>
        <v>1.5</v>
      </c>
      <c r="Y890" t="s">
        <v>2102</v>
      </c>
      <c r="Z890" t="str">
        <f t="shared" si="160"/>
        <v>No</v>
      </c>
      <c r="AA890" t="str">
        <f t="shared" si="161"/>
        <v>No</v>
      </c>
      <c r="AB890" t="str">
        <f t="shared" si="162"/>
        <v>No</v>
      </c>
      <c r="AC890" s="12">
        <v>62</v>
      </c>
      <c r="AD890" s="12">
        <f t="shared" si="163"/>
        <v>62</v>
      </c>
    </row>
    <row r="891" spans="1:30" x14ac:dyDescent="0.3">
      <c r="A891" t="s">
        <v>1867</v>
      </c>
      <c r="B891" t="s">
        <v>1868</v>
      </c>
      <c r="C891" t="s">
        <v>2584</v>
      </c>
      <c r="D891" t="s">
        <v>2883</v>
      </c>
      <c r="E891" t="str">
        <f t="shared" si="153"/>
        <v>Isaac Hebert</v>
      </c>
      <c r="H891" t="s">
        <v>69</v>
      </c>
      <c r="I891" t="str">
        <f t="shared" si="154"/>
        <v>Male</v>
      </c>
      <c r="J891">
        <v>56</v>
      </c>
      <c r="K891">
        <f t="shared" si="155"/>
        <v>56</v>
      </c>
      <c r="L891" t="str">
        <f t="shared" si="156"/>
        <v>Fourth level</v>
      </c>
      <c r="M891" t="s">
        <v>95</v>
      </c>
      <c r="N891" t="s">
        <v>96</v>
      </c>
      <c r="O891" t="s">
        <v>99</v>
      </c>
      <c r="P891">
        <v>2</v>
      </c>
      <c r="Q891">
        <f t="shared" si="157"/>
        <v>2</v>
      </c>
      <c r="R891" t="s">
        <v>181</v>
      </c>
      <c r="S891" s="8" t="s">
        <v>181</v>
      </c>
      <c r="T891" s="9">
        <v>75</v>
      </c>
      <c r="U891" s="9">
        <f t="shared" si="158"/>
        <v>75</v>
      </c>
      <c r="V891" s="10">
        <v>75</v>
      </c>
      <c r="W891">
        <v>2.4</v>
      </c>
      <c r="X891" s="11">
        <f t="shared" si="159"/>
        <v>2.4</v>
      </c>
      <c r="Y891" t="s">
        <v>2102</v>
      </c>
      <c r="Z891" t="str">
        <f t="shared" si="160"/>
        <v>No</v>
      </c>
      <c r="AA891" t="str">
        <f t="shared" si="161"/>
        <v>No</v>
      </c>
      <c r="AB891" t="str">
        <f t="shared" si="162"/>
        <v>No</v>
      </c>
      <c r="AC891" s="12"/>
      <c r="AD891" s="12">
        <f t="shared" si="163"/>
        <v>80.563829787234042</v>
      </c>
    </row>
    <row r="892" spans="1:30" x14ac:dyDescent="0.3">
      <c r="A892" t="s">
        <v>1869</v>
      </c>
      <c r="B892" t="s">
        <v>1870</v>
      </c>
      <c r="C892" t="s">
        <v>2727</v>
      </c>
      <c r="D892" t="s">
        <v>2159</v>
      </c>
      <c r="E892" t="str">
        <f t="shared" si="153"/>
        <v>Michele Jones</v>
      </c>
      <c r="H892" t="s">
        <v>86</v>
      </c>
      <c r="I892" t="str">
        <f t="shared" si="154"/>
        <v>Female</v>
      </c>
      <c r="J892">
        <v>41</v>
      </c>
      <c r="K892">
        <f t="shared" si="155"/>
        <v>41</v>
      </c>
      <c r="L892" t="str">
        <f t="shared" si="156"/>
        <v>Third level</v>
      </c>
      <c r="M892" t="s">
        <v>134</v>
      </c>
      <c r="N892" t="s">
        <v>135</v>
      </c>
      <c r="O892" t="s">
        <v>99</v>
      </c>
      <c r="P892">
        <v>2</v>
      </c>
      <c r="Q892">
        <f t="shared" si="157"/>
        <v>2</v>
      </c>
      <c r="R892" t="s">
        <v>26</v>
      </c>
      <c r="S892" s="8" t="s">
        <v>18</v>
      </c>
      <c r="T892" s="9">
        <v>100</v>
      </c>
      <c r="U892" s="9">
        <f t="shared" si="158"/>
        <v>100</v>
      </c>
      <c r="V892" s="10">
        <v>100</v>
      </c>
      <c r="W892">
        <v>4.5</v>
      </c>
      <c r="X892" s="11">
        <f t="shared" si="159"/>
        <v>4.5</v>
      </c>
      <c r="Y892" t="s">
        <v>2102</v>
      </c>
      <c r="Z892" t="str">
        <f t="shared" si="160"/>
        <v>No</v>
      </c>
      <c r="AA892" t="str">
        <f t="shared" si="161"/>
        <v>No</v>
      </c>
      <c r="AB892" t="str">
        <f t="shared" si="162"/>
        <v>No</v>
      </c>
      <c r="AC892" s="12">
        <v>75</v>
      </c>
      <c r="AD892" s="12">
        <f t="shared" si="163"/>
        <v>75</v>
      </c>
    </row>
    <row r="893" spans="1:30" x14ac:dyDescent="0.3">
      <c r="A893" t="s">
        <v>1871</v>
      </c>
      <c r="B893" t="s">
        <v>1872</v>
      </c>
      <c r="C893" t="s">
        <v>2254</v>
      </c>
      <c r="D893" t="s">
        <v>2521</v>
      </c>
      <c r="E893" t="str">
        <f t="shared" si="153"/>
        <v>Austin Allen</v>
      </c>
      <c r="H893" t="s">
        <v>107</v>
      </c>
      <c r="I893" t="str">
        <f t="shared" si="154"/>
        <v>Male</v>
      </c>
      <c r="K893">
        <f t="shared" si="155"/>
        <v>41</v>
      </c>
      <c r="L893" t="str">
        <f t="shared" si="156"/>
        <v>Third level</v>
      </c>
      <c r="M893" t="s">
        <v>15</v>
      </c>
      <c r="N893" t="s">
        <v>16</v>
      </c>
      <c r="O893" t="s">
        <v>82</v>
      </c>
      <c r="P893">
        <v>11</v>
      </c>
      <c r="Q893">
        <f t="shared" si="157"/>
        <v>11</v>
      </c>
      <c r="R893" t="s">
        <v>26</v>
      </c>
      <c r="S893" s="8" t="s">
        <v>18</v>
      </c>
      <c r="T893" s="9">
        <v>100</v>
      </c>
      <c r="U893" s="9">
        <f t="shared" si="158"/>
        <v>100</v>
      </c>
      <c r="V893" s="10">
        <v>100</v>
      </c>
      <c r="W893">
        <v>2.5</v>
      </c>
      <c r="X893" s="11">
        <f t="shared" si="159"/>
        <v>2.5</v>
      </c>
      <c r="Y893" t="s">
        <v>77</v>
      </c>
      <c r="Z893" t="str">
        <f t="shared" si="160"/>
        <v>yes</v>
      </c>
      <c r="AA893" t="str">
        <f t="shared" si="161"/>
        <v>yes</v>
      </c>
      <c r="AB893" t="str">
        <f t="shared" si="162"/>
        <v>Yes</v>
      </c>
      <c r="AC893" s="12">
        <v>80</v>
      </c>
      <c r="AD893" s="12">
        <f t="shared" si="163"/>
        <v>80</v>
      </c>
    </row>
    <row r="894" spans="1:30" x14ac:dyDescent="0.3">
      <c r="A894" t="s">
        <v>1873</v>
      </c>
      <c r="B894" t="s">
        <v>1874</v>
      </c>
      <c r="C894" t="s">
        <v>2479</v>
      </c>
      <c r="D894" t="s">
        <v>2564</v>
      </c>
      <c r="E894" t="str">
        <f t="shared" si="153"/>
        <v>Haley Castro</v>
      </c>
      <c r="H894" t="s">
        <v>86</v>
      </c>
      <c r="I894" t="str">
        <f t="shared" si="154"/>
        <v>Female</v>
      </c>
      <c r="J894">
        <v>42</v>
      </c>
      <c r="K894">
        <f t="shared" si="155"/>
        <v>42</v>
      </c>
      <c r="L894" t="str">
        <f t="shared" si="156"/>
        <v>Third level</v>
      </c>
      <c r="M894" t="s">
        <v>31</v>
      </c>
      <c r="N894" t="s">
        <v>32</v>
      </c>
      <c r="O894" t="s">
        <v>33</v>
      </c>
      <c r="P894">
        <v>13</v>
      </c>
      <c r="Q894">
        <f t="shared" si="157"/>
        <v>13</v>
      </c>
      <c r="R894" t="s">
        <v>44</v>
      </c>
      <c r="S894" s="8" t="s">
        <v>44</v>
      </c>
      <c r="T894" s="9">
        <v>30</v>
      </c>
      <c r="U894" s="9">
        <f t="shared" si="158"/>
        <v>30</v>
      </c>
      <c r="V894" s="10">
        <v>30</v>
      </c>
      <c r="W894">
        <v>3.3</v>
      </c>
      <c r="X894" s="11">
        <f t="shared" si="159"/>
        <v>3.3</v>
      </c>
      <c r="Y894" t="s">
        <v>65</v>
      </c>
      <c r="AA894" t="str">
        <f t="shared" si="161"/>
        <v>Unknown</v>
      </c>
      <c r="AB894" t="str">
        <f t="shared" si="162"/>
        <v>Unknown</v>
      </c>
      <c r="AC894" s="12">
        <v>63</v>
      </c>
      <c r="AD894" s="12">
        <f t="shared" si="163"/>
        <v>63</v>
      </c>
    </row>
    <row r="895" spans="1:30" x14ac:dyDescent="0.3">
      <c r="A895" t="s">
        <v>1875</v>
      </c>
      <c r="B895" t="s">
        <v>1876</v>
      </c>
      <c r="C895" t="s">
        <v>2273</v>
      </c>
      <c r="D895" t="s">
        <v>2328</v>
      </c>
      <c r="E895" t="str">
        <f t="shared" si="153"/>
        <v>David Armstrong</v>
      </c>
      <c r="H895" t="s">
        <v>107</v>
      </c>
      <c r="I895" t="str">
        <f t="shared" si="154"/>
        <v>Male</v>
      </c>
      <c r="J895">
        <v>26</v>
      </c>
      <c r="K895">
        <f t="shared" si="155"/>
        <v>26</v>
      </c>
      <c r="L895" t="str">
        <f t="shared" si="156"/>
        <v>First level</v>
      </c>
      <c r="M895" t="s">
        <v>103</v>
      </c>
      <c r="N895" t="s">
        <v>104</v>
      </c>
      <c r="O895" t="s">
        <v>17</v>
      </c>
      <c r="P895">
        <v>7</v>
      </c>
      <c r="Q895">
        <f t="shared" si="157"/>
        <v>7</v>
      </c>
      <c r="R895" t="s">
        <v>92</v>
      </c>
      <c r="S895" s="8" t="s">
        <v>92</v>
      </c>
      <c r="T895" s="9">
        <v>75</v>
      </c>
      <c r="U895" s="9">
        <f t="shared" si="158"/>
        <v>75</v>
      </c>
      <c r="V895" s="10">
        <v>75</v>
      </c>
      <c r="W895">
        <v>3</v>
      </c>
      <c r="X895" s="11">
        <f t="shared" si="159"/>
        <v>3</v>
      </c>
      <c r="Y895" t="s">
        <v>65</v>
      </c>
      <c r="AA895" t="str">
        <f t="shared" si="161"/>
        <v>Unknown</v>
      </c>
      <c r="AB895" t="str">
        <f t="shared" si="162"/>
        <v>Unknown</v>
      </c>
      <c r="AC895" s="12">
        <v>84</v>
      </c>
      <c r="AD895" s="12">
        <f t="shared" si="163"/>
        <v>84</v>
      </c>
    </row>
    <row r="896" spans="1:30" x14ac:dyDescent="0.3">
      <c r="A896" t="s">
        <v>1877</v>
      </c>
      <c r="B896" t="s">
        <v>1878</v>
      </c>
      <c r="C896" t="s">
        <v>2770</v>
      </c>
      <c r="D896" t="s">
        <v>2350</v>
      </c>
      <c r="E896" t="str">
        <f t="shared" si="153"/>
        <v>Wendy Mitchell</v>
      </c>
      <c r="H896" t="s">
        <v>86</v>
      </c>
      <c r="I896" t="str">
        <f t="shared" si="154"/>
        <v>Female</v>
      </c>
      <c r="J896">
        <v>44</v>
      </c>
      <c r="K896">
        <f t="shared" si="155"/>
        <v>44</v>
      </c>
      <c r="L896" t="str">
        <f t="shared" si="156"/>
        <v>Third level</v>
      </c>
      <c r="M896" t="s">
        <v>138</v>
      </c>
      <c r="N896" t="s">
        <v>24</v>
      </c>
      <c r="O896" t="s">
        <v>87</v>
      </c>
      <c r="P896">
        <v>25</v>
      </c>
      <c r="Q896">
        <f t="shared" si="157"/>
        <v>25</v>
      </c>
      <c r="R896" t="s">
        <v>92</v>
      </c>
      <c r="S896" s="8" t="s">
        <v>92</v>
      </c>
      <c r="T896" s="9">
        <v>75</v>
      </c>
      <c r="U896" s="9">
        <f t="shared" si="158"/>
        <v>75</v>
      </c>
      <c r="V896" s="10">
        <v>75</v>
      </c>
      <c r="W896">
        <v>2.7</v>
      </c>
      <c r="X896" s="11">
        <f t="shared" si="159"/>
        <v>2.7</v>
      </c>
      <c r="Y896" t="s">
        <v>2103</v>
      </c>
      <c r="Z896" t="str">
        <f t="shared" si="160"/>
        <v>Yes</v>
      </c>
      <c r="AA896" t="str">
        <f t="shared" si="161"/>
        <v>Yes</v>
      </c>
      <c r="AB896" t="str">
        <f t="shared" si="162"/>
        <v>Yes</v>
      </c>
      <c r="AC896" s="12">
        <v>78</v>
      </c>
      <c r="AD896" s="12">
        <f t="shared" si="163"/>
        <v>78</v>
      </c>
    </row>
    <row r="897" spans="1:30" x14ac:dyDescent="0.3">
      <c r="A897" t="s">
        <v>1879</v>
      </c>
      <c r="B897" t="s">
        <v>1880</v>
      </c>
      <c r="C897" t="s">
        <v>2368</v>
      </c>
      <c r="D897" t="s">
        <v>2177</v>
      </c>
      <c r="E897" t="str">
        <f t="shared" si="153"/>
        <v>Anthony Hernandez</v>
      </c>
      <c r="H897" t="s">
        <v>69</v>
      </c>
      <c r="I897" t="str">
        <f t="shared" si="154"/>
        <v>Male</v>
      </c>
      <c r="J897">
        <v>46</v>
      </c>
      <c r="K897">
        <f t="shared" si="155"/>
        <v>46</v>
      </c>
      <c r="L897" t="str">
        <f t="shared" si="156"/>
        <v>Third level</v>
      </c>
      <c r="M897" t="s">
        <v>138</v>
      </c>
      <c r="N897" t="s">
        <v>24</v>
      </c>
      <c r="O897" t="s">
        <v>33</v>
      </c>
      <c r="P897">
        <v>20</v>
      </c>
      <c r="Q897">
        <f t="shared" si="157"/>
        <v>20</v>
      </c>
      <c r="R897" t="s">
        <v>131</v>
      </c>
      <c r="S897" s="8" t="s">
        <v>131</v>
      </c>
      <c r="T897" s="9">
        <v>20</v>
      </c>
      <c r="U897" s="9">
        <f t="shared" si="158"/>
        <v>20</v>
      </c>
      <c r="V897" s="10">
        <v>20</v>
      </c>
      <c r="W897">
        <v>1.2</v>
      </c>
      <c r="X897" s="11">
        <f t="shared" si="159"/>
        <v>1.2</v>
      </c>
      <c r="Y897" t="s">
        <v>2102</v>
      </c>
      <c r="Z897" t="str">
        <f t="shared" si="160"/>
        <v>No</v>
      </c>
      <c r="AA897" t="str">
        <f t="shared" si="161"/>
        <v>No</v>
      </c>
      <c r="AB897" t="str">
        <f t="shared" si="162"/>
        <v>No</v>
      </c>
      <c r="AC897" s="12">
        <v>74</v>
      </c>
      <c r="AD897" s="12">
        <f t="shared" si="163"/>
        <v>74</v>
      </c>
    </row>
    <row r="898" spans="1:30" x14ac:dyDescent="0.3">
      <c r="A898" t="s">
        <v>1881</v>
      </c>
      <c r="B898" t="s">
        <v>1882</v>
      </c>
      <c r="C898" t="s">
        <v>2338</v>
      </c>
      <c r="D898" t="s">
        <v>2117</v>
      </c>
      <c r="E898" t="str">
        <f t="shared" si="153"/>
        <v>Erica Johnson</v>
      </c>
      <c r="H898" t="s">
        <v>43</v>
      </c>
      <c r="I898" t="str">
        <f t="shared" si="154"/>
        <v>Female</v>
      </c>
      <c r="J898">
        <v>36</v>
      </c>
      <c r="K898">
        <f t="shared" si="155"/>
        <v>36</v>
      </c>
      <c r="L898" t="str">
        <f t="shared" si="156"/>
        <v>Second level</v>
      </c>
      <c r="M898" t="s">
        <v>64</v>
      </c>
      <c r="N898" t="s">
        <v>24</v>
      </c>
      <c r="O898" t="s">
        <v>82</v>
      </c>
      <c r="P898">
        <v>8</v>
      </c>
      <c r="Q898">
        <f t="shared" si="157"/>
        <v>8</v>
      </c>
      <c r="R898" t="s">
        <v>34</v>
      </c>
      <c r="S898" s="8" t="s">
        <v>34</v>
      </c>
      <c r="T898" s="9">
        <v>50</v>
      </c>
      <c r="U898" s="9">
        <f t="shared" si="158"/>
        <v>50</v>
      </c>
      <c r="V898" s="10">
        <v>50</v>
      </c>
      <c r="W898">
        <v>4.3</v>
      </c>
      <c r="X898" s="11">
        <f t="shared" si="159"/>
        <v>4.3</v>
      </c>
      <c r="Y898" t="s">
        <v>2102</v>
      </c>
      <c r="Z898" t="str">
        <f t="shared" si="160"/>
        <v>No</v>
      </c>
      <c r="AA898" t="str">
        <f t="shared" si="161"/>
        <v>No</v>
      </c>
      <c r="AB898" t="str">
        <f t="shared" si="162"/>
        <v>No</v>
      </c>
      <c r="AC898" s="12">
        <v>90</v>
      </c>
      <c r="AD898" s="12">
        <f t="shared" si="163"/>
        <v>90</v>
      </c>
    </row>
    <row r="899" spans="1:30" x14ac:dyDescent="0.3">
      <c r="A899" t="s">
        <v>1883</v>
      </c>
      <c r="B899" t="s">
        <v>1884</v>
      </c>
      <c r="C899" t="s">
        <v>2127</v>
      </c>
      <c r="D899" t="s">
        <v>2261</v>
      </c>
      <c r="E899" t="str">
        <f t="shared" ref="E899:E962" si="164">CONCATENATE(C899," ",D899)</f>
        <v>Randall Barrett</v>
      </c>
      <c r="H899" t="s">
        <v>107</v>
      </c>
      <c r="I899" t="str">
        <f t="shared" ref="I899:I962" si="165">PROPER(H899)</f>
        <v>Male</v>
      </c>
      <c r="J899">
        <v>26</v>
      </c>
      <c r="K899">
        <f t="shared" ref="K899:K962" si="166">IF(ISBLANK(J899),ROUND(AVERAGEIF($I$2:$I$1001,I899,$J$2:$J$1001),0),J899)</f>
        <v>26</v>
      </c>
      <c r="L899" t="str">
        <f t="shared" ref="L899:L962" si="167">IF(AND(K899&gt;=20,K899&lt;=30),"First level",IF(AND(K899&gt;30,K899&lt;=40),"Second level",IF(AND(K899&gt;40,K899&lt;=50),"Third level",IF(H906&gt;50,"Fourth level"))))</f>
        <v>First level</v>
      </c>
      <c r="M899" t="s">
        <v>47</v>
      </c>
      <c r="N899" t="s">
        <v>48</v>
      </c>
      <c r="O899" t="s">
        <v>49</v>
      </c>
      <c r="P899">
        <v>6</v>
      </c>
      <c r="Q899">
        <f t="shared" ref="Q899:Q962" si="168">IF(ISBLANK(P899),ROUND(AVERAGEIF($L$2:$L$1001,L899,$P$2:$P$1001),0),P899)</f>
        <v>6</v>
      </c>
      <c r="R899" t="s">
        <v>40</v>
      </c>
      <c r="S899" s="8" t="s">
        <v>40</v>
      </c>
      <c r="T899" s="9">
        <v>40</v>
      </c>
      <c r="U899" s="9">
        <f t="shared" ref="U899:U962" si="169">IF(ISBLANK(T899),AVERAGE(T898:T1898),T899)</f>
        <v>40</v>
      </c>
      <c r="V899" s="10">
        <v>40</v>
      </c>
      <c r="W899">
        <v>1.3</v>
      </c>
      <c r="X899" s="11">
        <f t="shared" ref="X899:X962" si="170">IF(ISBLANK(W899),AVERAGE(W899:W1898),W899)</f>
        <v>1.3</v>
      </c>
      <c r="Y899" t="s">
        <v>2102</v>
      </c>
      <c r="Z899" t="str">
        <f t="shared" ref="Z899:Z962" si="171">CLEAN(Y899)</f>
        <v>No</v>
      </c>
      <c r="AA899" t="str">
        <f t="shared" ref="AA899:AA962" si="172">IF(ISBLANK(Z899),"Unknown",Z899)</f>
        <v>No</v>
      </c>
      <c r="AB899" t="str">
        <f t="shared" ref="AB899:AB962" si="173">PROPER(AA899)</f>
        <v>No</v>
      </c>
      <c r="AC899" s="12"/>
      <c r="AD899" s="12">
        <f t="shared" ref="AD899:AD962" si="174">IF(ISBLANK(AC899),AVERAGE(AC899:AC1898),AC899)</f>
        <v>80.793103448275858</v>
      </c>
    </row>
    <row r="900" spans="1:30" x14ac:dyDescent="0.3">
      <c r="A900" t="s">
        <v>1885</v>
      </c>
      <c r="B900" t="s">
        <v>1886</v>
      </c>
      <c r="C900" t="s">
        <v>2355</v>
      </c>
      <c r="D900" t="s">
        <v>2879</v>
      </c>
      <c r="E900" t="str">
        <f t="shared" si="164"/>
        <v>Nathan Huff</v>
      </c>
      <c r="H900" t="s">
        <v>30</v>
      </c>
      <c r="I900" t="str">
        <f t="shared" si="165"/>
        <v>Male</v>
      </c>
      <c r="J900">
        <v>21</v>
      </c>
      <c r="K900">
        <f t="shared" si="166"/>
        <v>21</v>
      </c>
      <c r="L900" t="str">
        <f t="shared" si="167"/>
        <v>First level</v>
      </c>
      <c r="M900" t="s">
        <v>31</v>
      </c>
      <c r="N900" t="s">
        <v>32</v>
      </c>
      <c r="O900" t="s">
        <v>82</v>
      </c>
      <c r="P900">
        <v>3</v>
      </c>
      <c r="Q900">
        <f t="shared" si="168"/>
        <v>3</v>
      </c>
      <c r="R900" t="s">
        <v>34</v>
      </c>
      <c r="S900" s="8" t="s">
        <v>34</v>
      </c>
      <c r="T900" s="9">
        <v>50</v>
      </c>
      <c r="U900" s="9">
        <f t="shared" si="169"/>
        <v>50</v>
      </c>
      <c r="V900" s="10">
        <v>50</v>
      </c>
      <c r="W900">
        <v>4.5999999999999996</v>
      </c>
      <c r="X900" s="11">
        <f t="shared" si="170"/>
        <v>4.5999999999999996</v>
      </c>
      <c r="Y900" t="s">
        <v>2103</v>
      </c>
      <c r="Z900" t="str">
        <f t="shared" si="171"/>
        <v>Yes</v>
      </c>
      <c r="AA900" t="str">
        <f t="shared" si="172"/>
        <v>Yes</v>
      </c>
      <c r="AB900" t="str">
        <f t="shared" si="173"/>
        <v>Yes</v>
      </c>
      <c r="AC900" s="12"/>
      <c r="AD900" s="12">
        <f t="shared" si="174"/>
        <v>80.793103448275858</v>
      </c>
    </row>
    <row r="901" spans="1:30" x14ac:dyDescent="0.3">
      <c r="A901" t="s">
        <v>1887</v>
      </c>
      <c r="B901" t="s">
        <v>1888</v>
      </c>
      <c r="C901" t="s">
        <v>2364</v>
      </c>
      <c r="D901" t="s">
        <v>2789</v>
      </c>
      <c r="E901" t="str">
        <f t="shared" si="164"/>
        <v>Robin Walsh</v>
      </c>
      <c r="H901" t="s">
        <v>86</v>
      </c>
      <c r="I901" t="str">
        <f t="shared" si="165"/>
        <v>Female</v>
      </c>
      <c r="J901">
        <v>39</v>
      </c>
      <c r="K901">
        <f t="shared" si="166"/>
        <v>39</v>
      </c>
      <c r="L901" t="str">
        <f t="shared" si="167"/>
        <v>Second level</v>
      </c>
      <c r="M901" t="s">
        <v>55</v>
      </c>
      <c r="N901" t="s">
        <v>56</v>
      </c>
      <c r="O901" t="s">
        <v>82</v>
      </c>
      <c r="P901">
        <v>18</v>
      </c>
      <c r="Q901">
        <f t="shared" si="168"/>
        <v>18</v>
      </c>
      <c r="R901" t="s">
        <v>34</v>
      </c>
      <c r="S901" s="8" t="s">
        <v>34</v>
      </c>
      <c r="T901" s="9">
        <v>50</v>
      </c>
      <c r="U901" s="9">
        <f t="shared" si="169"/>
        <v>50</v>
      </c>
      <c r="V901" s="10">
        <v>50</v>
      </c>
      <c r="W901">
        <v>2.1</v>
      </c>
      <c r="X901" s="11">
        <f t="shared" si="170"/>
        <v>2.1</v>
      </c>
      <c r="Y901" t="s">
        <v>2102</v>
      </c>
      <c r="Z901" t="str">
        <f t="shared" si="171"/>
        <v>No</v>
      </c>
      <c r="AA901" t="str">
        <f t="shared" si="172"/>
        <v>No</v>
      </c>
      <c r="AB901" t="str">
        <f t="shared" si="173"/>
        <v>No</v>
      </c>
      <c r="AC901" s="12">
        <v>75</v>
      </c>
      <c r="AD901" s="12">
        <f t="shared" si="174"/>
        <v>75</v>
      </c>
    </row>
    <row r="902" spans="1:30" x14ac:dyDescent="0.3">
      <c r="A902" t="s">
        <v>1889</v>
      </c>
      <c r="B902" t="s">
        <v>1890</v>
      </c>
      <c r="C902" t="s">
        <v>2229</v>
      </c>
      <c r="D902" t="s">
        <v>2538</v>
      </c>
      <c r="E902" t="str">
        <f t="shared" si="164"/>
        <v>Yvonne Robinson</v>
      </c>
      <c r="H902" t="s">
        <v>86</v>
      </c>
      <c r="I902" t="str">
        <f t="shared" si="165"/>
        <v>Female</v>
      </c>
      <c r="J902">
        <v>37</v>
      </c>
      <c r="K902">
        <f t="shared" si="166"/>
        <v>37</v>
      </c>
      <c r="L902" t="str">
        <f t="shared" si="167"/>
        <v>Second level</v>
      </c>
      <c r="M902" t="s">
        <v>64</v>
      </c>
      <c r="N902" t="s">
        <v>24</v>
      </c>
      <c r="O902" t="s">
        <v>17</v>
      </c>
      <c r="P902">
        <v>18</v>
      </c>
      <c r="Q902">
        <f t="shared" si="168"/>
        <v>18</v>
      </c>
      <c r="R902" t="s">
        <v>76</v>
      </c>
      <c r="S902" s="8" t="s">
        <v>76</v>
      </c>
      <c r="T902" s="9">
        <v>40</v>
      </c>
      <c r="U902" s="9">
        <f t="shared" si="169"/>
        <v>40</v>
      </c>
      <c r="V902" s="10">
        <v>40</v>
      </c>
      <c r="W902">
        <v>4.5</v>
      </c>
      <c r="X902" s="11">
        <f t="shared" si="170"/>
        <v>4.5</v>
      </c>
      <c r="Y902" t="s">
        <v>170</v>
      </c>
      <c r="Z902" t="str">
        <f t="shared" si="171"/>
        <v>no</v>
      </c>
      <c r="AA902" t="str">
        <f t="shared" si="172"/>
        <v>no</v>
      </c>
      <c r="AB902" t="str">
        <f t="shared" si="173"/>
        <v>No</v>
      </c>
      <c r="AC902" s="12">
        <v>72</v>
      </c>
      <c r="AD902" s="12">
        <f t="shared" si="174"/>
        <v>72</v>
      </c>
    </row>
    <row r="903" spans="1:30" x14ac:dyDescent="0.3">
      <c r="A903" t="s">
        <v>1891</v>
      </c>
      <c r="B903" t="s">
        <v>1892</v>
      </c>
      <c r="C903" t="s">
        <v>2608</v>
      </c>
      <c r="D903" t="s">
        <v>2884</v>
      </c>
      <c r="E903" t="str">
        <f t="shared" si="164"/>
        <v>Kathleen Hendrix</v>
      </c>
      <c r="H903" t="s">
        <v>86</v>
      </c>
      <c r="I903" t="str">
        <f t="shared" si="165"/>
        <v>Female</v>
      </c>
      <c r="J903">
        <v>47</v>
      </c>
      <c r="K903">
        <f t="shared" si="166"/>
        <v>47</v>
      </c>
      <c r="L903" t="str">
        <f t="shared" si="167"/>
        <v>Third level</v>
      </c>
      <c r="M903" t="s">
        <v>134</v>
      </c>
      <c r="N903" t="s">
        <v>135</v>
      </c>
      <c r="O903" t="s">
        <v>82</v>
      </c>
      <c r="P903">
        <v>3</v>
      </c>
      <c r="Q903">
        <f t="shared" si="168"/>
        <v>3</v>
      </c>
      <c r="R903" t="s">
        <v>76</v>
      </c>
      <c r="S903" s="8" t="s">
        <v>76</v>
      </c>
      <c r="T903" s="9">
        <v>40</v>
      </c>
      <c r="U903" s="9">
        <f t="shared" si="169"/>
        <v>40</v>
      </c>
      <c r="V903" s="10">
        <v>40</v>
      </c>
      <c r="W903">
        <v>4.4000000000000004</v>
      </c>
      <c r="X903" s="11">
        <f t="shared" si="170"/>
        <v>4.4000000000000004</v>
      </c>
      <c r="Y903" t="s">
        <v>77</v>
      </c>
      <c r="Z903" t="str">
        <f t="shared" si="171"/>
        <v>yes</v>
      </c>
      <c r="AA903" t="str">
        <f t="shared" si="172"/>
        <v>yes</v>
      </c>
      <c r="AB903" t="str">
        <f t="shared" si="173"/>
        <v>Yes</v>
      </c>
      <c r="AC903" s="12">
        <v>92</v>
      </c>
      <c r="AD903" s="12">
        <f t="shared" si="174"/>
        <v>92</v>
      </c>
    </row>
    <row r="904" spans="1:30" x14ac:dyDescent="0.3">
      <c r="A904" t="s">
        <v>1893</v>
      </c>
      <c r="B904" t="s">
        <v>1894</v>
      </c>
      <c r="C904" t="s">
        <v>2151</v>
      </c>
      <c r="D904" t="s">
        <v>2250</v>
      </c>
      <c r="E904" t="str">
        <f t="shared" si="164"/>
        <v>Jennifer Baker</v>
      </c>
      <c r="H904" t="s">
        <v>22</v>
      </c>
      <c r="I904" t="str">
        <f t="shared" si="165"/>
        <v>Female</v>
      </c>
      <c r="J904">
        <v>53</v>
      </c>
      <c r="K904">
        <f t="shared" si="166"/>
        <v>53</v>
      </c>
      <c r="L904" t="str">
        <f t="shared" si="167"/>
        <v>Fourth level</v>
      </c>
      <c r="M904" t="s">
        <v>134</v>
      </c>
      <c r="N904" t="s">
        <v>135</v>
      </c>
      <c r="O904" t="s">
        <v>33</v>
      </c>
      <c r="P904">
        <v>32</v>
      </c>
      <c r="Q904">
        <f t="shared" si="168"/>
        <v>32</v>
      </c>
      <c r="R904" t="s">
        <v>325</v>
      </c>
      <c r="S904" s="8" t="s">
        <v>2097</v>
      </c>
      <c r="T904" s="9">
        <v>20</v>
      </c>
      <c r="U904" s="9">
        <f t="shared" si="169"/>
        <v>20</v>
      </c>
      <c r="V904" s="10">
        <v>20</v>
      </c>
      <c r="W904">
        <v>0</v>
      </c>
      <c r="X904" s="11">
        <f t="shared" si="170"/>
        <v>0</v>
      </c>
      <c r="Y904" t="s">
        <v>2102</v>
      </c>
      <c r="Z904" t="str">
        <f t="shared" si="171"/>
        <v>No</v>
      </c>
      <c r="AA904" t="str">
        <f t="shared" si="172"/>
        <v>No</v>
      </c>
      <c r="AB904" t="str">
        <f t="shared" si="173"/>
        <v>No</v>
      </c>
      <c r="AC904" s="12"/>
      <c r="AD904" s="12">
        <f t="shared" si="174"/>
        <v>80.833333333333329</v>
      </c>
    </row>
    <row r="905" spans="1:30" x14ac:dyDescent="0.3">
      <c r="A905" t="s">
        <v>1895</v>
      </c>
      <c r="B905" t="s">
        <v>1896</v>
      </c>
      <c r="C905" t="s">
        <v>2297</v>
      </c>
      <c r="D905" t="s">
        <v>2405</v>
      </c>
      <c r="E905" t="str">
        <f t="shared" si="164"/>
        <v>Kim Martinez</v>
      </c>
      <c r="H905" t="s">
        <v>43</v>
      </c>
      <c r="I905" t="str">
        <f t="shared" si="165"/>
        <v>Female</v>
      </c>
      <c r="J905">
        <v>53</v>
      </c>
      <c r="K905">
        <f t="shared" si="166"/>
        <v>53</v>
      </c>
      <c r="L905" t="str">
        <f t="shared" si="167"/>
        <v>Fourth level</v>
      </c>
      <c r="M905" t="s">
        <v>80</v>
      </c>
      <c r="N905" t="s">
        <v>81</v>
      </c>
      <c r="O905" t="s">
        <v>25</v>
      </c>
      <c r="P905">
        <v>19</v>
      </c>
      <c r="Q905">
        <f t="shared" si="168"/>
        <v>19</v>
      </c>
      <c r="R905" t="s">
        <v>325</v>
      </c>
      <c r="S905" s="8" t="s">
        <v>2097</v>
      </c>
      <c r="T905" s="9">
        <v>20</v>
      </c>
      <c r="U905" s="9">
        <f t="shared" si="169"/>
        <v>20</v>
      </c>
      <c r="V905" s="10">
        <v>20</v>
      </c>
      <c r="W905">
        <v>1.3</v>
      </c>
      <c r="X905" s="11">
        <f t="shared" si="170"/>
        <v>1.3</v>
      </c>
      <c r="Y905" t="s">
        <v>2102</v>
      </c>
      <c r="Z905" t="str">
        <f t="shared" si="171"/>
        <v>No</v>
      </c>
      <c r="AA905" t="str">
        <f t="shared" si="172"/>
        <v>No</v>
      </c>
      <c r="AB905" t="str">
        <f t="shared" si="173"/>
        <v>No</v>
      </c>
      <c r="AC905" s="12"/>
      <c r="AD905" s="12">
        <f t="shared" si="174"/>
        <v>80.833333333333329</v>
      </c>
    </row>
    <row r="906" spans="1:30" x14ac:dyDescent="0.3">
      <c r="A906" t="s">
        <v>1897</v>
      </c>
      <c r="B906" t="s">
        <v>1898</v>
      </c>
      <c r="C906" t="s">
        <v>2251</v>
      </c>
      <c r="D906" t="s">
        <v>2464</v>
      </c>
      <c r="E906" t="str">
        <f t="shared" si="164"/>
        <v>Andrew Little</v>
      </c>
      <c r="H906" t="s">
        <v>30</v>
      </c>
      <c r="I906" t="str">
        <f t="shared" si="165"/>
        <v>Male</v>
      </c>
      <c r="J906">
        <v>21</v>
      </c>
      <c r="K906">
        <f t="shared" si="166"/>
        <v>21</v>
      </c>
      <c r="L906" t="str">
        <f t="shared" si="167"/>
        <v>First level</v>
      </c>
      <c r="M906" t="s">
        <v>103</v>
      </c>
      <c r="N906" t="s">
        <v>104</v>
      </c>
      <c r="O906" t="s">
        <v>57</v>
      </c>
      <c r="P906">
        <v>2</v>
      </c>
      <c r="Q906">
        <f t="shared" si="168"/>
        <v>2</v>
      </c>
      <c r="R906" t="s">
        <v>34</v>
      </c>
      <c r="S906" s="8" t="s">
        <v>34</v>
      </c>
      <c r="T906" s="9">
        <v>50</v>
      </c>
      <c r="U906" s="9">
        <f t="shared" si="169"/>
        <v>50</v>
      </c>
      <c r="V906" s="10">
        <v>50</v>
      </c>
      <c r="W906">
        <v>2.6</v>
      </c>
      <c r="X906" s="11">
        <f t="shared" si="170"/>
        <v>2.6</v>
      </c>
      <c r="Y906" t="s">
        <v>2102</v>
      </c>
      <c r="Z906" t="str">
        <f t="shared" si="171"/>
        <v>No</v>
      </c>
      <c r="AA906" t="str">
        <f t="shared" si="172"/>
        <v>No</v>
      </c>
      <c r="AB906" t="str">
        <f t="shared" si="173"/>
        <v>No</v>
      </c>
      <c r="AC906" s="12">
        <v>86</v>
      </c>
      <c r="AD906" s="12">
        <f t="shared" si="174"/>
        <v>86</v>
      </c>
    </row>
    <row r="907" spans="1:30" x14ac:dyDescent="0.3">
      <c r="A907" t="s">
        <v>1899</v>
      </c>
      <c r="B907" t="s">
        <v>1900</v>
      </c>
      <c r="C907" t="s">
        <v>2224</v>
      </c>
      <c r="D907" t="s">
        <v>2132</v>
      </c>
      <c r="E907" t="str">
        <f t="shared" si="164"/>
        <v>Kelly Shelton</v>
      </c>
      <c r="H907" t="s">
        <v>43</v>
      </c>
      <c r="I907" t="str">
        <f t="shared" si="165"/>
        <v>Female</v>
      </c>
      <c r="J907">
        <v>35</v>
      </c>
      <c r="K907">
        <f t="shared" si="166"/>
        <v>35</v>
      </c>
      <c r="L907" t="str">
        <f t="shared" si="167"/>
        <v>Second level</v>
      </c>
      <c r="M907" t="s">
        <v>75</v>
      </c>
      <c r="N907" t="s">
        <v>24</v>
      </c>
      <c r="O907" t="s">
        <v>17</v>
      </c>
      <c r="P907">
        <v>0</v>
      </c>
      <c r="Q907">
        <f t="shared" si="168"/>
        <v>0</v>
      </c>
      <c r="R907" t="s">
        <v>65</v>
      </c>
      <c r="S907" s="8" t="s">
        <v>65</v>
      </c>
      <c r="T907" s="9"/>
      <c r="U907" s="9">
        <f t="shared" si="169"/>
        <v>55.393258426966291</v>
      </c>
      <c r="V907" s="10">
        <v>55.393258426966291</v>
      </c>
      <c r="X907" s="11">
        <f t="shared" si="170"/>
        <v>2.403571428571428</v>
      </c>
      <c r="Y907" t="s">
        <v>2103</v>
      </c>
      <c r="Z907" t="str">
        <f t="shared" si="171"/>
        <v>Yes</v>
      </c>
      <c r="AA907" t="str">
        <f t="shared" si="172"/>
        <v>Yes</v>
      </c>
      <c r="AB907" t="str">
        <f t="shared" si="173"/>
        <v>Yes</v>
      </c>
      <c r="AC907" s="12">
        <v>85</v>
      </c>
      <c r="AD907" s="12">
        <f t="shared" si="174"/>
        <v>85</v>
      </c>
    </row>
    <row r="908" spans="1:30" x14ac:dyDescent="0.3">
      <c r="A908" t="s">
        <v>1901</v>
      </c>
      <c r="B908" t="s">
        <v>1902</v>
      </c>
      <c r="C908" t="s">
        <v>2336</v>
      </c>
      <c r="D908" t="s">
        <v>2650</v>
      </c>
      <c r="E908" t="str">
        <f t="shared" si="164"/>
        <v>Steven Duncan</v>
      </c>
      <c r="H908" t="s">
        <v>107</v>
      </c>
      <c r="I908" t="str">
        <f t="shared" si="165"/>
        <v>Male</v>
      </c>
      <c r="J908">
        <v>31</v>
      </c>
      <c r="K908">
        <f t="shared" si="166"/>
        <v>31</v>
      </c>
      <c r="L908" t="str">
        <f t="shared" si="167"/>
        <v>Second level</v>
      </c>
      <c r="M908" t="s">
        <v>80</v>
      </c>
      <c r="N908" t="s">
        <v>81</v>
      </c>
      <c r="O908" t="s">
        <v>124</v>
      </c>
      <c r="P908">
        <v>13</v>
      </c>
      <c r="Q908">
        <f t="shared" si="168"/>
        <v>13</v>
      </c>
      <c r="R908" t="s">
        <v>40</v>
      </c>
      <c r="S908" s="8" t="s">
        <v>40</v>
      </c>
      <c r="T908" s="9">
        <v>40</v>
      </c>
      <c r="U908" s="9">
        <f t="shared" si="169"/>
        <v>40</v>
      </c>
      <c r="V908" s="10">
        <v>40</v>
      </c>
      <c r="W908">
        <v>1.2</v>
      </c>
      <c r="X908" s="11">
        <f t="shared" si="170"/>
        <v>1.2</v>
      </c>
      <c r="Y908" t="s">
        <v>2102</v>
      </c>
      <c r="Z908" t="str">
        <f t="shared" si="171"/>
        <v>No</v>
      </c>
      <c r="AA908" t="str">
        <f t="shared" si="172"/>
        <v>No</v>
      </c>
      <c r="AB908" t="str">
        <f t="shared" si="173"/>
        <v>No</v>
      </c>
      <c r="AC908" s="12">
        <v>62</v>
      </c>
      <c r="AD908" s="12">
        <f t="shared" si="174"/>
        <v>62</v>
      </c>
    </row>
    <row r="909" spans="1:30" x14ac:dyDescent="0.3">
      <c r="A909" t="s">
        <v>1903</v>
      </c>
      <c r="B909" t="s">
        <v>1904</v>
      </c>
      <c r="C909" t="s">
        <v>2413</v>
      </c>
      <c r="D909" t="s">
        <v>2885</v>
      </c>
      <c r="E909" t="str">
        <f t="shared" si="164"/>
        <v>Kristen Haney</v>
      </c>
      <c r="H909" t="s">
        <v>86</v>
      </c>
      <c r="I909" t="str">
        <f t="shared" si="165"/>
        <v>Female</v>
      </c>
      <c r="J909">
        <v>55</v>
      </c>
      <c r="K909">
        <f t="shared" si="166"/>
        <v>55</v>
      </c>
      <c r="L909" t="str">
        <f t="shared" si="167"/>
        <v>Fourth level</v>
      </c>
      <c r="M909" t="s">
        <v>122</v>
      </c>
      <c r="N909" t="s">
        <v>123</v>
      </c>
      <c r="O909" t="s">
        <v>49</v>
      </c>
      <c r="P909">
        <v>2</v>
      </c>
      <c r="Q909">
        <f t="shared" si="168"/>
        <v>2</v>
      </c>
      <c r="R909" t="s">
        <v>119</v>
      </c>
      <c r="S909" s="8" t="s">
        <v>2096</v>
      </c>
      <c r="T909" s="9">
        <v>30</v>
      </c>
      <c r="U909" s="9">
        <f t="shared" si="169"/>
        <v>30</v>
      </c>
      <c r="V909" s="10">
        <v>30</v>
      </c>
      <c r="W909">
        <v>3.1</v>
      </c>
      <c r="X909" s="11">
        <f t="shared" si="170"/>
        <v>3.1</v>
      </c>
      <c r="Y909" t="s">
        <v>2103</v>
      </c>
      <c r="Z909" t="str">
        <f t="shared" si="171"/>
        <v>Yes</v>
      </c>
      <c r="AA909" t="str">
        <f t="shared" si="172"/>
        <v>Yes</v>
      </c>
      <c r="AB909" t="str">
        <f t="shared" si="173"/>
        <v>Yes</v>
      </c>
      <c r="AC909" s="12">
        <v>91</v>
      </c>
      <c r="AD909" s="12">
        <f t="shared" si="174"/>
        <v>91</v>
      </c>
    </row>
    <row r="910" spans="1:30" x14ac:dyDescent="0.3">
      <c r="A910" t="s">
        <v>1905</v>
      </c>
      <c r="B910" t="s">
        <v>1906</v>
      </c>
      <c r="C910" t="s">
        <v>2711</v>
      </c>
      <c r="D910" t="s">
        <v>2886</v>
      </c>
      <c r="E910" t="str">
        <f t="shared" si="164"/>
        <v>Kathy Reese</v>
      </c>
      <c r="H910" t="s">
        <v>86</v>
      </c>
      <c r="I910" t="str">
        <f t="shared" si="165"/>
        <v>Female</v>
      </c>
      <c r="J910">
        <v>59</v>
      </c>
      <c r="K910">
        <f t="shared" si="166"/>
        <v>59</v>
      </c>
      <c r="L910" t="str">
        <f t="shared" si="167"/>
        <v>Fourth level</v>
      </c>
      <c r="M910" t="s">
        <v>70</v>
      </c>
      <c r="N910" t="s">
        <v>71</v>
      </c>
      <c r="O910" t="s">
        <v>39</v>
      </c>
      <c r="P910">
        <v>11</v>
      </c>
      <c r="Q910">
        <f t="shared" si="168"/>
        <v>11</v>
      </c>
      <c r="R910" t="s">
        <v>181</v>
      </c>
      <c r="S910" s="8" t="s">
        <v>181</v>
      </c>
      <c r="T910" s="9">
        <v>75</v>
      </c>
      <c r="U910" s="9">
        <f t="shared" si="169"/>
        <v>75</v>
      </c>
      <c r="V910" s="10">
        <v>75</v>
      </c>
      <c r="W910">
        <v>2.2999999999999998</v>
      </c>
      <c r="X910" s="11">
        <f t="shared" si="170"/>
        <v>2.2999999999999998</v>
      </c>
      <c r="Y910" t="s">
        <v>2103</v>
      </c>
      <c r="Z910" t="str">
        <f t="shared" si="171"/>
        <v>Yes</v>
      </c>
      <c r="AA910" t="str">
        <f t="shared" si="172"/>
        <v>Yes</v>
      </c>
      <c r="AB910" t="str">
        <f t="shared" si="173"/>
        <v>Yes</v>
      </c>
      <c r="AC910" s="12">
        <v>80</v>
      </c>
      <c r="AD910" s="12">
        <f t="shared" si="174"/>
        <v>80</v>
      </c>
    </row>
    <row r="911" spans="1:30" x14ac:dyDescent="0.3">
      <c r="A911" t="s">
        <v>1907</v>
      </c>
      <c r="B911" t="s">
        <v>1908</v>
      </c>
      <c r="C911" t="s">
        <v>2336</v>
      </c>
      <c r="D911" t="s">
        <v>2445</v>
      </c>
      <c r="E911" t="str">
        <f t="shared" si="164"/>
        <v>Steven Murphy</v>
      </c>
      <c r="H911" t="s">
        <v>69</v>
      </c>
      <c r="I911" t="str">
        <f t="shared" si="165"/>
        <v>Male</v>
      </c>
      <c r="J911">
        <v>59</v>
      </c>
      <c r="K911">
        <f t="shared" si="166"/>
        <v>59</v>
      </c>
      <c r="L911" t="str">
        <f t="shared" si="167"/>
        <v>Fourth level</v>
      </c>
      <c r="M911" t="s">
        <v>145</v>
      </c>
      <c r="N911" t="s">
        <v>146</v>
      </c>
      <c r="O911" t="s">
        <v>87</v>
      </c>
      <c r="P911">
        <v>17</v>
      </c>
      <c r="Q911">
        <f t="shared" si="168"/>
        <v>17</v>
      </c>
      <c r="R911" t="s">
        <v>18</v>
      </c>
      <c r="S911" s="8" t="s">
        <v>18</v>
      </c>
      <c r="T911" s="9">
        <v>100</v>
      </c>
      <c r="U911" s="9">
        <f t="shared" si="169"/>
        <v>100</v>
      </c>
      <c r="V911" s="10">
        <v>100</v>
      </c>
      <c r="W911">
        <v>4</v>
      </c>
      <c r="X911" s="11">
        <f t="shared" si="170"/>
        <v>4</v>
      </c>
      <c r="Y911" t="s">
        <v>170</v>
      </c>
      <c r="Z911" t="str">
        <f t="shared" si="171"/>
        <v>no</v>
      </c>
      <c r="AA911" t="str">
        <f t="shared" si="172"/>
        <v>no</v>
      </c>
      <c r="AB911" t="str">
        <f t="shared" si="173"/>
        <v>No</v>
      </c>
      <c r="AC911" s="12">
        <v>72</v>
      </c>
      <c r="AD911" s="12">
        <f t="shared" si="174"/>
        <v>72</v>
      </c>
    </row>
    <row r="912" spans="1:30" x14ac:dyDescent="0.3">
      <c r="A912" t="s">
        <v>1909</v>
      </c>
      <c r="B912" t="s">
        <v>1910</v>
      </c>
      <c r="C912" t="s">
        <v>2371</v>
      </c>
      <c r="D912" t="s">
        <v>2887</v>
      </c>
      <c r="E912" t="str">
        <f t="shared" si="164"/>
        <v>William Hartman</v>
      </c>
      <c r="H912" t="s">
        <v>107</v>
      </c>
      <c r="I912" t="str">
        <f t="shared" si="165"/>
        <v>Male</v>
      </c>
      <c r="J912">
        <v>47</v>
      </c>
      <c r="K912">
        <f t="shared" si="166"/>
        <v>47</v>
      </c>
      <c r="L912" t="str">
        <f t="shared" si="167"/>
        <v>Third level</v>
      </c>
      <c r="M912" t="s">
        <v>103</v>
      </c>
      <c r="N912" t="s">
        <v>104</v>
      </c>
      <c r="O912" t="s">
        <v>17</v>
      </c>
      <c r="P912">
        <v>10</v>
      </c>
      <c r="Q912">
        <f t="shared" si="168"/>
        <v>10</v>
      </c>
      <c r="R912" t="s">
        <v>181</v>
      </c>
      <c r="S912" s="8" t="s">
        <v>181</v>
      </c>
      <c r="T912" s="9">
        <v>75</v>
      </c>
      <c r="U912" s="9">
        <f t="shared" si="169"/>
        <v>75</v>
      </c>
      <c r="V912" s="10">
        <v>75</v>
      </c>
      <c r="W912">
        <v>1.9</v>
      </c>
      <c r="X912" s="11">
        <f t="shared" si="170"/>
        <v>1.9</v>
      </c>
      <c r="Y912" t="s">
        <v>65</v>
      </c>
      <c r="AA912" t="str">
        <f t="shared" si="172"/>
        <v>Unknown</v>
      </c>
      <c r="AB912" t="str">
        <f t="shared" si="173"/>
        <v>Unknown</v>
      </c>
      <c r="AC912" s="12"/>
      <c r="AD912" s="12">
        <f t="shared" si="174"/>
        <v>80.948717948717942</v>
      </c>
    </row>
    <row r="913" spans="1:30" x14ac:dyDescent="0.3">
      <c r="A913" t="s">
        <v>1911</v>
      </c>
      <c r="B913" t="s">
        <v>1912</v>
      </c>
      <c r="C913" t="s">
        <v>2888</v>
      </c>
      <c r="D913" t="s">
        <v>2479</v>
      </c>
      <c r="E913" t="str">
        <f t="shared" si="164"/>
        <v>Sonya Haley</v>
      </c>
      <c r="H913" t="s">
        <v>43</v>
      </c>
      <c r="I913" t="str">
        <f t="shared" si="165"/>
        <v>Female</v>
      </c>
      <c r="J913">
        <v>53</v>
      </c>
      <c r="K913">
        <f t="shared" si="166"/>
        <v>53</v>
      </c>
      <c r="L913" t="str">
        <f t="shared" si="167"/>
        <v>Fourth level</v>
      </c>
      <c r="M913" t="s">
        <v>164</v>
      </c>
      <c r="N913" t="s">
        <v>165</v>
      </c>
      <c r="O913" t="s">
        <v>124</v>
      </c>
      <c r="P913">
        <v>26</v>
      </c>
      <c r="Q913">
        <f t="shared" si="168"/>
        <v>26</v>
      </c>
      <c r="R913" t="s">
        <v>92</v>
      </c>
      <c r="S913" s="8" t="s">
        <v>92</v>
      </c>
      <c r="T913" s="9">
        <v>75</v>
      </c>
      <c r="U913" s="9">
        <f t="shared" si="169"/>
        <v>75</v>
      </c>
      <c r="V913" s="10">
        <v>75</v>
      </c>
      <c r="W913">
        <v>2.4</v>
      </c>
      <c r="X913" s="11">
        <f t="shared" si="170"/>
        <v>2.4</v>
      </c>
      <c r="Y913" t="s">
        <v>77</v>
      </c>
      <c r="Z913" t="str">
        <f t="shared" si="171"/>
        <v>yes</v>
      </c>
      <c r="AA913" t="str">
        <f t="shared" si="172"/>
        <v>yes</v>
      </c>
      <c r="AB913" t="str">
        <f t="shared" si="173"/>
        <v>Yes</v>
      </c>
      <c r="AC913" s="12"/>
      <c r="AD913" s="12">
        <f t="shared" si="174"/>
        <v>80.948717948717942</v>
      </c>
    </row>
    <row r="914" spans="1:30" x14ac:dyDescent="0.3">
      <c r="A914" t="s">
        <v>1913</v>
      </c>
      <c r="B914" t="s">
        <v>530</v>
      </c>
      <c r="C914" t="s">
        <v>2165</v>
      </c>
      <c r="D914" t="s">
        <v>2426</v>
      </c>
      <c r="E914" t="str">
        <f t="shared" si="164"/>
        <v>Robert Evans</v>
      </c>
      <c r="H914" t="s">
        <v>69</v>
      </c>
      <c r="I914" t="str">
        <f t="shared" si="165"/>
        <v>Male</v>
      </c>
      <c r="J914">
        <v>49</v>
      </c>
      <c r="K914">
        <f t="shared" si="166"/>
        <v>49</v>
      </c>
      <c r="L914" t="str">
        <f t="shared" si="167"/>
        <v>Third level</v>
      </c>
      <c r="M914" t="s">
        <v>164</v>
      </c>
      <c r="N914" t="s">
        <v>165</v>
      </c>
      <c r="O914" t="s">
        <v>57</v>
      </c>
      <c r="Q914">
        <f t="shared" si="168"/>
        <v>13</v>
      </c>
      <c r="R914" t="s">
        <v>50</v>
      </c>
      <c r="S914" s="8" t="s">
        <v>50</v>
      </c>
      <c r="T914" s="9">
        <v>30</v>
      </c>
      <c r="U914" s="9">
        <f t="shared" si="169"/>
        <v>30</v>
      </c>
      <c r="V914" s="10">
        <v>30</v>
      </c>
      <c r="X914" s="11">
        <f t="shared" si="170"/>
        <v>2.3974358974358969</v>
      </c>
      <c r="Y914" t="s">
        <v>77</v>
      </c>
      <c r="Z914" t="str">
        <f t="shared" si="171"/>
        <v>yes</v>
      </c>
      <c r="AA914" t="str">
        <f t="shared" si="172"/>
        <v>yes</v>
      </c>
      <c r="AB914" t="str">
        <f t="shared" si="173"/>
        <v>Yes</v>
      </c>
      <c r="AC914" s="12">
        <v>74</v>
      </c>
      <c r="AD914" s="12">
        <f t="shared" si="174"/>
        <v>74</v>
      </c>
    </row>
    <row r="915" spans="1:30" x14ac:dyDescent="0.3">
      <c r="A915" t="s">
        <v>1914</v>
      </c>
      <c r="B915" t="s">
        <v>1915</v>
      </c>
      <c r="C915" t="s">
        <v>2357</v>
      </c>
      <c r="D915" t="s">
        <v>2267</v>
      </c>
      <c r="E915" t="str">
        <f t="shared" si="164"/>
        <v>Patricia Richardson</v>
      </c>
      <c r="H915" t="s">
        <v>86</v>
      </c>
      <c r="I915" t="str">
        <f t="shared" si="165"/>
        <v>Female</v>
      </c>
      <c r="J915">
        <v>50</v>
      </c>
      <c r="K915">
        <f t="shared" si="166"/>
        <v>50</v>
      </c>
      <c r="L915" t="str">
        <f t="shared" si="167"/>
        <v>Third level</v>
      </c>
      <c r="M915" t="s">
        <v>164</v>
      </c>
      <c r="N915" t="s">
        <v>165</v>
      </c>
      <c r="O915" t="s">
        <v>25</v>
      </c>
      <c r="P915">
        <v>8</v>
      </c>
      <c r="Q915">
        <f t="shared" si="168"/>
        <v>8</v>
      </c>
      <c r="R915" t="s">
        <v>108</v>
      </c>
      <c r="S915" s="8" t="s">
        <v>2095</v>
      </c>
      <c r="T915" s="9">
        <v>50</v>
      </c>
      <c r="U915" s="9">
        <f t="shared" si="169"/>
        <v>50</v>
      </c>
      <c r="V915" s="10">
        <v>50</v>
      </c>
      <c r="W915">
        <v>3.7</v>
      </c>
      <c r="X915" s="11">
        <f t="shared" si="170"/>
        <v>3.7</v>
      </c>
      <c r="Y915" t="s">
        <v>2103</v>
      </c>
      <c r="Z915" t="str">
        <f t="shared" si="171"/>
        <v>Yes</v>
      </c>
      <c r="AA915" t="str">
        <f t="shared" si="172"/>
        <v>Yes</v>
      </c>
      <c r="AB915" t="str">
        <f t="shared" si="173"/>
        <v>Yes</v>
      </c>
      <c r="AC915" s="12">
        <v>82</v>
      </c>
      <c r="AD915" s="12">
        <f t="shared" si="174"/>
        <v>82</v>
      </c>
    </row>
    <row r="916" spans="1:30" x14ac:dyDescent="0.3">
      <c r="A916" t="s">
        <v>1916</v>
      </c>
      <c r="B916" t="s">
        <v>1917</v>
      </c>
      <c r="C916" t="s">
        <v>2889</v>
      </c>
      <c r="D916" t="s">
        <v>2354</v>
      </c>
      <c r="E916" t="str">
        <f t="shared" si="164"/>
        <v>Carolyn Lopez</v>
      </c>
      <c r="H916" t="s">
        <v>43</v>
      </c>
      <c r="I916" t="str">
        <f t="shared" si="165"/>
        <v>Female</v>
      </c>
      <c r="J916">
        <v>59</v>
      </c>
      <c r="K916">
        <f t="shared" si="166"/>
        <v>59</v>
      </c>
      <c r="L916" t="str">
        <f t="shared" si="167"/>
        <v>Fourth level</v>
      </c>
      <c r="M916" t="s">
        <v>122</v>
      </c>
      <c r="N916" t="s">
        <v>123</v>
      </c>
      <c r="O916" t="s">
        <v>124</v>
      </c>
      <c r="P916">
        <v>22</v>
      </c>
      <c r="Q916">
        <f t="shared" si="168"/>
        <v>22</v>
      </c>
      <c r="R916" t="s">
        <v>26</v>
      </c>
      <c r="S916" s="8" t="s">
        <v>18</v>
      </c>
      <c r="T916" s="9">
        <v>100</v>
      </c>
      <c r="U916" s="9">
        <f t="shared" si="169"/>
        <v>100</v>
      </c>
      <c r="V916" s="10">
        <v>100</v>
      </c>
      <c r="W916">
        <v>1.1000000000000001</v>
      </c>
      <c r="X916" s="11">
        <f t="shared" si="170"/>
        <v>1.1000000000000001</v>
      </c>
      <c r="Y916" t="s">
        <v>170</v>
      </c>
      <c r="Z916" t="str">
        <f t="shared" si="171"/>
        <v>no</v>
      </c>
      <c r="AA916" t="str">
        <f t="shared" si="172"/>
        <v>no</v>
      </c>
      <c r="AB916" t="str">
        <f t="shared" si="173"/>
        <v>No</v>
      </c>
      <c r="AC916" s="12">
        <v>85</v>
      </c>
      <c r="AD916" s="12">
        <f t="shared" si="174"/>
        <v>85</v>
      </c>
    </row>
    <row r="917" spans="1:30" x14ac:dyDescent="0.3">
      <c r="A917" t="s">
        <v>1918</v>
      </c>
      <c r="B917" t="s">
        <v>1919</v>
      </c>
      <c r="C917" t="s">
        <v>2198</v>
      </c>
      <c r="D917" t="s">
        <v>2139</v>
      </c>
      <c r="E917" t="str">
        <f t="shared" si="164"/>
        <v>Kyle Burns</v>
      </c>
      <c r="H917" t="s">
        <v>107</v>
      </c>
      <c r="I917" t="str">
        <f t="shared" si="165"/>
        <v>Male</v>
      </c>
      <c r="J917">
        <v>33</v>
      </c>
      <c r="K917">
        <f t="shared" si="166"/>
        <v>33</v>
      </c>
      <c r="L917" t="str">
        <f t="shared" si="167"/>
        <v>Second level</v>
      </c>
      <c r="M917" t="s">
        <v>70</v>
      </c>
      <c r="N917" t="s">
        <v>71</v>
      </c>
      <c r="O917" t="s">
        <v>57</v>
      </c>
      <c r="P917">
        <v>8</v>
      </c>
      <c r="Q917">
        <f t="shared" si="168"/>
        <v>8</v>
      </c>
      <c r="R917" t="s">
        <v>58</v>
      </c>
      <c r="S917" s="8" t="s">
        <v>2093</v>
      </c>
      <c r="T917" s="9">
        <v>75</v>
      </c>
      <c r="U917" s="9">
        <f t="shared" si="169"/>
        <v>75</v>
      </c>
      <c r="V917" s="10">
        <v>75</v>
      </c>
      <c r="W917">
        <v>2.2999999999999998</v>
      </c>
      <c r="X917" s="11">
        <f t="shared" si="170"/>
        <v>2.2999999999999998</v>
      </c>
      <c r="Y917" t="s">
        <v>2103</v>
      </c>
      <c r="Z917" t="str">
        <f t="shared" si="171"/>
        <v>Yes</v>
      </c>
      <c r="AA917" t="str">
        <f t="shared" si="172"/>
        <v>Yes</v>
      </c>
      <c r="AB917" t="str">
        <f t="shared" si="173"/>
        <v>Yes</v>
      </c>
      <c r="AC917" s="12">
        <v>68</v>
      </c>
      <c r="AD917" s="12">
        <f t="shared" si="174"/>
        <v>68</v>
      </c>
    </row>
    <row r="918" spans="1:30" x14ac:dyDescent="0.3">
      <c r="A918" t="s">
        <v>1920</v>
      </c>
      <c r="B918" t="s">
        <v>1921</v>
      </c>
      <c r="C918" t="s">
        <v>2716</v>
      </c>
      <c r="D918" t="s">
        <v>2109</v>
      </c>
      <c r="E918" t="str">
        <f t="shared" si="164"/>
        <v>Margaret Garcia</v>
      </c>
      <c r="H918" t="s">
        <v>86</v>
      </c>
      <c r="I918" t="str">
        <f t="shared" si="165"/>
        <v>Female</v>
      </c>
      <c r="J918">
        <v>45</v>
      </c>
      <c r="K918">
        <f t="shared" si="166"/>
        <v>45</v>
      </c>
      <c r="L918" t="str">
        <f t="shared" si="167"/>
        <v>Third level</v>
      </c>
      <c r="M918" t="s">
        <v>138</v>
      </c>
      <c r="N918" t="s">
        <v>24</v>
      </c>
      <c r="O918" t="s">
        <v>39</v>
      </c>
      <c r="P918">
        <v>22</v>
      </c>
      <c r="Q918">
        <f t="shared" si="168"/>
        <v>22</v>
      </c>
      <c r="R918" t="s">
        <v>76</v>
      </c>
      <c r="S918" s="8" t="s">
        <v>76</v>
      </c>
      <c r="T918" s="9">
        <v>40</v>
      </c>
      <c r="U918" s="9">
        <f t="shared" si="169"/>
        <v>40</v>
      </c>
      <c r="V918" s="10">
        <v>40</v>
      </c>
      <c r="W918">
        <v>3.7</v>
      </c>
      <c r="X918" s="11">
        <f t="shared" si="170"/>
        <v>3.7</v>
      </c>
      <c r="Y918" t="s">
        <v>2103</v>
      </c>
      <c r="Z918" t="str">
        <f t="shared" si="171"/>
        <v>Yes</v>
      </c>
      <c r="AA918" t="str">
        <f t="shared" si="172"/>
        <v>Yes</v>
      </c>
      <c r="AB918" t="str">
        <f t="shared" si="173"/>
        <v>Yes</v>
      </c>
      <c r="AC918" s="12">
        <v>99</v>
      </c>
      <c r="AD918" s="12">
        <f t="shared" si="174"/>
        <v>99</v>
      </c>
    </row>
    <row r="919" spans="1:30" x14ac:dyDescent="0.3">
      <c r="A919" t="s">
        <v>1922</v>
      </c>
      <c r="B919" t="s">
        <v>1923</v>
      </c>
      <c r="C919" t="s">
        <v>2536</v>
      </c>
      <c r="D919" t="s">
        <v>2797</v>
      </c>
      <c r="E919" t="str">
        <f t="shared" si="164"/>
        <v>Brittany Barker</v>
      </c>
      <c r="H919" t="s">
        <v>43</v>
      </c>
      <c r="I919" t="str">
        <f t="shared" si="165"/>
        <v>Female</v>
      </c>
      <c r="J919">
        <v>36</v>
      </c>
      <c r="K919">
        <f t="shared" si="166"/>
        <v>36</v>
      </c>
      <c r="L919" t="str">
        <f t="shared" si="167"/>
        <v>Second level</v>
      </c>
      <c r="M919" t="s">
        <v>15</v>
      </c>
      <c r="N919" t="s">
        <v>16</v>
      </c>
      <c r="O919" t="s">
        <v>33</v>
      </c>
      <c r="P919">
        <v>14</v>
      </c>
      <c r="Q919">
        <f t="shared" si="168"/>
        <v>14</v>
      </c>
      <c r="R919" t="s">
        <v>44</v>
      </c>
      <c r="S919" s="8" t="s">
        <v>44</v>
      </c>
      <c r="T919" s="9">
        <v>30</v>
      </c>
      <c r="U919" s="9">
        <f t="shared" si="169"/>
        <v>30</v>
      </c>
      <c r="V919" s="10">
        <v>30</v>
      </c>
      <c r="W919">
        <v>1.9</v>
      </c>
      <c r="X919" s="11">
        <f t="shared" si="170"/>
        <v>1.9</v>
      </c>
      <c r="Y919" t="s">
        <v>2102</v>
      </c>
      <c r="Z919" t="str">
        <f t="shared" si="171"/>
        <v>No</v>
      </c>
      <c r="AA919" t="str">
        <f t="shared" si="172"/>
        <v>No</v>
      </c>
      <c r="AB919" t="str">
        <f t="shared" si="173"/>
        <v>No</v>
      </c>
      <c r="AC919" s="12">
        <v>62</v>
      </c>
      <c r="AD919" s="12">
        <f t="shared" si="174"/>
        <v>62</v>
      </c>
    </row>
    <row r="920" spans="1:30" x14ac:dyDescent="0.3">
      <c r="A920" t="s">
        <v>1924</v>
      </c>
      <c r="B920" t="s">
        <v>1925</v>
      </c>
      <c r="C920" t="s">
        <v>2266</v>
      </c>
      <c r="D920" t="s">
        <v>2303</v>
      </c>
      <c r="E920" t="str">
        <f t="shared" si="164"/>
        <v>Paul Campbell</v>
      </c>
      <c r="H920" t="s">
        <v>30</v>
      </c>
      <c r="I920" t="str">
        <f t="shared" si="165"/>
        <v>Male</v>
      </c>
      <c r="J920">
        <v>46</v>
      </c>
      <c r="K920">
        <f t="shared" si="166"/>
        <v>46</v>
      </c>
      <c r="L920" t="str">
        <f t="shared" si="167"/>
        <v>Third level</v>
      </c>
      <c r="M920" t="s">
        <v>164</v>
      </c>
      <c r="N920" t="s">
        <v>165</v>
      </c>
      <c r="O920" t="s">
        <v>82</v>
      </c>
      <c r="P920">
        <v>6</v>
      </c>
      <c r="Q920">
        <f t="shared" si="168"/>
        <v>6</v>
      </c>
      <c r="R920" t="s">
        <v>44</v>
      </c>
      <c r="S920" s="8" t="s">
        <v>44</v>
      </c>
      <c r="T920" s="9">
        <v>30</v>
      </c>
      <c r="U920" s="9">
        <f t="shared" si="169"/>
        <v>30</v>
      </c>
      <c r="V920" s="10">
        <v>30</v>
      </c>
      <c r="W920">
        <v>1.5</v>
      </c>
      <c r="X920" s="11">
        <f t="shared" si="170"/>
        <v>1.5</v>
      </c>
      <c r="Y920" t="s">
        <v>2102</v>
      </c>
      <c r="Z920" t="str">
        <f t="shared" si="171"/>
        <v>No</v>
      </c>
      <c r="AA920" t="str">
        <f t="shared" si="172"/>
        <v>No</v>
      </c>
      <c r="AB920" t="str">
        <f t="shared" si="173"/>
        <v>No</v>
      </c>
      <c r="AC920" s="12"/>
      <c r="AD920" s="12">
        <f t="shared" si="174"/>
        <v>81.166666666666671</v>
      </c>
    </row>
    <row r="921" spans="1:30" x14ac:dyDescent="0.3">
      <c r="A921" t="s">
        <v>1926</v>
      </c>
      <c r="B921" t="s">
        <v>1927</v>
      </c>
      <c r="C921" t="s">
        <v>2173</v>
      </c>
      <c r="D921" t="s">
        <v>2890</v>
      </c>
      <c r="E921" t="str">
        <f t="shared" si="164"/>
        <v>Amy Morrow</v>
      </c>
      <c r="H921" t="s">
        <v>43</v>
      </c>
      <c r="I921" t="str">
        <f t="shared" si="165"/>
        <v>Female</v>
      </c>
      <c r="J921">
        <v>53</v>
      </c>
      <c r="K921">
        <f t="shared" si="166"/>
        <v>53</v>
      </c>
      <c r="L921" t="str">
        <f t="shared" si="167"/>
        <v>Fourth level</v>
      </c>
      <c r="M921" t="s">
        <v>70</v>
      </c>
      <c r="N921" t="s">
        <v>71</v>
      </c>
      <c r="O921" t="s">
        <v>33</v>
      </c>
      <c r="P921">
        <v>14</v>
      </c>
      <c r="Q921">
        <f t="shared" si="168"/>
        <v>14</v>
      </c>
      <c r="R921" t="s">
        <v>44</v>
      </c>
      <c r="S921" s="8" t="s">
        <v>44</v>
      </c>
      <c r="T921" s="9">
        <v>30</v>
      </c>
      <c r="U921" s="9">
        <f t="shared" si="169"/>
        <v>30</v>
      </c>
      <c r="V921" s="10">
        <v>30</v>
      </c>
      <c r="W921">
        <v>0</v>
      </c>
      <c r="X921" s="11">
        <f t="shared" si="170"/>
        <v>0</v>
      </c>
      <c r="Y921" t="s">
        <v>2102</v>
      </c>
      <c r="Z921" t="str">
        <f t="shared" si="171"/>
        <v>No</v>
      </c>
      <c r="AA921" t="str">
        <f t="shared" si="172"/>
        <v>No</v>
      </c>
      <c r="AB921" t="str">
        <f t="shared" si="173"/>
        <v>No</v>
      </c>
      <c r="AC921" s="12">
        <v>83</v>
      </c>
      <c r="AD921" s="12">
        <f t="shared" si="174"/>
        <v>83</v>
      </c>
    </row>
    <row r="922" spans="1:30" x14ac:dyDescent="0.3">
      <c r="A922" t="s">
        <v>1928</v>
      </c>
      <c r="B922" t="s">
        <v>1929</v>
      </c>
      <c r="C922" t="s">
        <v>2173</v>
      </c>
      <c r="D922" t="s">
        <v>2709</v>
      </c>
      <c r="E922" t="str">
        <f t="shared" si="164"/>
        <v>Amy Fitzgerald</v>
      </c>
      <c r="H922" t="s">
        <v>86</v>
      </c>
      <c r="I922" t="str">
        <f t="shared" si="165"/>
        <v>Female</v>
      </c>
      <c r="J922">
        <v>24</v>
      </c>
      <c r="K922">
        <f t="shared" si="166"/>
        <v>24</v>
      </c>
      <c r="L922" t="str">
        <f t="shared" si="167"/>
        <v>First level</v>
      </c>
      <c r="M922" t="s">
        <v>64</v>
      </c>
      <c r="N922" t="s">
        <v>24</v>
      </c>
      <c r="O922" t="s">
        <v>39</v>
      </c>
      <c r="P922">
        <v>2</v>
      </c>
      <c r="Q922">
        <f t="shared" si="168"/>
        <v>2</v>
      </c>
      <c r="R922" t="s">
        <v>44</v>
      </c>
      <c r="S922" s="8" t="s">
        <v>44</v>
      </c>
      <c r="T922" s="9">
        <v>30</v>
      </c>
      <c r="U922" s="9">
        <f t="shared" si="169"/>
        <v>30</v>
      </c>
      <c r="V922" s="10">
        <v>30</v>
      </c>
      <c r="W922">
        <v>3.6</v>
      </c>
      <c r="X922" s="11">
        <f t="shared" si="170"/>
        <v>3.6</v>
      </c>
      <c r="Y922" t="s">
        <v>65</v>
      </c>
      <c r="AA922" t="str">
        <f t="shared" si="172"/>
        <v>Unknown</v>
      </c>
      <c r="AB922" t="str">
        <f t="shared" si="173"/>
        <v>Unknown</v>
      </c>
      <c r="AC922" s="12">
        <v>92</v>
      </c>
      <c r="AD922" s="12">
        <f t="shared" si="174"/>
        <v>92</v>
      </c>
    </row>
    <row r="923" spans="1:30" x14ac:dyDescent="0.3">
      <c r="A923" t="s">
        <v>1930</v>
      </c>
      <c r="B923" t="s">
        <v>1931</v>
      </c>
      <c r="C923" t="s">
        <v>2891</v>
      </c>
      <c r="D923" t="s">
        <v>2636</v>
      </c>
      <c r="E923" t="str">
        <f t="shared" si="164"/>
        <v>Anita Becker</v>
      </c>
      <c r="H923" t="s">
        <v>43</v>
      </c>
      <c r="I923" t="str">
        <f t="shared" si="165"/>
        <v>Female</v>
      </c>
      <c r="J923">
        <v>49</v>
      </c>
      <c r="K923">
        <f t="shared" si="166"/>
        <v>49</v>
      </c>
      <c r="L923" t="str">
        <f t="shared" si="167"/>
        <v>Third level</v>
      </c>
      <c r="M923" t="s">
        <v>201</v>
      </c>
      <c r="N923" t="s">
        <v>81</v>
      </c>
      <c r="O923" t="s">
        <v>99</v>
      </c>
      <c r="P923">
        <v>4</v>
      </c>
      <c r="Q923">
        <f t="shared" si="168"/>
        <v>4</v>
      </c>
      <c r="R923" t="s">
        <v>181</v>
      </c>
      <c r="S923" s="8" t="s">
        <v>181</v>
      </c>
      <c r="T923" s="9">
        <v>75</v>
      </c>
      <c r="U923" s="9">
        <f t="shared" si="169"/>
        <v>75</v>
      </c>
      <c r="V923" s="10">
        <v>75</v>
      </c>
      <c r="W923">
        <v>2.1</v>
      </c>
      <c r="X923" s="11">
        <f t="shared" si="170"/>
        <v>2.1</v>
      </c>
      <c r="Y923" t="s">
        <v>65</v>
      </c>
      <c r="AA923" t="str">
        <f t="shared" si="172"/>
        <v>Unknown</v>
      </c>
      <c r="AB923" t="str">
        <f t="shared" si="173"/>
        <v>Unknown</v>
      </c>
      <c r="AC923" s="12">
        <v>85</v>
      </c>
      <c r="AD923" s="12">
        <f t="shared" si="174"/>
        <v>85</v>
      </c>
    </row>
    <row r="924" spans="1:30" x14ac:dyDescent="0.3">
      <c r="A924" t="s">
        <v>1932</v>
      </c>
      <c r="B924" t="s">
        <v>1933</v>
      </c>
      <c r="C924" t="s">
        <v>2173</v>
      </c>
      <c r="D924" t="s">
        <v>2892</v>
      </c>
      <c r="E924" t="str">
        <f t="shared" si="164"/>
        <v>Amy Brooks</v>
      </c>
      <c r="H924" t="s">
        <v>86</v>
      </c>
      <c r="I924" t="str">
        <f t="shared" si="165"/>
        <v>Female</v>
      </c>
      <c r="J924">
        <v>49</v>
      </c>
      <c r="K924">
        <f t="shared" si="166"/>
        <v>49</v>
      </c>
      <c r="L924" t="str">
        <f t="shared" si="167"/>
        <v>Third level</v>
      </c>
      <c r="M924" t="s">
        <v>122</v>
      </c>
      <c r="N924" t="s">
        <v>123</v>
      </c>
      <c r="O924" t="s">
        <v>49</v>
      </c>
      <c r="P924">
        <v>4</v>
      </c>
      <c r="Q924">
        <f t="shared" si="168"/>
        <v>4</v>
      </c>
      <c r="R924" t="s">
        <v>92</v>
      </c>
      <c r="S924" s="8" t="s">
        <v>92</v>
      </c>
      <c r="T924" s="9">
        <v>75</v>
      </c>
      <c r="U924" s="9">
        <f t="shared" si="169"/>
        <v>75</v>
      </c>
      <c r="V924" s="10">
        <v>75</v>
      </c>
      <c r="W924">
        <v>2.9</v>
      </c>
      <c r="X924" s="11">
        <f t="shared" si="170"/>
        <v>2.9</v>
      </c>
      <c r="Y924" t="s">
        <v>2102</v>
      </c>
      <c r="Z924" t="str">
        <f t="shared" si="171"/>
        <v>No</v>
      </c>
      <c r="AA924" t="str">
        <f t="shared" si="172"/>
        <v>No</v>
      </c>
      <c r="AB924" t="str">
        <f t="shared" si="173"/>
        <v>No</v>
      </c>
      <c r="AC924" s="12"/>
      <c r="AD924" s="12">
        <f t="shared" si="174"/>
        <v>80.927536231884062</v>
      </c>
    </row>
    <row r="925" spans="1:30" x14ac:dyDescent="0.3">
      <c r="A925" t="s">
        <v>1934</v>
      </c>
      <c r="B925" t="s">
        <v>1935</v>
      </c>
      <c r="C925" t="s">
        <v>2160</v>
      </c>
      <c r="D925" t="s">
        <v>2893</v>
      </c>
      <c r="E925" t="str">
        <f t="shared" si="164"/>
        <v>Lori Marshall</v>
      </c>
      <c r="H925" t="s">
        <v>22</v>
      </c>
      <c r="I925" t="str">
        <f t="shared" si="165"/>
        <v>Female</v>
      </c>
      <c r="J925">
        <v>49</v>
      </c>
      <c r="K925">
        <f t="shared" si="166"/>
        <v>49</v>
      </c>
      <c r="L925" t="str">
        <f t="shared" si="167"/>
        <v>Third level</v>
      </c>
      <c r="M925" t="s">
        <v>122</v>
      </c>
      <c r="N925" t="s">
        <v>123</v>
      </c>
      <c r="O925" t="s">
        <v>25</v>
      </c>
      <c r="P925">
        <v>24</v>
      </c>
      <c r="Q925">
        <f t="shared" si="168"/>
        <v>24</v>
      </c>
      <c r="R925" t="s">
        <v>18</v>
      </c>
      <c r="S925" s="8" t="s">
        <v>18</v>
      </c>
      <c r="T925" s="9">
        <v>100</v>
      </c>
      <c r="U925" s="9">
        <f t="shared" si="169"/>
        <v>100</v>
      </c>
      <c r="V925" s="10">
        <v>100</v>
      </c>
      <c r="W925">
        <v>3.6</v>
      </c>
      <c r="X925" s="11">
        <f t="shared" si="170"/>
        <v>3.6</v>
      </c>
      <c r="Y925" t="s">
        <v>2103</v>
      </c>
      <c r="Z925" t="str">
        <f t="shared" si="171"/>
        <v>Yes</v>
      </c>
      <c r="AA925" t="str">
        <f t="shared" si="172"/>
        <v>Yes</v>
      </c>
      <c r="AB925" t="str">
        <f t="shared" si="173"/>
        <v>Yes</v>
      </c>
      <c r="AC925" s="12"/>
      <c r="AD925" s="12">
        <f t="shared" si="174"/>
        <v>80.927536231884062</v>
      </c>
    </row>
    <row r="926" spans="1:30" x14ac:dyDescent="0.3">
      <c r="A926" t="s">
        <v>1936</v>
      </c>
      <c r="B926" t="s">
        <v>1937</v>
      </c>
      <c r="C926" t="s">
        <v>2151</v>
      </c>
      <c r="D926" t="s">
        <v>2232</v>
      </c>
      <c r="E926" t="str">
        <f t="shared" si="164"/>
        <v>Jennifer Miller</v>
      </c>
      <c r="H926" t="s">
        <v>86</v>
      </c>
      <c r="I926" t="str">
        <f t="shared" si="165"/>
        <v>Female</v>
      </c>
      <c r="J926">
        <v>58</v>
      </c>
      <c r="K926">
        <f t="shared" si="166"/>
        <v>58</v>
      </c>
      <c r="L926" t="str">
        <f t="shared" si="167"/>
        <v>Fourth level</v>
      </c>
      <c r="M926" t="s">
        <v>117</v>
      </c>
      <c r="N926" t="s">
        <v>118</v>
      </c>
      <c r="O926" t="s">
        <v>17</v>
      </c>
      <c r="P926">
        <v>29</v>
      </c>
      <c r="Q926">
        <f t="shared" si="168"/>
        <v>29</v>
      </c>
      <c r="R926" t="s">
        <v>44</v>
      </c>
      <c r="S926" s="8" t="s">
        <v>44</v>
      </c>
      <c r="T926" s="9">
        <v>30</v>
      </c>
      <c r="U926" s="9">
        <f t="shared" si="169"/>
        <v>30</v>
      </c>
      <c r="V926" s="10">
        <v>30</v>
      </c>
      <c r="W926">
        <v>3.3</v>
      </c>
      <c r="X926" s="11">
        <f t="shared" si="170"/>
        <v>3.3</v>
      </c>
      <c r="Y926" t="s">
        <v>77</v>
      </c>
      <c r="Z926" t="str">
        <f t="shared" si="171"/>
        <v>yes</v>
      </c>
      <c r="AA926" t="str">
        <f t="shared" si="172"/>
        <v>yes</v>
      </c>
      <c r="AB926" t="str">
        <f t="shared" si="173"/>
        <v>Yes</v>
      </c>
      <c r="AC926" s="12">
        <v>89</v>
      </c>
      <c r="AD926" s="12">
        <f t="shared" si="174"/>
        <v>89</v>
      </c>
    </row>
    <row r="927" spans="1:30" x14ac:dyDescent="0.3">
      <c r="A927" t="s">
        <v>1938</v>
      </c>
      <c r="B927" t="s">
        <v>1939</v>
      </c>
      <c r="C927" t="s">
        <v>2231</v>
      </c>
      <c r="D927" t="s">
        <v>2739</v>
      </c>
      <c r="E927" t="str">
        <f t="shared" si="164"/>
        <v>Thomas Young</v>
      </c>
      <c r="H927" t="s">
        <v>69</v>
      </c>
      <c r="I927" t="str">
        <f t="shared" si="165"/>
        <v>Male</v>
      </c>
      <c r="J927">
        <v>50</v>
      </c>
      <c r="K927">
        <f t="shared" si="166"/>
        <v>50</v>
      </c>
      <c r="L927" t="str">
        <f t="shared" si="167"/>
        <v>Third level</v>
      </c>
      <c r="M927" t="s">
        <v>164</v>
      </c>
      <c r="N927" t="s">
        <v>165</v>
      </c>
      <c r="O927" t="s">
        <v>82</v>
      </c>
      <c r="P927">
        <v>13</v>
      </c>
      <c r="Q927">
        <f t="shared" si="168"/>
        <v>13</v>
      </c>
      <c r="R927" t="s">
        <v>65</v>
      </c>
      <c r="S927" s="8" t="s">
        <v>65</v>
      </c>
      <c r="T927" s="9"/>
      <c r="U927" s="9">
        <f t="shared" si="169"/>
        <v>54.571428571428569</v>
      </c>
      <c r="V927" s="10">
        <v>54.571428571428569</v>
      </c>
      <c r="W927">
        <v>2.5</v>
      </c>
      <c r="X927" s="11">
        <f t="shared" si="170"/>
        <v>2.5</v>
      </c>
      <c r="Y927" t="s">
        <v>2103</v>
      </c>
      <c r="Z927" t="str">
        <f t="shared" si="171"/>
        <v>Yes</v>
      </c>
      <c r="AA927" t="str">
        <f t="shared" si="172"/>
        <v>Yes</v>
      </c>
      <c r="AB927" t="str">
        <f t="shared" si="173"/>
        <v>Yes</v>
      </c>
      <c r="AC927" s="12">
        <v>81</v>
      </c>
      <c r="AD927" s="12">
        <f t="shared" si="174"/>
        <v>81</v>
      </c>
    </row>
    <row r="928" spans="1:30" x14ac:dyDescent="0.3">
      <c r="A928" t="s">
        <v>1940</v>
      </c>
      <c r="B928" t="s">
        <v>1941</v>
      </c>
      <c r="C928" t="s">
        <v>2395</v>
      </c>
      <c r="D928" t="s">
        <v>2369</v>
      </c>
      <c r="E928" t="str">
        <f t="shared" si="164"/>
        <v>Zachary Larsen</v>
      </c>
      <c r="H928" t="s">
        <v>107</v>
      </c>
      <c r="I928" t="str">
        <f t="shared" si="165"/>
        <v>Male</v>
      </c>
      <c r="J928">
        <v>27</v>
      </c>
      <c r="K928">
        <f t="shared" si="166"/>
        <v>27</v>
      </c>
      <c r="L928" t="str">
        <f t="shared" si="167"/>
        <v>First level</v>
      </c>
      <c r="M928" t="s">
        <v>164</v>
      </c>
      <c r="N928" t="s">
        <v>165</v>
      </c>
      <c r="O928" t="s">
        <v>99</v>
      </c>
      <c r="P928">
        <v>1</v>
      </c>
      <c r="Q928">
        <f t="shared" si="168"/>
        <v>1</v>
      </c>
      <c r="R928" t="s">
        <v>26</v>
      </c>
      <c r="S928" s="8" t="s">
        <v>18</v>
      </c>
      <c r="T928" s="9">
        <v>100</v>
      </c>
      <c r="U928" s="9">
        <f t="shared" si="169"/>
        <v>100</v>
      </c>
      <c r="V928" s="10">
        <v>100</v>
      </c>
      <c r="W928">
        <v>3.7</v>
      </c>
      <c r="X928" s="11">
        <f t="shared" si="170"/>
        <v>3.7</v>
      </c>
      <c r="Y928" t="s">
        <v>2103</v>
      </c>
      <c r="Z928" t="str">
        <f t="shared" si="171"/>
        <v>Yes</v>
      </c>
      <c r="AA928" t="str">
        <f t="shared" si="172"/>
        <v>Yes</v>
      </c>
      <c r="AB928" t="str">
        <f t="shared" si="173"/>
        <v>Yes</v>
      </c>
      <c r="AC928" s="12">
        <v>61</v>
      </c>
      <c r="AD928" s="12">
        <f t="shared" si="174"/>
        <v>61</v>
      </c>
    </row>
    <row r="929" spans="1:30" x14ac:dyDescent="0.3">
      <c r="A929" t="s">
        <v>1942</v>
      </c>
      <c r="B929" t="s">
        <v>1943</v>
      </c>
      <c r="C929" t="s">
        <v>2894</v>
      </c>
      <c r="D929" t="s">
        <v>2895</v>
      </c>
      <c r="E929" t="str">
        <f t="shared" si="164"/>
        <v>Valerie Gutierrez</v>
      </c>
      <c r="H929" t="s">
        <v>86</v>
      </c>
      <c r="I929" t="str">
        <f t="shared" si="165"/>
        <v>Female</v>
      </c>
      <c r="J929">
        <v>20</v>
      </c>
      <c r="K929">
        <f t="shared" si="166"/>
        <v>20</v>
      </c>
      <c r="L929" t="str">
        <f t="shared" si="167"/>
        <v>First level</v>
      </c>
      <c r="M929" t="s">
        <v>122</v>
      </c>
      <c r="N929" t="s">
        <v>123</v>
      </c>
      <c r="O929" t="s">
        <v>124</v>
      </c>
      <c r="Q929">
        <f t="shared" si="168"/>
        <v>3</v>
      </c>
      <c r="R929" t="s">
        <v>50</v>
      </c>
      <c r="S929" s="8" t="s">
        <v>50</v>
      </c>
      <c r="T929" s="9">
        <v>30</v>
      </c>
      <c r="U929" s="9">
        <f t="shared" si="169"/>
        <v>30</v>
      </c>
      <c r="V929" s="10">
        <v>30</v>
      </c>
      <c r="W929">
        <v>4.5999999999999996</v>
      </c>
      <c r="X929" s="11">
        <f t="shared" si="170"/>
        <v>4.5999999999999996</v>
      </c>
      <c r="Y929" t="s">
        <v>2103</v>
      </c>
      <c r="Z929" t="str">
        <f t="shared" si="171"/>
        <v>Yes</v>
      </c>
      <c r="AA929" t="str">
        <f t="shared" si="172"/>
        <v>Yes</v>
      </c>
      <c r="AB929" t="str">
        <f t="shared" si="173"/>
        <v>Yes</v>
      </c>
      <c r="AC929" s="12"/>
      <c r="AD929" s="12">
        <f t="shared" si="174"/>
        <v>81.106060606060609</v>
      </c>
    </row>
    <row r="930" spans="1:30" x14ac:dyDescent="0.3">
      <c r="A930" t="s">
        <v>1944</v>
      </c>
      <c r="B930" t="s">
        <v>1945</v>
      </c>
      <c r="C930" t="s">
        <v>2447</v>
      </c>
      <c r="D930" t="s">
        <v>2896</v>
      </c>
      <c r="E930" t="str">
        <f t="shared" si="164"/>
        <v>Daniel Parker</v>
      </c>
      <c r="H930" t="s">
        <v>69</v>
      </c>
      <c r="I930" t="str">
        <f t="shared" si="165"/>
        <v>Male</v>
      </c>
      <c r="J930">
        <v>52</v>
      </c>
      <c r="K930">
        <f t="shared" si="166"/>
        <v>52</v>
      </c>
      <c r="L930" t="str">
        <f t="shared" si="167"/>
        <v>Fourth level</v>
      </c>
      <c r="M930" t="s">
        <v>134</v>
      </c>
      <c r="N930" t="s">
        <v>135</v>
      </c>
      <c r="O930" t="s">
        <v>17</v>
      </c>
      <c r="P930">
        <v>15</v>
      </c>
      <c r="Q930">
        <f t="shared" si="168"/>
        <v>15</v>
      </c>
      <c r="R930" t="s">
        <v>40</v>
      </c>
      <c r="S930" s="8" t="s">
        <v>40</v>
      </c>
      <c r="T930" s="9">
        <v>40</v>
      </c>
      <c r="U930" s="9">
        <f t="shared" si="169"/>
        <v>40</v>
      </c>
      <c r="V930" s="10">
        <v>40</v>
      </c>
      <c r="W930">
        <v>0</v>
      </c>
      <c r="X930" s="11">
        <f t="shared" si="170"/>
        <v>0</v>
      </c>
      <c r="Y930" t="s">
        <v>2103</v>
      </c>
      <c r="Z930" t="str">
        <f t="shared" si="171"/>
        <v>Yes</v>
      </c>
      <c r="AA930" t="str">
        <f t="shared" si="172"/>
        <v>Yes</v>
      </c>
      <c r="AB930" t="str">
        <f t="shared" si="173"/>
        <v>Yes</v>
      </c>
      <c r="AC930" s="12">
        <v>92</v>
      </c>
      <c r="AD930" s="12">
        <f t="shared" si="174"/>
        <v>92</v>
      </c>
    </row>
    <row r="931" spans="1:30" x14ac:dyDescent="0.3">
      <c r="A931" t="s">
        <v>1946</v>
      </c>
      <c r="B931" t="s">
        <v>1947</v>
      </c>
      <c r="C931" t="s">
        <v>2106</v>
      </c>
      <c r="D931" t="s">
        <v>2726</v>
      </c>
      <c r="E931" t="str">
        <f t="shared" si="164"/>
        <v>Nicole Bennett</v>
      </c>
      <c r="H931" t="s">
        <v>86</v>
      </c>
      <c r="I931" t="str">
        <f t="shared" si="165"/>
        <v>Female</v>
      </c>
      <c r="J931">
        <v>22</v>
      </c>
      <c r="K931">
        <f t="shared" si="166"/>
        <v>22</v>
      </c>
      <c r="L931" t="str">
        <f t="shared" si="167"/>
        <v>First level</v>
      </c>
      <c r="M931" t="s">
        <v>145</v>
      </c>
      <c r="N931" t="s">
        <v>146</v>
      </c>
      <c r="O931" t="s">
        <v>124</v>
      </c>
      <c r="P931">
        <v>2</v>
      </c>
      <c r="Q931">
        <f t="shared" si="168"/>
        <v>2</v>
      </c>
      <c r="R931" t="s">
        <v>44</v>
      </c>
      <c r="S931" s="8" t="s">
        <v>44</v>
      </c>
      <c r="T931" s="9">
        <v>30</v>
      </c>
      <c r="U931" s="9">
        <f t="shared" si="169"/>
        <v>30</v>
      </c>
      <c r="V931" s="10">
        <v>30</v>
      </c>
      <c r="W931">
        <v>2</v>
      </c>
      <c r="X931" s="11">
        <f t="shared" si="170"/>
        <v>2</v>
      </c>
      <c r="Y931" t="s">
        <v>170</v>
      </c>
      <c r="Z931" t="str">
        <f t="shared" si="171"/>
        <v>no</v>
      </c>
      <c r="AA931" t="str">
        <f t="shared" si="172"/>
        <v>no</v>
      </c>
      <c r="AB931" t="str">
        <f t="shared" si="173"/>
        <v>No</v>
      </c>
      <c r="AC931" s="12">
        <v>96</v>
      </c>
      <c r="AD931" s="12">
        <f t="shared" si="174"/>
        <v>96</v>
      </c>
    </row>
    <row r="932" spans="1:30" x14ac:dyDescent="0.3">
      <c r="A932" t="s">
        <v>1948</v>
      </c>
      <c r="B932" t="s">
        <v>1949</v>
      </c>
      <c r="C932" t="s">
        <v>2493</v>
      </c>
      <c r="D932" t="s">
        <v>2678</v>
      </c>
      <c r="E932" t="str">
        <f t="shared" si="164"/>
        <v>Lauren Lowery</v>
      </c>
      <c r="H932" t="s">
        <v>86</v>
      </c>
      <c r="I932" t="str">
        <f t="shared" si="165"/>
        <v>Female</v>
      </c>
      <c r="J932">
        <v>38</v>
      </c>
      <c r="K932">
        <f t="shared" si="166"/>
        <v>38</v>
      </c>
      <c r="L932" t="str">
        <f t="shared" si="167"/>
        <v>Second level</v>
      </c>
      <c r="M932" t="s">
        <v>70</v>
      </c>
      <c r="N932" t="s">
        <v>71</v>
      </c>
      <c r="O932" t="s">
        <v>39</v>
      </c>
      <c r="P932">
        <v>14</v>
      </c>
      <c r="Q932">
        <f t="shared" si="168"/>
        <v>14</v>
      </c>
      <c r="R932" t="s">
        <v>18</v>
      </c>
      <c r="S932" s="8" t="s">
        <v>18</v>
      </c>
      <c r="T932" s="9">
        <v>100</v>
      </c>
      <c r="U932" s="9">
        <f t="shared" si="169"/>
        <v>100</v>
      </c>
      <c r="V932" s="10">
        <v>100</v>
      </c>
      <c r="W932">
        <v>1.7</v>
      </c>
      <c r="X932" s="11">
        <f t="shared" si="170"/>
        <v>1.7</v>
      </c>
      <c r="Y932" t="s">
        <v>2102</v>
      </c>
      <c r="Z932" t="str">
        <f t="shared" si="171"/>
        <v>No</v>
      </c>
      <c r="AA932" t="str">
        <f t="shared" si="172"/>
        <v>No</v>
      </c>
      <c r="AB932" t="str">
        <f t="shared" si="173"/>
        <v>No</v>
      </c>
      <c r="AC932" s="12">
        <v>66</v>
      </c>
      <c r="AD932" s="12">
        <f t="shared" si="174"/>
        <v>66</v>
      </c>
    </row>
    <row r="933" spans="1:30" x14ac:dyDescent="0.3">
      <c r="A933" t="s">
        <v>1950</v>
      </c>
      <c r="B933" t="s">
        <v>1951</v>
      </c>
      <c r="C933" t="s">
        <v>2316</v>
      </c>
      <c r="D933" t="s">
        <v>2897</v>
      </c>
      <c r="E933" t="str">
        <f t="shared" si="164"/>
        <v>Alexander Woodward</v>
      </c>
      <c r="H933" t="s">
        <v>30</v>
      </c>
      <c r="I933" t="str">
        <f t="shared" si="165"/>
        <v>Male</v>
      </c>
      <c r="J933">
        <v>21</v>
      </c>
      <c r="K933">
        <f t="shared" si="166"/>
        <v>21</v>
      </c>
      <c r="L933" t="str">
        <f t="shared" si="167"/>
        <v>First level</v>
      </c>
      <c r="M933" t="s">
        <v>138</v>
      </c>
      <c r="N933" t="s">
        <v>24</v>
      </c>
      <c r="O933" t="s">
        <v>33</v>
      </c>
      <c r="P933">
        <v>0</v>
      </c>
      <c r="Q933">
        <f t="shared" si="168"/>
        <v>0</v>
      </c>
      <c r="R933" t="s">
        <v>26</v>
      </c>
      <c r="S933" s="8" t="s">
        <v>18</v>
      </c>
      <c r="T933" s="9">
        <v>100</v>
      </c>
      <c r="U933" s="9">
        <f t="shared" si="169"/>
        <v>100</v>
      </c>
      <c r="V933" s="10">
        <v>100</v>
      </c>
      <c r="W933">
        <v>3</v>
      </c>
      <c r="X933" s="11">
        <f t="shared" si="170"/>
        <v>3</v>
      </c>
      <c r="Y933" t="s">
        <v>2102</v>
      </c>
      <c r="Z933" t="str">
        <f t="shared" si="171"/>
        <v>No</v>
      </c>
      <c r="AA933" t="str">
        <f t="shared" si="172"/>
        <v>No</v>
      </c>
      <c r="AB933" t="str">
        <f t="shared" si="173"/>
        <v>No</v>
      </c>
      <c r="AC933" s="12">
        <v>64</v>
      </c>
      <c r="AD933" s="12">
        <f t="shared" si="174"/>
        <v>64</v>
      </c>
    </row>
    <row r="934" spans="1:30" x14ac:dyDescent="0.3">
      <c r="A934" t="s">
        <v>1952</v>
      </c>
      <c r="B934" t="s">
        <v>1953</v>
      </c>
      <c r="C934" t="s">
        <v>2368</v>
      </c>
      <c r="D934" t="s">
        <v>2408</v>
      </c>
      <c r="E934" t="str">
        <f t="shared" si="164"/>
        <v>Anthony Walter</v>
      </c>
      <c r="H934" t="s">
        <v>69</v>
      </c>
      <c r="I934" t="str">
        <f t="shared" si="165"/>
        <v>Male</v>
      </c>
      <c r="J934">
        <v>41</v>
      </c>
      <c r="K934">
        <f t="shared" si="166"/>
        <v>41</v>
      </c>
      <c r="L934" t="str">
        <f t="shared" si="167"/>
        <v>Third level</v>
      </c>
      <c r="M934" t="s">
        <v>23</v>
      </c>
      <c r="N934" t="s">
        <v>24</v>
      </c>
      <c r="O934" t="s">
        <v>49</v>
      </c>
      <c r="P934">
        <v>15</v>
      </c>
      <c r="Q934">
        <f t="shared" si="168"/>
        <v>15</v>
      </c>
      <c r="R934" t="s">
        <v>76</v>
      </c>
      <c r="S934" s="8" t="s">
        <v>76</v>
      </c>
      <c r="T934" s="9">
        <v>40</v>
      </c>
      <c r="U934" s="9">
        <f t="shared" si="169"/>
        <v>40</v>
      </c>
      <c r="V934" s="10">
        <v>40</v>
      </c>
      <c r="W934">
        <v>3.4</v>
      </c>
      <c r="X934" s="11">
        <f t="shared" si="170"/>
        <v>3.4</v>
      </c>
      <c r="Y934" t="s">
        <v>2102</v>
      </c>
      <c r="Z934" t="str">
        <f t="shared" si="171"/>
        <v>No</v>
      </c>
      <c r="AA934" t="str">
        <f t="shared" si="172"/>
        <v>No</v>
      </c>
      <c r="AB934" t="str">
        <f t="shared" si="173"/>
        <v>No</v>
      </c>
      <c r="AC934" s="12">
        <v>100</v>
      </c>
      <c r="AD934" s="12">
        <f t="shared" si="174"/>
        <v>100</v>
      </c>
    </row>
    <row r="935" spans="1:30" x14ac:dyDescent="0.3">
      <c r="A935" t="s">
        <v>1954</v>
      </c>
      <c r="B935" t="s">
        <v>1955</v>
      </c>
      <c r="C935" t="s">
        <v>2894</v>
      </c>
      <c r="D935" t="s">
        <v>2757</v>
      </c>
      <c r="E935" t="str">
        <f t="shared" si="164"/>
        <v>Valerie Finley</v>
      </c>
      <c r="H935" t="s">
        <v>43</v>
      </c>
      <c r="I935" t="str">
        <f t="shared" si="165"/>
        <v>Female</v>
      </c>
      <c r="J935">
        <v>33</v>
      </c>
      <c r="K935">
        <f t="shared" si="166"/>
        <v>33</v>
      </c>
      <c r="L935" t="str">
        <f t="shared" si="167"/>
        <v>Second level</v>
      </c>
      <c r="M935" t="s">
        <v>55</v>
      </c>
      <c r="N935" t="s">
        <v>56</v>
      </c>
      <c r="O935" t="s">
        <v>17</v>
      </c>
      <c r="P935">
        <v>6</v>
      </c>
      <c r="Q935">
        <f t="shared" si="168"/>
        <v>6</v>
      </c>
      <c r="R935" t="s">
        <v>76</v>
      </c>
      <c r="S935" s="8" t="s">
        <v>76</v>
      </c>
      <c r="T935" s="9">
        <v>40</v>
      </c>
      <c r="U935" s="9">
        <f t="shared" si="169"/>
        <v>40</v>
      </c>
      <c r="V935" s="10">
        <v>40</v>
      </c>
      <c r="W935">
        <v>3.2</v>
      </c>
      <c r="X935" s="11">
        <f t="shared" si="170"/>
        <v>3.2</v>
      </c>
      <c r="Y935" t="s">
        <v>2103</v>
      </c>
      <c r="Z935" t="str">
        <f t="shared" si="171"/>
        <v>Yes</v>
      </c>
      <c r="AA935" t="str">
        <f t="shared" si="172"/>
        <v>Yes</v>
      </c>
      <c r="AB935" t="str">
        <f t="shared" si="173"/>
        <v>Yes</v>
      </c>
      <c r="AC935" s="12">
        <v>95</v>
      </c>
      <c r="AD935" s="12">
        <f t="shared" si="174"/>
        <v>95</v>
      </c>
    </row>
    <row r="936" spans="1:30" x14ac:dyDescent="0.3">
      <c r="A936" t="s">
        <v>1956</v>
      </c>
      <c r="B936" t="s">
        <v>1957</v>
      </c>
      <c r="C936" t="s">
        <v>2544</v>
      </c>
      <c r="D936" t="s">
        <v>2898</v>
      </c>
      <c r="E936" t="str">
        <f t="shared" si="164"/>
        <v>Deborah Kelley</v>
      </c>
      <c r="H936" t="s">
        <v>86</v>
      </c>
      <c r="I936" t="str">
        <f t="shared" si="165"/>
        <v>Female</v>
      </c>
      <c r="J936">
        <v>38</v>
      </c>
      <c r="K936">
        <f t="shared" si="166"/>
        <v>38</v>
      </c>
      <c r="L936" t="str">
        <f t="shared" si="167"/>
        <v>Second level</v>
      </c>
      <c r="M936" t="s">
        <v>190</v>
      </c>
      <c r="N936" t="s">
        <v>81</v>
      </c>
      <c r="O936" t="s">
        <v>25</v>
      </c>
      <c r="P936">
        <v>11</v>
      </c>
      <c r="Q936">
        <f t="shared" si="168"/>
        <v>11</v>
      </c>
      <c r="R936" t="s">
        <v>65</v>
      </c>
      <c r="S936" s="8" t="s">
        <v>65</v>
      </c>
      <c r="T936" s="9"/>
      <c r="U936" s="9">
        <f t="shared" si="169"/>
        <v>54.032258064516128</v>
      </c>
      <c r="V936" s="10">
        <v>54.032258064516128</v>
      </c>
      <c r="W936">
        <v>2.8</v>
      </c>
      <c r="X936" s="11">
        <f t="shared" si="170"/>
        <v>2.8</v>
      </c>
      <c r="Y936" t="s">
        <v>65</v>
      </c>
      <c r="AA936" t="str">
        <f t="shared" si="172"/>
        <v>Unknown</v>
      </c>
      <c r="AB936" t="str">
        <f t="shared" si="173"/>
        <v>Unknown</v>
      </c>
      <c r="AC936" s="12">
        <v>91</v>
      </c>
      <c r="AD936" s="12">
        <f t="shared" si="174"/>
        <v>91</v>
      </c>
    </row>
    <row r="937" spans="1:30" x14ac:dyDescent="0.3">
      <c r="A937" t="s">
        <v>1958</v>
      </c>
      <c r="B937" t="s">
        <v>1959</v>
      </c>
      <c r="C937" t="s">
        <v>2703</v>
      </c>
      <c r="D937" t="s">
        <v>2232</v>
      </c>
      <c r="E937" t="str">
        <f t="shared" si="164"/>
        <v>Kristina Miller</v>
      </c>
      <c r="H937" t="s">
        <v>86</v>
      </c>
      <c r="I937" t="str">
        <f t="shared" si="165"/>
        <v>Female</v>
      </c>
      <c r="J937">
        <v>26</v>
      </c>
      <c r="K937">
        <f t="shared" si="166"/>
        <v>26</v>
      </c>
      <c r="L937" t="str">
        <f t="shared" si="167"/>
        <v>First level</v>
      </c>
      <c r="M937" t="s">
        <v>134</v>
      </c>
      <c r="N937" t="s">
        <v>135</v>
      </c>
      <c r="O937" t="s">
        <v>99</v>
      </c>
      <c r="P937">
        <v>8</v>
      </c>
      <c r="Q937">
        <f t="shared" si="168"/>
        <v>8</v>
      </c>
      <c r="R937" t="s">
        <v>325</v>
      </c>
      <c r="S937" s="8" t="s">
        <v>2097</v>
      </c>
      <c r="T937" s="9">
        <v>20</v>
      </c>
      <c r="U937" s="9">
        <f t="shared" si="169"/>
        <v>20</v>
      </c>
      <c r="V937" s="10">
        <v>20</v>
      </c>
      <c r="W937">
        <v>4.0999999999999996</v>
      </c>
      <c r="X937" s="11">
        <f t="shared" si="170"/>
        <v>4.0999999999999996</v>
      </c>
      <c r="Y937" t="s">
        <v>77</v>
      </c>
      <c r="Z937" t="str">
        <f t="shared" si="171"/>
        <v>yes</v>
      </c>
      <c r="AA937" t="str">
        <f t="shared" si="172"/>
        <v>yes</v>
      </c>
      <c r="AB937" t="str">
        <f t="shared" si="173"/>
        <v>Yes</v>
      </c>
      <c r="AC937" s="12">
        <v>82</v>
      </c>
      <c r="AD937" s="12">
        <f t="shared" si="174"/>
        <v>82</v>
      </c>
    </row>
    <row r="938" spans="1:30" x14ac:dyDescent="0.3">
      <c r="A938" t="s">
        <v>1960</v>
      </c>
      <c r="B938" t="s">
        <v>1961</v>
      </c>
      <c r="C938" t="s">
        <v>2348</v>
      </c>
      <c r="D938" t="s">
        <v>2899</v>
      </c>
      <c r="E938" t="str">
        <f t="shared" si="164"/>
        <v>Anne Hampton</v>
      </c>
      <c r="H938" t="s">
        <v>86</v>
      </c>
      <c r="I938" t="str">
        <f t="shared" si="165"/>
        <v>Female</v>
      </c>
      <c r="J938">
        <v>43</v>
      </c>
      <c r="K938">
        <f t="shared" si="166"/>
        <v>43</v>
      </c>
      <c r="L938" t="str">
        <f t="shared" si="167"/>
        <v>Third level</v>
      </c>
      <c r="M938" t="s">
        <v>47</v>
      </c>
      <c r="N938" t="s">
        <v>48</v>
      </c>
      <c r="O938" t="s">
        <v>49</v>
      </c>
      <c r="P938">
        <v>3</v>
      </c>
      <c r="Q938">
        <f t="shared" si="168"/>
        <v>3</v>
      </c>
      <c r="R938" t="s">
        <v>151</v>
      </c>
      <c r="S938" s="8" t="s">
        <v>151</v>
      </c>
      <c r="T938" s="9">
        <v>20</v>
      </c>
      <c r="U938" s="9">
        <f t="shared" si="169"/>
        <v>20</v>
      </c>
      <c r="V938" s="10">
        <v>20</v>
      </c>
      <c r="W938">
        <v>0</v>
      </c>
      <c r="X938" s="11">
        <f t="shared" si="170"/>
        <v>0</v>
      </c>
      <c r="Y938" t="s">
        <v>2103</v>
      </c>
      <c r="Z938" t="str">
        <f t="shared" si="171"/>
        <v>Yes</v>
      </c>
      <c r="AA938" t="str">
        <f t="shared" si="172"/>
        <v>Yes</v>
      </c>
      <c r="AB938" t="str">
        <f t="shared" si="173"/>
        <v>Yes</v>
      </c>
      <c r="AC938" s="12">
        <v>95</v>
      </c>
      <c r="AD938" s="12">
        <f t="shared" si="174"/>
        <v>95</v>
      </c>
    </row>
    <row r="939" spans="1:30" x14ac:dyDescent="0.3">
      <c r="A939" t="s">
        <v>1962</v>
      </c>
      <c r="B939" t="s">
        <v>1963</v>
      </c>
      <c r="C939" t="s">
        <v>2723</v>
      </c>
      <c r="D939" t="s">
        <v>2386</v>
      </c>
      <c r="E939" t="str">
        <f t="shared" si="164"/>
        <v>Sandra Henry</v>
      </c>
      <c r="H939" t="s">
        <v>86</v>
      </c>
      <c r="I939" t="str">
        <f t="shared" si="165"/>
        <v>Female</v>
      </c>
      <c r="J939">
        <v>21</v>
      </c>
      <c r="K939">
        <f t="shared" si="166"/>
        <v>21</v>
      </c>
      <c r="L939" t="str">
        <f t="shared" si="167"/>
        <v>First level</v>
      </c>
      <c r="M939" t="s">
        <v>15</v>
      </c>
      <c r="N939" t="s">
        <v>16</v>
      </c>
      <c r="O939" t="s">
        <v>87</v>
      </c>
      <c r="P939">
        <v>0</v>
      </c>
      <c r="Q939">
        <f t="shared" si="168"/>
        <v>0</v>
      </c>
      <c r="R939" t="s">
        <v>65</v>
      </c>
      <c r="S939" s="8" t="s">
        <v>65</v>
      </c>
      <c r="T939" s="9"/>
      <c r="U939" s="9">
        <f t="shared" si="169"/>
        <v>54.833333333333336</v>
      </c>
      <c r="V939" s="10">
        <v>54.833333333333336</v>
      </c>
      <c r="W939">
        <v>0</v>
      </c>
      <c r="X939" s="11">
        <f t="shared" si="170"/>
        <v>0</v>
      </c>
      <c r="Y939" t="s">
        <v>2103</v>
      </c>
      <c r="Z939" t="str">
        <f t="shared" si="171"/>
        <v>Yes</v>
      </c>
      <c r="AA939" t="str">
        <f t="shared" si="172"/>
        <v>Yes</v>
      </c>
      <c r="AB939" t="str">
        <f t="shared" si="173"/>
        <v>Yes</v>
      </c>
      <c r="AC939" s="12">
        <v>95</v>
      </c>
      <c r="AD939" s="12">
        <f t="shared" si="174"/>
        <v>95</v>
      </c>
    </row>
    <row r="940" spans="1:30" x14ac:dyDescent="0.3">
      <c r="A940" t="s">
        <v>1964</v>
      </c>
      <c r="B940" t="s">
        <v>1965</v>
      </c>
      <c r="C940" t="s">
        <v>2624</v>
      </c>
      <c r="D940" t="s">
        <v>2900</v>
      </c>
      <c r="E940" t="str">
        <f t="shared" si="164"/>
        <v>Tony Hester</v>
      </c>
      <c r="H940" t="s">
        <v>69</v>
      </c>
      <c r="I940" t="str">
        <f t="shared" si="165"/>
        <v>Male</v>
      </c>
      <c r="J940">
        <v>47</v>
      </c>
      <c r="K940">
        <f t="shared" si="166"/>
        <v>47</v>
      </c>
      <c r="L940" t="str">
        <f t="shared" si="167"/>
        <v>Third level</v>
      </c>
      <c r="M940" t="s">
        <v>122</v>
      </c>
      <c r="N940" t="s">
        <v>123</v>
      </c>
      <c r="O940" t="s">
        <v>25</v>
      </c>
      <c r="P940">
        <v>7</v>
      </c>
      <c r="Q940">
        <f t="shared" si="168"/>
        <v>7</v>
      </c>
      <c r="R940" t="s">
        <v>119</v>
      </c>
      <c r="S940" s="8" t="s">
        <v>2096</v>
      </c>
      <c r="T940" s="9">
        <v>30</v>
      </c>
      <c r="U940" s="9">
        <f t="shared" si="169"/>
        <v>30</v>
      </c>
      <c r="V940" s="10">
        <v>30</v>
      </c>
      <c r="X940" s="11">
        <f t="shared" si="170"/>
        <v>2.383018867924529</v>
      </c>
      <c r="Y940" t="s">
        <v>65</v>
      </c>
      <c r="AA940" t="str">
        <f t="shared" si="172"/>
        <v>Unknown</v>
      </c>
      <c r="AB940" t="str">
        <f t="shared" si="173"/>
        <v>Unknown</v>
      </c>
      <c r="AC940" s="12">
        <v>69</v>
      </c>
      <c r="AD940" s="12">
        <f t="shared" si="174"/>
        <v>69</v>
      </c>
    </row>
    <row r="941" spans="1:30" x14ac:dyDescent="0.3">
      <c r="A941" t="s">
        <v>1966</v>
      </c>
      <c r="B941" t="s">
        <v>1967</v>
      </c>
      <c r="C941" t="s">
        <v>2355</v>
      </c>
      <c r="D941" t="s">
        <v>2319</v>
      </c>
      <c r="E941" t="str">
        <f t="shared" si="164"/>
        <v>Nathan Davis</v>
      </c>
      <c r="H941" t="s">
        <v>69</v>
      </c>
      <c r="I941" t="str">
        <f t="shared" si="165"/>
        <v>Male</v>
      </c>
      <c r="J941">
        <v>35</v>
      </c>
      <c r="K941">
        <f t="shared" si="166"/>
        <v>35</v>
      </c>
      <c r="L941" t="str">
        <f t="shared" si="167"/>
        <v>Second level</v>
      </c>
      <c r="M941" t="s">
        <v>201</v>
      </c>
      <c r="N941" t="s">
        <v>81</v>
      </c>
      <c r="O941" t="s">
        <v>33</v>
      </c>
      <c r="P941">
        <v>6</v>
      </c>
      <c r="Q941">
        <f t="shared" si="168"/>
        <v>6</v>
      </c>
      <c r="R941" t="s">
        <v>76</v>
      </c>
      <c r="S941" s="8" t="s">
        <v>76</v>
      </c>
      <c r="T941" s="9">
        <v>40</v>
      </c>
      <c r="U941" s="9">
        <f t="shared" si="169"/>
        <v>40</v>
      </c>
      <c r="V941" s="10">
        <v>40</v>
      </c>
      <c r="X941" s="11">
        <f t="shared" si="170"/>
        <v>2.383018867924529</v>
      </c>
      <c r="Y941" t="s">
        <v>77</v>
      </c>
      <c r="Z941" t="str">
        <f t="shared" si="171"/>
        <v>yes</v>
      </c>
      <c r="AA941" t="str">
        <f t="shared" si="172"/>
        <v>yes</v>
      </c>
      <c r="AB941" t="str">
        <f t="shared" si="173"/>
        <v>Yes</v>
      </c>
      <c r="AC941" s="12">
        <v>91</v>
      </c>
      <c r="AD941" s="12">
        <f t="shared" si="174"/>
        <v>91</v>
      </c>
    </row>
    <row r="942" spans="1:30" x14ac:dyDescent="0.3">
      <c r="A942" t="s">
        <v>1968</v>
      </c>
      <c r="B942" t="s">
        <v>1969</v>
      </c>
      <c r="C942" t="s">
        <v>2338</v>
      </c>
      <c r="D942" t="s">
        <v>2454</v>
      </c>
      <c r="E942" t="str">
        <f t="shared" si="164"/>
        <v>Erica Jackson</v>
      </c>
      <c r="H942" t="s">
        <v>86</v>
      </c>
      <c r="I942" t="str">
        <f t="shared" si="165"/>
        <v>Female</v>
      </c>
      <c r="J942">
        <v>37</v>
      </c>
      <c r="K942">
        <f t="shared" si="166"/>
        <v>37</v>
      </c>
      <c r="L942" t="str">
        <f t="shared" si="167"/>
        <v>Second level</v>
      </c>
      <c r="M942" t="s">
        <v>55</v>
      </c>
      <c r="N942" t="s">
        <v>56</v>
      </c>
      <c r="O942" t="s">
        <v>25</v>
      </c>
      <c r="P942">
        <v>9</v>
      </c>
      <c r="Q942">
        <f t="shared" si="168"/>
        <v>9</v>
      </c>
      <c r="R942" t="s">
        <v>50</v>
      </c>
      <c r="S942" s="8" t="s">
        <v>50</v>
      </c>
      <c r="T942" s="9">
        <v>30</v>
      </c>
      <c r="U942" s="9">
        <f t="shared" si="169"/>
        <v>30</v>
      </c>
      <c r="V942" s="10">
        <v>30</v>
      </c>
      <c r="W942">
        <v>2.7</v>
      </c>
      <c r="X942" s="11">
        <f t="shared" si="170"/>
        <v>2.7</v>
      </c>
      <c r="Y942" t="s">
        <v>2103</v>
      </c>
      <c r="Z942" t="str">
        <f t="shared" si="171"/>
        <v>Yes</v>
      </c>
      <c r="AA942" t="str">
        <f t="shared" si="172"/>
        <v>Yes</v>
      </c>
      <c r="AB942" t="str">
        <f t="shared" si="173"/>
        <v>Yes</v>
      </c>
      <c r="AC942" s="12"/>
      <c r="AD942" s="12">
        <f t="shared" si="174"/>
        <v>79.944444444444443</v>
      </c>
    </row>
    <row r="943" spans="1:30" x14ac:dyDescent="0.3">
      <c r="A943" t="s">
        <v>1970</v>
      </c>
      <c r="B943" t="s">
        <v>1971</v>
      </c>
      <c r="C943" t="s">
        <v>2476</v>
      </c>
      <c r="D943" t="s">
        <v>2901</v>
      </c>
      <c r="E943" t="str">
        <f t="shared" si="164"/>
        <v>Nancy Glover</v>
      </c>
      <c r="H943" t="s">
        <v>22</v>
      </c>
      <c r="I943" t="str">
        <f t="shared" si="165"/>
        <v>Female</v>
      </c>
      <c r="J943">
        <v>38</v>
      </c>
      <c r="K943">
        <f t="shared" si="166"/>
        <v>38</v>
      </c>
      <c r="L943" t="str">
        <f t="shared" si="167"/>
        <v>Second level</v>
      </c>
      <c r="M943" t="s">
        <v>117</v>
      </c>
      <c r="N943" t="s">
        <v>118</v>
      </c>
      <c r="O943" t="s">
        <v>49</v>
      </c>
      <c r="P943">
        <v>15</v>
      </c>
      <c r="Q943">
        <f t="shared" si="168"/>
        <v>15</v>
      </c>
      <c r="R943" t="s">
        <v>76</v>
      </c>
      <c r="S943" s="8" t="s">
        <v>76</v>
      </c>
      <c r="T943" s="9">
        <v>40</v>
      </c>
      <c r="U943" s="9">
        <f t="shared" si="169"/>
        <v>40</v>
      </c>
      <c r="V943" s="10">
        <v>40</v>
      </c>
      <c r="W943">
        <v>4</v>
      </c>
      <c r="X943" s="11">
        <f t="shared" si="170"/>
        <v>4</v>
      </c>
      <c r="Y943" t="s">
        <v>65</v>
      </c>
      <c r="AA943" t="str">
        <f t="shared" si="172"/>
        <v>Unknown</v>
      </c>
      <c r="AB943" t="str">
        <f t="shared" si="173"/>
        <v>Unknown</v>
      </c>
      <c r="AC943" s="12">
        <v>62</v>
      </c>
      <c r="AD943" s="12">
        <f t="shared" si="174"/>
        <v>62</v>
      </c>
    </row>
    <row r="944" spans="1:30" x14ac:dyDescent="0.3">
      <c r="A944" t="s">
        <v>1972</v>
      </c>
      <c r="B944" t="s">
        <v>1973</v>
      </c>
      <c r="C944" t="s">
        <v>2428</v>
      </c>
      <c r="D944" t="s">
        <v>2638</v>
      </c>
      <c r="E944" t="str">
        <f t="shared" si="164"/>
        <v>Richard Sanchez</v>
      </c>
      <c r="H944" t="s">
        <v>69</v>
      </c>
      <c r="I944" t="str">
        <f t="shared" si="165"/>
        <v>Male</v>
      </c>
      <c r="J944">
        <v>40</v>
      </c>
      <c r="K944">
        <f t="shared" si="166"/>
        <v>40</v>
      </c>
      <c r="L944" t="str">
        <f t="shared" si="167"/>
        <v>Second level</v>
      </c>
      <c r="M944" t="s">
        <v>138</v>
      </c>
      <c r="N944" t="s">
        <v>24</v>
      </c>
      <c r="O944" t="s">
        <v>57</v>
      </c>
      <c r="P944">
        <v>20</v>
      </c>
      <c r="Q944">
        <f t="shared" si="168"/>
        <v>20</v>
      </c>
      <c r="R944" t="s">
        <v>151</v>
      </c>
      <c r="S944" s="8" t="s">
        <v>151</v>
      </c>
      <c r="T944" s="9">
        <v>20</v>
      </c>
      <c r="U944" s="9">
        <f t="shared" si="169"/>
        <v>20</v>
      </c>
      <c r="V944" s="10">
        <v>20</v>
      </c>
      <c r="W944">
        <v>2.5</v>
      </c>
      <c r="X944" s="11">
        <f t="shared" si="170"/>
        <v>2.5</v>
      </c>
      <c r="Y944" t="s">
        <v>2102</v>
      </c>
      <c r="Z944" t="str">
        <f t="shared" si="171"/>
        <v>No</v>
      </c>
      <c r="AA944" t="str">
        <f t="shared" si="172"/>
        <v>No</v>
      </c>
      <c r="AB944" t="str">
        <f t="shared" si="173"/>
        <v>No</v>
      </c>
      <c r="AC944" s="12">
        <v>81</v>
      </c>
      <c r="AD944" s="12">
        <f t="shared" si="174"/>
        <v>81</v>
      </c>
    </row>
    <row r="945" spans="1:30" x14ac:dyDescent="0.3">
      <c r="A945" t="s">
        <v>1974</v>
      </c>
      <c r="B945" t="s">
        <v>1975</v>
      </c>
      <c r="C945" t="s">
        <v>2180</v>
      </c>
      <c r="D945" t="s">
        <v>2852</v>
      </c>
      <c r="E945" t="str">
        <f t="shared" si="164"/>
        <v>Savannah Reid</v>
      </c>
      <c r="H945" t="s">
        <v>86</v>
      </c>
      <c r="I945" t="str">
        <f t="shared" si="165"/>
        <v>Female</v>
      </c>
      <c r="J945">
        <v>46</v>
      </c>
      <c r="K945">
        <f t="shared" si="166"/>
        <v>46</v>
      </c>
      <c r="L945" t="str">
        <f t="shared" si="167"/>
        <v>Third level</v>
      </c>
      <c r="M945" t="s">
        <v>117</v>
      </c>
      <c r="N945" t="s">
        <v>118</v>
      </c>
      <c r="O945" t="s">
        <v>57</v>
      </c>
      <c r="P945">
        <v>16</v>
      </c>
      <c r="Q945">
        <f t="shared" si="168"/>
        <v>16</v>
      </c>
      <c r="R945" t="s">
        <v>92</v>
      </c>
      <c r="S945" s="8" t="s">
        <v>92</v>
      </c>
      <c r="T945" s="9">
        <v>75</v>
      </c>
      <c r="U945" s="9">
        <f t="shared" si="169"/>
        <v>75</v>
      </c>
      <c r="V945" s="10">
        <v>75</v>
      </c>
      <c r="W945">
        <v>0</v>
      </c>
      <c r="X945" s="11">
        <f t="shared" si="170"/>
        <v>0</v>
      </c>
      <c r="Y945" t="s">
        <v>170</v>
      </c>
      <c r="Z945" t="str">
        <f t="shared" si="171"/>
        <v>no</v>
      </c>
      <c r="AA945" t="str">
        <f t="shared" si="172"/>
        <v>no</v>
      </c>
      <c r="AB945" t="str">
        <f t="shared" si="173"/>
        <v>No</v>
      </c>
      <c r="AC945" s="12">
        <v>94</v>
      </c>
      <c r="AD945" s="12">
        <f t="shared" si="174"/>
        <v>94</v>
      </c>
    </row>
    <row r="946" spans="1:30" x14ac:dyDescent="0.3">
      <c r="A946" t="s">
        <v>1976</v>
      </c>
      <c r="B946" t="s">
        <v>1977</v>
      </c>
      <c r="C946" t="s">
        <v>2165</v>
      </c>
      <c r="D946" t="s">
        <v>2370</v>
      </c>
      <c r="E946" t="str">
        <f t="shared" si="164"/>
        <v>Robert Salazar</v>
      </c>
      <c r="H946" t="s">
        <v>107</v>
      </c>
      <c r="I946" t="str">
        <f t="shared" si="165"/>
        <v>Male</v>
      </c>
      <c r="J946">
        <v>56</v>
      </c>
      <c r="K946">
        <f t="shared" si="166"/>
        <v>56</v>
      </c>
      <c r="L946" t="str">
        <f t="shared" si="167"/>
        <v>Fourth level</v>
      </c>
      <c r="M946" t="s">
        <v>149</v>
      </c>
      <c r="N946" t="s">
        <v>150</v>
      </c>
      <c r="O946" t="s">
        <v>99</v>
      </c>
      <c r="P946">
        <v>22</v>
      </c>
      <c r="Q946">
        <f t="shared" si="168"/>
        <v>22</v>
      </c>
      <c r="R946" t="s">
        <v>119</v>
      </c>
      <c r="S946" s="8" t="s">
        <v>2096</v>
      </c>
      <c r="T946" s="9">
        <v>30</v>
      </c>
      <c r="U946" s="9">
        <f t="shared" si="169"/>
        <v>30</v>
      </c>
      <c r="V946" s="10">
        <v>30</v>
      </c>
      <c r="X946" s="11">
        <f t="shared" si="170"/>
        <v>2.3897959183673474</v>
      </c>
      <c r="Y946" t="s">
        <v>170</v>
      </c>
      <c r="Z946" t="str">
        <f t="shared" si="171"/>
        <v>no</v>
      </c>
      <c r="AA946" t="str">
        <f t="shared" si="172"/>
        <v>no</v>
      </c>
      <c r="AB946" t="str">
        <f t="shared" si="173"/>
        <v>No</v>
      </c>
      <c r="AC946" s="12">
        <v>95</v>
      </c>
      <c r="AD946" s="12">
        <f t="shared" si="174"/>
        <v>95</v>
      </c>
    </row>
    <row r="947" spans="1:30" x14ac:dyDescent="0.3">
      <c r="A947" t="s">
        <v>1978</v>
      </c>
      <c r="B947" t="s">
        <v>1979</v>
      </c>
      <c r="C947" t="s">
        <v>2902</v>
      </c>
      <c r="D947" t="s">
        <v>2767</v>
      </c>
      <c r="E947" t="str">
        <f t="shared" si="164"/>
        <v>Hector Greer</v>
      </c>
      <c r="H947" t="s">
        <v>107</v>
      </c>
      <c r="I947" t="str">
        <f t="shared" si="165"/>
        <v>Male</v>
      </c>
      <c r="J947">
        <v>24</v>
      </c>
      <c r="K947">
        <f t="shared" si="166"/>
        <v>24</v>
      </c>
      <c r="L947" t="str">
        <f t="shared" si="167"/>
        <v>First level</v>
      </c>
      <c r="M947" t="s">
        <v>70</v>
      </c>
      <c r="N947" t="s">
        <v>71</v>
      </c>
      <c r="O947" t="s">
        <v>33</v>
      </c>
      <c r="P947">
        <v>2</v>
      </c>
      <c r="Q947">
        <f t="shared" si="168"/>
        <v>2</v>
      </c>
      <c r="R947" t="s">
        <v>65</v>
      </c>
      <c r="S947" s="8" t="s">
        <v>65</v>
      </c>
      <c r="T947" s="9"/>
      <c r="U947" s="9">
        <f t="shared" si="169"/>
        <v>57.264150943396224</v>
      </c>
      <c r="V947" s="10">
        <v>57.264150943396224</v>
      </c>
      <c r="W947">
        <v>1.6</v>
      </c>
      <c r="X947" s="11">
        <f t="shared" si="170"/>
        <v>1.6</v>
      </c>
      <c r="Y947" t="s">
        <v>170</v>
      </c>
      <c r="Z947" t="str">
        <f t="shared" si="171"/>
        <v>no</v>
      </c>
      <c r="AA947" t="str">
        <f t="shared" si="172"/>
        <v>no</v>
      </c>
      <c r="AB947" t="str">
        <f t="shared" si="173"/>
        <v>No</v>
      </c>
      <c r="AC947" s="12">
        <v>100</v>
      </c>
      <c r="AD947" s="12">
        <f t="shared" si="174"/>
        <v>100</v>
      </c>
    </row>
    <row r="948" spans="1:30" x14ac:dyDescent="0.3">
      <c r="A948" t="s">
        <v>1980</v>
      </c>
      <c r="B948" t="s">
        <v>1981</v>
      </c>
      <c r="C948" t="s">
        <v>2231</v>
      </c>
      <c r="D948" t="s">
        <v>2454</v>
      </c>
      <c r="E948" t="str">
        <f t="shared" si="164"/>
        <v>Thomas Jackson</v>
      </c>
      <c r="H948" t="s">
        <v>107</v>
      </c>
      <c r="I948" t="str">
        <f t="shared" si="165"/>
        <v>Male</v>
      </c>
      <c r="K948">
        <f t="shared" si="166"/>
        <v>41</v>
      </c>
      <c r="L948" t="str">
        <f t="shared" si="167"/>
        <v>Third level</v>
      </c>
      <c r="M948" t="s">
        <v>190</v>
      </c>
      <c r="N948" t="s">
        <v>81</v>
      </c>
      <c r="O948" t="s">
        <v>49</v>
      </c>
      <c r="P948">
        <v>1</v>
      </c>
      <c r="Q948">
        <f t="shared" si="168"/>
        <v>1</v>
      </c>
      <c r="R948" t="s">
        <v>92</v>
      </c>
      <c r="S948" s="8" t="s">
        <v>92</v>
      </c>
      <c r="T948" s="9">
        <v>75</v>
      </c>
      <c r="U948" s="9">
        <f t="shared" si="169"/>
        <v>75</v>
      </c>
      <c r="V948" s="10">
        <v>75</v>
      </c>
      <c r="W948">
        <v>0</v>
      </c>
      <c r="X948" s="11">
        <f t="shared" si="170"/>
        <v>0</v>
      </c>
      <c r="Y948" t="s">
        <v>2103</v>
      </c>
      <c r="Z948" t="str">
        <f t="shared" si="171"/>
        <v>Yes</v>
      </c>
      <c r="AA948" t="str">
        <f t="shared" si="172"/>
        <v>Yes</v>
      </c>
      <c r="AB948" t="str">
        <f t="shared" si="173"/>
        <v>Yes</v>
      </c>
      <c r="AC948" s="12">
        <v>94</v>
      </c>
      <c r="AD948" s="12">
        <f t="shared" si="174"/>
        <v>94</v>
      </c>
    </row>
    <row r="949" spans="1:30" x14ac:dyDescent="0.3">
      <c r="A949" t="s">
        <v>1982</v>
      </c>
      <c r="B949" t="s">
        <v>1983</v>
      </c>
      <c r="C949" t="s">
        <v>2735</v>
      </c>
      <c r="D949" t="s">
        <v>2315</v>
      </c>
      <c r="E949" t="str">
        <f t="shared" si="164"/>
        <v>Tina Clark</v>
      </c>
      <c r="H949" t="s">
        <v>86</v>
      </c>
      <c r="I949" t="str">
        <f t="shared" si="165"/>
        <v>Female</v>
      </c>
      <c r="J949">
        <v>38</v>
      </c>
      <c r="K949">
        <f t="shared" si="166"/>
        <v>38</v>
      </c>
      <c r="L949" t="str">
        <f t="shared" si="167"/>
        <v>Second level</v>
      </c>
      <c r="M949" t="s">
        <v>70</v>
      </c>
      <c r="N949" t="s">
        <v>71</v>
      </c>
      <c r="O949" t="s">
        <v>25</v>
      </c>
      <c r="P949">
        <v>8</v>
      </c>
      <c r="Q949">
        <f t="shared" si="168"/>
        <v>8</v>
      </c>
      <c r="R949" t="s">
        <v>44</v>
      </c>
      <c r="S949" s="8" t="s">
        <v>44</v>
      </c>
      <c r="T949" s="9">
        <v>30</v>
      </c>
      <c r="U949" s="9">
        <f t="shared" si="169"/>
        <v>30</v>
      </c>
      <c r="V949" s="10">
        <v>30</v>
      </c>
      <c r="W949">
        <v>4</v>
      </c>
      <c r="X949" s="11">
        <f t="shared" si="170"/>
        <v>4</v>
      </c>
      <c r="Y949" t="s">
        <v>2103</v>
      </c>
      <c r="Z949" t="str">
        <f t="shared" si="171"/>
        <v>Yes</v>
      </c>
      <c r="AA949" t="str">
        <f t="shared" si="172"/>
        <v>Yes</v>
      </c>
      <c r="AB949" t="str">
        <f t="shared" si="173"/>
        <v>Yes</v>
      </c>
      <c r="AC949" s="12">
        <v>92</v>
      </c>
      <c r="AD949" s="12">
        <f t="shared" si="174"/>
        <v>92</v>
      </c>
    </row>
    <row r="950" spans="1:30" x14ac:dyDescent="0.3">
      <c r="A950" t="s">
        <v>1984</v>
      </c>
      <c r="B950" t="s">
        <v>1985</v>
      </c>
      <c r="C950" t="s">
        <v>2473</v>
      </c>
      <c r="D950" t="s">
        <v>2186</v>
      </c>
      <c r="E950" t="str">
        <f t="shared" si="164"/>
        <v>Heather Brown</v>
      </c>
      <c r="H950" t="s">
        <v>86</v>
      </c>
      <c r="I950" t="str">
        <f t="shared" si="165"/>
        <v>Female</v>
      </c>
      <c r="J950">
        <v>28</v>
      </c>
      <c r="K950">
        <f t="shared" si="166"/>
        <v>28</v>
      </c>
      <c r="L950" t="str">
        <f t="shared" si="167"/>
        <v>First level</v>
      </c>
      <c r="M950" t="s">
        <v>145</v>
      </c>
      <c r="N950" t="s">
        <v>146</v>
      </c>
      <c r="O950" t="s">
        <v>99</v>
      </c>
      <c r="P950">
        <v>8</v>
      </c>
      <c r="Q950">
        <f t="shared" si="168"/>
        <v>8</v>
      </c>
      <c r="R950" t="s">
        <v>108</v>
      </c>
      <c r="S950" s="8" t="s">
        <v>2095</v>
      </c>
      <c r="T950" s="9">
        <v>50</v>
      </c>
      <c r="U950" s="9">
        <f t="shared" si="169"/>
        <v>50</v>
      </c>
      <c r="V950" s="10">
        <v>50</v>
      </c>
      <c r="W950">
        <v>2.5</v>
      </c>
      <c r="X950" s="11">
        <f t="shared" si="170"/>
        <v>2.5</v>
      </c>
      <c r="Y950" t="s">
        <v>2103</v>
      </c>
      <c r="Z950" t="str">
        <f t="shared" si="171"/>
        <v>Yes</v>
      </c>
      <c r="AA950" t="str">
        <f t="shared" si="172"/>
        <v>Yes</v>
      </c>
      <c r="AB950" t="str">
        <f t="shared" si="173"/>
        <v>Yes</v>
      </c>
      <c r="AC950" s="12">
        <v>95</v>
      </c>
      <c r="AD950" s="12">
        <f t="shared" si="174"/>
        <v>95</v>
      </c>
    </row>
    <row r="951" spans="1:30" x14ac:dyDescent="0.3">
      <c r="A951" t="s">
        <v>1986</v>
      </c>
      <c r="B951" t="s">
        <v>1987</v>
      </c>
      <c r="C951" t="s">
        <v>2366</v>
      </c>
      <c r="D951" t="s">
        <v>2615</v>
      </c>
      <c r="E951" t="str">
        <f t="shared" si="164"/>
        <v>John Weaver</v>
      </c>
      <c r="H951" t="s">
        <v>107</v>
      </c>
      <c r="I951" t="str">
        <f t="shared" si="165"/>
        <v>Male</v>
      </c>
      <c r="J951">
        <v>25</v>
      </c>
      <c r="K951">
        <f t="shared" si="166"/>
        <v>25</v>
      </c>
      <c r="L951" t="str">
        <f t="shared" si="167"/>
        <v>First level</v>
      </c>
      <c r="M951" t="s">
        <v>117</v>
      </c>
      <c r="N951" t="s">
        <v>118</v>
      </c>
      <c r="O951" t="s">
        <v>99</v>
      </c>
      <c r="P951">
        <v>7</v>
      </c>
      <c r="Q951">
        <f t="shared" si="168"/>
        <v>7</v>
      </c>
      <c r="R951" t="s">
        <v>131</v>
      </c>
      <c r="S951" s="8" t="s">
        <v>131</v>
      </c>
      <c r="T951" s="9">
        <v>20</v>
      </c>
      <c r="U951" s="9">
        <f t="shared" si="169"/>
        <v>20</v>
      </c>
      <c r="V951" s="10">
        <v>20</v>
      </c>
      <c r="W951">
        <v>3.8</v>
      </c>
      <c r="X951" s="11">
        <f t="shared" si="170"/>
        <v>3.8</v>
      </c>
      <c r="Y951" t="s">
        <v>65</v>
      </c>
      <c r="AA951" t="str">
        <f t="shared" si="172"/>
        <v>Unknown</v>
      </c>
      <c r="AB951" t="str">
        <f t="shared" si="173"/>
        <v>Unknown</v>
      </c>
      <c r="AC951" s="12">
        <v>97</v>
      </c>
      <c r="AD951" s="12">
        <f t="shared" si="174"/>
        <v>97</v>
      </c>
    </row>
    <row r="952" spans="1:30" x14ac:dyDescent="0.3">
      <c r="A952" t="s">
        <v>1988</v>
      </c>
      <c r="B952" t="s">
        <v>1989</v>
      </c>
      <c r="C952" t="s">
        <v>2561</v>
      </c>
      <c r="D952" t="s">
        <v>2238</v>
      </c>
      <c r="E952" t="str">
        <f t="shared" si="164"/>
        <v>Bradley Harris</v>
      </c>
      <c r="H952" t="s">
        <v>107</v>
      </c>
      <c r="I952" t="str">
        <f t="shared" si="165"/>
        <v>Male</v>
      </c>
      <c r="J952">
        <v>41</v>
      </c>
      <c r="K952">
        <f t="shared" si="166"/>
        <v>41</v>
      </c>
      <c r="L952" t="str">
        <f t="shared" si="167"/>
        <v>Third level</v>
      </c>
      <c r="M952" t="s">
        <v>75</v>
      </c>
      <c r="N952" t="s">
        <v>24</v>
      </c>
      <c r="O952" t="s">
        <v>99</v>
      </c>
      <c r="P952">
        <v>8</v>
      </c>
      <c r="Q952">
        <f t="shared" si="168"/>
        <v>8</v>
      </c>
      <c r="R952" t="s">
        <v>34</v>
      </c>
      <c r="S952" s="8" t="s">
        <v>34</v>
      </c>
      <c r="T952" s="9">
        <v>50</v>
      </c>
      <c r="U952" s="9">
        <f t="shared" si="169"/>
        <v>50</v>
      </c>
      <c r="V952" s="10">
        <v>50</v>
      </c>
      <c r="W952">
        <v>4.8</v>
      </c>
      <c r="X952" s="11">
        <f t="shared" si="170"/>
        <v>4.8</v>
      </c>
      <c r="Y952" t="s">
        <v>2102</v>
      </c>
      <c r="Z952" t="str">
        <f t="shared" si="171"/>
        <v>No</v>
      </c>
      <c r="AA952" t="str">
        <f t="shared" si="172"/>
        <v>No</v>
      </c>
      <c r="AB952" t="str">
        <f t="shared" si="173"/>
        <v>No</v>
      </c>
      <c r="AC952" s="12">
        <v>75</v>
      </c>
      <c r="AD952" s="12">
        <f t="shared" si="174"/>
        <v>75</v>
      </c>
    </row>
    <row r="953" spans="1:30" x14ac:dyDescent="0.3">
      <c r="A953" t="s">
        <v>1990</v>
      </c>
      <c r="B953" t="s">
        <v>1991</v>
      </c>
      <c r="C953" t="s">
        <v>2700</v>
      </c>
      <c r="D953" t="s">
        <v>2903</v>
      </c>
      <c r="E953" t="str">
        <f t="shared" si="164"/>
        <v>Cassandra Macdonald</v>
      </c>
      <c r="H953" t="s">
        <v>86</v>
      </c>
      <c r="I953" t="str">
        <f t="shared" si="165"/>
        <v>Female</v>
      </c>
      <c r="J953">
        <v>45</v>
      </c>
      <c r="K953">
        <f t="shared" si="166"/>
        <v>45</v>
      </c>
      <c r="L953" t="str">
        <f t="shared" si="167"/>
        <v>Third level</v>
      </c>
      <c r="M953" t="s">
        <v>190</v>
      </c>
      <c r="N953" t="s">
        <v>81</v>
      </c>
      <c r="O953" t="s">
        <v>57</v>
      </c>
      <c r="P953">
        <v>6</v>
      </c>
      <c r="Q953">
        <f t="shared" si="168"/>
        <v>6</v>
      </c>
      <c r="R953" t="s">
        <v>76</v>
      </c>
      <c r="S953" s="8" t="s">
        <v>76</v>
      </c>
      <c r="T953" s="9">
        <v>40</v>
      </c>
      <c r="U953" s="9">
        <f t="shared" si="169"/>
        <v>40</v>
      </c>
      <c r="V953" s="10">
        <v>40</v>
      </c>
      <c r="W953">
        <v>2</v>
      </c>
      <c r="X953" s="11">
        <f t="shared" si="170"/>
        <v>2</v>
      </c>
      <c r="Y953" t="s">
        <v>2103</v>
      </c>
      <c r="Z953" t="str">
        <f t="shared" si="171"/>
        <v>Yes</v>
      </c>
      <c r="AA953" t="str">
        <f t="shared" si="172"/>
        <v>Yes</v>
      </c>
      <c r="AB953" t="str">
        <f t="shared" si="173"/>
        <v>Yes</v>
      </c>
      <c r="AC953" s="12">
        <v>78</v>
      </c>
      <c r="AD953" s="12">
        <f t="shared" si="174"/>
        <v>78</v>
      </c>
    </row>
    <row r="954" spans="1:30" x14ac:dyDescent="0.3">
      <c r="A954" t="s">
        <v>1992</v>
      </c>
      <c r="B954" t="s">
        <v>1993</v>
      </c>
      <c r="C954" t="s">
        <v>2124</v>
      </c>
      <c r="D954" t="s">
        <v>2176</v>
      </c>
      <c r="E954" t="str">
        <f t="shared" si="164"/>
        <v>Matthew White</v>
      </c>
      <c r="H954" t="s">
        <v>107</v>
      </c>
      <c r="I954" t="str">
        <f t="shared" si="165"/>
        <v>Male</v>
      </c>
      <c r="J954">
        <v>47</v>
      </c>
      <c r="K954">
        <f t="shared" si="166"/>
        <v>47</v>
      </c>
      <c r="L954" t="str">
        <f t="shared" si="167"/>
        <v>Third level</v>
      </c>
      <c r="M954" t="s">
        <v>70</v>
      </c>
      <c r="N954" t="s">
        <v>71</v>
      </c>
      <c r="O954" t="s">
        <v>99</v>
      </c>
      <c r="P954">
        <v>16</v>
      </c>
      <c r="Q954">
        <f t="shared" si="168"/>
        <v>16</v>
      </c>
      <c r="R954" t="s">
        <v>240</v>
      </c>
      <c r="S954" s="8" t="s">
        <v>18</v>
      </c>
      <c r="T954" s="9">
        <v>100</v>
      </c>
      <c r="U954" s="9">
        <f t="shared" si="169"/>
        <v>100</v>
      </c>
      <c r="V954" s="10">
        <v>100</v>
      </c>
      <c r="W954">
        <v>3.3</v>
      </c>
      <c r="X954" s="11">
        <f t="shared" si="170"/>
        <v>3.3</v>
      </c>
      <c r="Y954" t="s">
        <v>2102</v>
      </c>
      <c r="Z954" t="str">
        <f t="shared" si="171"/>
        <v>No</v>
      </c>
      <c r="AA954" t="str">
        <f t="shared" si="172"/>
        <v>No</v>
      </c>
      <c r="AB954" t="str">
        <f t="shared" si="173"/>
        <v>No</v>
      </c>
      <c r="AC954" s="12">
        <v>65</v>
      </c>
      <c r="AD954" s="12">
        <f t="shared" si="174"/>
        <v>65</v>
      </c>
    </row>
    <row r="955" spans="1:30" x14ac:dyDescent="0.3">
      <c r="A955" t="s">
        <v>1994</v>
      </c>
      <c r="B955" t="s">
        <v>1995</v>
      </c>
      <c r="C955" t="s">
        <v>2701</v>
      </c>
      <c r="D955" t="s">
        <v>2281</v>
      </c>
      <c r="E955" t="str">
        <f t="shared" si="164"/>
        <v>Miss Kimberly</v>
      </c>
      <c r="H955" t="s">
        <v>86</v>
      </c>
      <c r="I955" t="str">
        <f t="shared" si="165"/>
        <v>Female</v>
      </c>
      <c r="J955">
        <v>59</v>
      </c>
      <c r="K955">
        <f t="shared" si="166"/>
        <v>59</v>
      </c>
      <c r="L955" t="str">
        <f t="shared" si="167"/>
        <v>Fourth level</v>
      </c>
      <c r="M955" t="s">
        <v>75</v>
      </c>
      <c r="N955" t="s">
        <v>24</v>
      </c>
      <c r="O955" t="s">
        <v>57</v>
      </c>
      <c r="P955">
        <v>40</v>
      </c>
      <c r="Q955">
        <f t="shared" si="168"/>
        <v>40</v>
      </c>
      <c r="R955" t="s">
        <v>76</v>
      </c>
      <c r="S955" s="8" t="s">
        <v>76</v>
      </c>
      <c r="T955" s="9">
        <v>40</v>
      </c>
      <c r="U955" s="9">
        <f t="shared" si="169"/>
        <v>40</v>
      </c>
      <c r="V955" s="10">
        <v>40</v>
      </c>
      <c r="W955">
        <v>2.5</v>
      </c>
      <c r="X955" s="11">
        <f t="shared" si="170"/>
        <v>2.5</v>
      </c>
      <c r="Y955" t="s">
        <v>2103</v>
      </c>
      <c r="Z955" t="str">
        <f t="shared" si="171"/>
        <v>Yes</v>
      </c>
      <c r="AA955" t="str">
        <f t="shared" si="172"/>
        <v>Yes</v>
      </c>
      <c r="AB955" t="str">
        <f t="shared" si="173"/>
        <v>Yes</v>
      </c>
      <c r="AC955" s="12">
        <v>70</v>
      </c>
      <c r="AD955" s="12">
        <f t="shared" si="174"/>
        <v>70</v>
      </c>
    </row>
    <row r="956" spans="1:30" x14ac:dyDescent="0.3">
      <c r="A956" t="s">
        <v>1996</v>
      </c>
      <c r="B956" t="s">
        <v>1997</v>
      </c>
      <c r="C956" t="s">
        <v>2137</v>
      </c>
      <c r="D956" t="s">
        <v>2228</v>
      </c>
      <c r="E956" t="str">
        <f t="shared" si="164"/>
        <v>Laura Thompson</v>
      </c>
      <c r="H956" t="s">
        <v>86</v>
      </c>
      <c r="I956" t="str">
        <f t="shared" si="165"/>
        <v>Female</v>
      </c>
      <c r="J956">
        <v>25</v>
      </c>
      <c r="K956">
        <f t="shared" si="166"/>
        <v>25</v>
      </c>
      <c r="L956" t="str">
        <f t="shared" si="167"/>
        <v>First level</v>
      </c>
      <c r="M956" t="s">
        <v>138</v>
      </c>
      <c r="N956" t="s">
        <v>24</v>
      </c>
      <c r="O956" t="s">
        <v>17</v>
      </c>
      <c r="P956">
        <v>6</v>
      </c>
      <c r="Q956">
        <f t="shared" si="168"/>
        <v>6</v>
      </c>
      <c r="R956" t="s">
        <v>240</v>
      </c>
      <c r="S956" s="8" t="s">
        <v>18</v>
      </c>
      <c r="T956" s="9">
        <v>100</v>
      </c>
      <c r="U956" s="9">
        <f t="shared" si="169"/>
        <v>100</v>
      </c>
      <c r="V956" s="10">
        <v>100</v>
      </c>
      <c r="X956" s="11">
        <f t="shared" si="170"/>
        <v>2.3150000000000004</v>
      </c>
      <c r="Y956" t="s">
        <v>2103</v>
      </c>
      <c r="Z956" t="str">
        <f t="shared" si="171"/>
        <v>Yes</v>
      </c>
      <c r="AA956" t="str">
        <f t="shared" si="172"/>
        <v>Yes</v>
      </c>
      <c r="AB956" t="str">
        <f t="shared" si="173"/>
        <v>Yes</v>
      </c>
      <c r="AC956" s="12">
        <v>78</v>
      </c>
      <c r="AD956" s="12">
        <f t="shared" si="174"/>
        <v>78</v>
      </c>
    </row>
    <row r="957" spans="1:30" x14ac:dyDescent="0.3">
      <c r="A957" t="s">
        <v>1998</v>
      </c>
      <c r="B957" t="s">
        <v>1999</v>
      </c>
      <c r="C957" t="s">
        <v>2355</v>
      </c>
      <c r="D957" t="s">
        <v>2862</v>
      </c>
      <c r="E957" t="str">
        <f t="shared" si="164"/>
        <v>Nathan Soto</v>
      </c>
      <c r="H957" t="s">
        <v>107</v>
      </c>
      <c r="I957" t="str">
        <f t="shared" si="165"/>
        <v>Male</v>
      </c>
      <c r="J957">
        <v>27</v>
      </c>
      <c r="K957">
        <f t="shared" si="166"/>
        <v>27</v>
      </c>
      <c r="L957" t="str">
        <f t="shared" si="167"/>
        <v>First level</v>
      </c>
      <c r="M957" t="s">
        <v>23</v>
      </c>
      <c r="N957" t="s">
        <v>24</v>
      </c>
      <c r="O957" t="s">
        <v>39</v>
      </c>
      <c r="P957">
        <v>3</v>
      </c>
      <c r="Q957">
        <f t="shared" si="168"/>
        <v>3</v>
      </c>
      <c r="R957" t="s">
        <v>108</v>
      </c>
      <c r="S957" s="8" t="s">
        <v>2095</v>
      </c>
      <c r="T957" s="9">
        <v>50</v>
      </c>
      <c r="U957" s="9">
        <f t="shared" si="169"/>
        <v>50</v>
      </c>
      <c r="V957" s="10">
        <v>50</v>
      </c>
      <c r="X957" s="11">
        <f t="shared" si="170"/>
        <v>2.3150000000000004</v>
      </c>
      <c r="Y957" t="s">
        <v>2103</v>
      </c>
      <c r="Z957" t="str">
        <f t="shared" si="171"/>
        <v>Yes</v>
      </c>
      <c r="AA957" t="str">
        <f t="shared" si="172"/>
        <v>Yes</v>
      </c>
      <c r="AB957" t="str">
        <f t="shared" si="173"/>
        <v>Yes</v>
      </c>
      <c r="AC957" s="12">
        <v>96</v>
      </c>
      <c r="AD957" s="12">
        <f t="shared" si="174"/>
        <v>96</v>
      </c>
    </row>
    <row r="958" spans="1:30" x14ac:dyDescent="0.3">
      <c r="A958" t="s">
        <v>2000</v>
      </c>
      <c r="B958" t="s">
        <v>2001</v>
      </c>
      <c r="C958" t="s">
        <v>2845</v>
      </c>
      <c r="D958" t="s">
        <v>2791</v>
      </c>
      <c r="E958" t="str">
        <f t="shared" si="164"/>
        <v>Rhonda Hines</v>
      </c>
      <c r="H958" t="s">
        <v>86</v>
      </c>
      <c r="I958" t="str">
        <f t="shared" si="165"/>
        <v>Female</v>
      </c>
      <c r="J958">
        <v>57</v>
      </c>
      <c r="K958">
        <f t="shared" si="166"/>
        <v>57</v>
      </c>
      <c r="L958" t="str">
        <f t="shared" si="167"/>
        <v>Fourth level</v>
      </c>
      <c r="M958" t="s">
        <v>23</v>
      </c>
      <c r="N958" t="s">
        <v>24</v>
      </c>
      <c r="O958" t="s">
        <v>49</v>
      </c>
      <c r="P958">
        <v>5</v>
      </c>
      <c r="Q958">
        <f t="shared" si="168"/>
        <v>5</v>
      </c>
      <c r="R958" t="s">
        <v>26</v>
      </c>
      <c r="S958" s="8" t="s">
        <v>18</v>
      </c>
      <c r="T958" s="9">
        <v>100</v>
      </c>
      <c r="U958" s="9">
        <f t="shared" si="169"/>
        <v>100</v>
      </c>
      <c r="V958" s="10">
        <v>100</v>
      </c>
      <c r="W958">
        <v>0</v>
      </c>
      <c r="X958" s="11">
        <f t="shared" si="170"/>
        <v>0</v>
      </c>
      <c r="Y958" t="s">
        <v>2103</v>
      </c>
      <c r="Z958" t="str">
        <f t="shared" si="171"/>
        <v>Yes</v>
      </c>
      <c r="AA958" t="str">
        <f t="shared" si="172"/>
        <v>Yes</v>
      </c>
      <c r="AB958" t="str">
        <f t="shared" si="173"/>
        <v>Yes</v>
      </c>
      <c r="AC958" s="12">
        <v>80</v>
      </c>
      <c r="AD958" s="12">
        <f t="shared" si="174"/>
        <v>80</v>
      </c>
    </row>
    <row r="959" spans="1:30" x14ac:dyDescent="0.3">
      <c r="A959" t="s">
        <v>2002</v>
      </c>
      <c r="B959" t="s">
        <v>2003</v>
      </c>
      <c r="C959" t="s">
        <v>2904</v>
      </c>
      <c r="D959" t="s">
        <v>2640</v>
      </c>
      <c r="E959" t="str">
        <f t="shared" si="164"/>
        <v>Gabrielle Bowman</v>
      </c>
      <c r="H959" t="s">
        <v>86</v>
      </c>
      <c r="I959" t="str">
        <f t="shared" si="165"/>
        <v>Female</v>
      </c>
      <c r="J959">
        <v>34</v>
      </c>
      <c r="K959">
        <f t="shared" si="166"/>
        <v>34</v>
      </c>
      <c r="L959" t="str">
        <f t="shared" si="167"/>
        <v>Second level</v>
      </c>
      <c r="M959" t="s">
        <v>70</v>
      </c>
      <c r="N959" t="s">
        <v>71</v>
      </c>
      <c r="O959" t="s">
        <v>82</v>
      </c>
      <c r="P959">
        <v>12</v>
      </c>
      <c r="Q959">
        <f t="shared" si="168"/>
        <v>12</v>
      </c>
      <c r="R959" t="s">
        <v>131</v>
      </c>
      <c r="S959" s="8" t="s">
        <v>131</v>
      </c>
      <c r="T959" s="9">
        <v>20</v>
      </c>
      <c r="U959" s="9">
        <f t="shared" si="169"/>
        <v>20</v>
      </c>
      <c r="V959" s="10">
        <v>20</v>
      </c>
      <c r="W959">
        <v>1.6</v>
      </c>
      <c r="X959" s="11">
        <f t="shared" si="170"/>
        <v>1.6</v>
      </c>
      <c r="Y959" t="s">
        <v>77</v>
      </c>
      <c r="Z959" t="str">
        <f t="shared" si="171"/>
        <v>yes</v>
      </c>
      <c r="AA959" t="str">
        <f t="shared" si="172"/>
        <v>yes</v>
      </c>
      <c r="AB959" t="str">
        <f t="shared" si="173"/>
        <v>Yes</v>
      </c>
      <c r="AC959" s="12">
        <v>64</v>
      </c>
      <c r="AD959" s="12">
        <f t="shared" si="174"/>
        <v>64</v>
      </c>
    </row>
    <row r="960" spans="1:30" x14ac:dyDescent="0.3">
      <c r="A960" t="s">
        <v>2004</v>
      </c>
      <c r="B960" t="s">
        <v>2005</v>
      </c>
      <c r="C960" t="s">
        <v>2905</v>
      </c>
      <c r="D960" t="s">
        <v>2349</v>
      </c>
      <c r="E960" t="str">
        <f t="shared" si="164"/>
        <v>Julian Edwards</v>
      </c>
      <c r="H960" t="s">
        <v>107</v>
      </c>
      <c r="I960" t="str">
        <f t="shared" si="165"/>
        <v>Male</v>
      </c>
      <c r="J960">
        <v>55</v>
      </c>
      <c r="K960">
        <f t="shared" si="166"/>
        <v>55</v>
      </c>
      <c r="L960" t="str">
        <f t="shared" si="167"/>
        <v>Fourth level</v>
      </c>
      <c r="M960" t="s">
        <v>145</v>
      </c>
      <c r="N960" t="s">
        <v>146</v>
      </c>
      <c r="O960" t="s">
        <v>82</v>
      </c>
      <c r="P960">
        <v>33</v>
      </c>
      <c r="Q960">
        <f t="shared" si="168"/>
        <v>33</v>
      </c>
      <c r="R960" t="s">
        <v>34</v>
      </c>
      <c r="S960" s="8" t="s">
        <v>34</v>
      </c>
      <c r="T960" s="9">
        <v>50</v>
      </c>
      <c r="U960" s="9">
        <f t="shared" si="169"/>
        <v>50</v>
      </c>
      <c r="V960" s="10">
        <v>50</v>
      </c>
      <c r="W960">
        <v>0</v>
      </c>
      <c r="X960" s="11">
        <f t="shared" si="170"/>
        <v>0</v>
      </c>
      <c r="Y960" t="s">
        <v>2102</v>
      </c>
      <c r="Z960" t="str">
        <f t="shared" si="171"/>
        <v>No</v>
      </c>
      <c r="AA960" t="str">
        <f t="shared" si="172"/>
        <v>No</v>
      </c>
      <c r="AB960" t="str">
        <f t="shared" si="173"/>
        <v>No</v>
      </c>
      <c r="AC960" s="12">
        <v>92</v>
      </c>
      <c r="AD960" s="12">
        <f t="shared" si="174"/>
        <v>92</v>
      </c>
    </row>
    <row r="961" spans="1:30" x14ac:dyDescent="0.3">
      <c r="A961" t="s">
        <v>2006</v>
      </c>
      <c r="B961" t="s">
        <v>2007</v>
      </c>
      <c r="C961" t="s">
        <v>2233</v>
      </c>
      <c r="D961" t="s">
        <v>2138</v>
      </c>
      <c r="E961" t="str">
        <f t="shared" si="164"/>
        <v>Nicholas Scott</v>
      </c>
      <c r="H961" t="s">
        <v>30</v>
      </c>
      <c r="I961" t="str">
        <f t="shared" si="165"/>
        <v>Male</v>
      </c>
      <c r="J961">
        <v>21</v>
      </c>
      <c r="K961">
        <f t="shared" si="166"/>
        <v>21</v>
      </c>
      <c r="L961" t="str">
        <f t="shared" si="167"/>
        <v>First level</v>
      </c>
      <c r="M961" t="s">
        <v>149</v>
      </c>
      <c r="N961" t="s">
        <v>150</v>
      </c>
      <c r="O961" t="s">
        <v>17</v>
      </c>
      <c r="P961">
        <v>1</v>
      </c>
      <c r="Q961">
        <f t="shared" si="168"/>
        <v>1</v>
      </c>
      <c r="R961" t="s">
        <v>18</v>
      </c>
      <c r="S961" s="8" t="s">
        <v>18</v>
      </c>
      <c r="T961" s="9">
        <v>100</v>
      </c>
      <c r="U961" s="9">
        <f t="shared" si="169"/>
        <v>100</v>
      </c>
      <c r="V961" s="10">
        <v>100</v>
      </c>
      <c r="W961">
        <v>0</v>
      </c>
      <c r="X961" s="11">
        <f t="shared" si="170"/>
        <v>0</v>
      </c>
      <c r="Y961" t="s">
        <v>2103</v>
      </c>
      <c r="Z961" t="str">
        <f t="shared" si="171"/>
        <v>Yes</v>
      </c>
      <c r="AA961" t="str">
        <f t="shared" si="172"/>
        <v>Yes</v>
      </c>
      <c r="AB961" t="str">
        <f t="shared" si="173"/>
        <v>Yes</v>
      </c>
      <c r="AC961" s="12"/>
      <c r="AD961" s="12">
        <f t="shared" si="174"/>
        <v>78.027777777777771</v>
      </c>
    </row>
    <row r="962" spans="1:30" x14ac:dyDescent="0.3">
      <c r="A962" t="s">
        <v>2008</v>
      </c>
      <c r="B962" t="s">
        <v>2009</v>
      </c>
      <c r="C962" t="s">
        <v>2447</v>
      </c>
      <c r="D962" t="s">
        <v>2257</v>
      </c>
      <c r="E962" t="str">
        <f t="shared" si="164"/>
        <v>Daniel Green</v>
      </c>
      <c r="H962" t="s">
        <v>69</v>
      </c>
      <c r="I962" t="str">
        <f t="shared" si="165"/>
        <v>Male</v>
      </c>
      <c r="J962">
        <v>53</v>
      </c>
      <c r="K962">
        <f t="shared" si="166"/>
        <v>53</v>
      </c>
      <c r="L962" t="str">
        <f t="shared" si="167"/>
        <v>Fourth level</v>
      </c>
      <c r="M962" t="s">
        <v>47</v>
      </c>
      <c r="N962" t="s">
        <v>48</v>
      </c>
      <c r="O962" t="s">
        <v>99</v>
      </c>
      <c r="P962">
        <v>27</v>
      </c>
      <c r="Q962">
        <f t="shared" si="168"/>
        <v>27</v>
      </c>
      <c r="R962" t="s">
        <v>325</v>
      </c>
      <c r="S962" s="8" t="s">
        <v>2097</v>
      </c>
      <c r="T962" s="9">
        <v>20</v>
      </c>
      <c r="U962" s="9">
        <f t="shared" si="169"/>
        <v>20</v>
      </c>
      <c r="V962" s="10">
        <v>20</v>
      </c>
      <c r="W962">
        <v>4.7</v>
      </c>
      <c r="X962" s="11">
        <f t="shared" si="170"/>
        <v>4.7</v>
      </c>
      <c r="Y962" t="s">
        <v>77</v>
      </c>
      <c r="Z962" t="str">
        <f t="shared" si="171"/>
        <v>yes</v>
      </c>
      <c r="AA962" t="str">
        <f t="shared" si="172"/>
        <v>yes</v>
      </c>
      <c r="AB962" t="str">
        <f t="shared" si="173"/>
        <v>Yes</v>
      </c>
      <c r="AC962" s="12">
        <v>71</v>
      </c>
      <c r="AD962" s="12">
        <f t="shared" si="174"/>
        <v>71</v>
      </c>
    </row>
    <row r="963" spans="1:30" x14ac:dyDescent="0.3">
      <c r="A963" t="s">
        <v>2010</v>
      </c>
      <c r="B963" t="s">
        <v>2011</v>
      </c>
      <c r="C963" t="s">
        <v>2690</v>
      </c>
      <c r="D963" t="s">
        <v>2906</v>
      </c>
      <c r="E963" t="str">
        <f t="shared" ref="E963:E1001" si="175">CONCATENATE(C963," ",D963)</f>
        <v>Catherine Johnston</v>
      </c>
      <c r="H963" t="s">
        <v>86</v>
      </c>
      <c r="I963" t="str">
        <f t="shared" ref="I963:I1001" si="176">PROPER(H963)</f>
        <v>Female</v>
      </c>
      <c r="J963">
        <v>21</v>
      </c>
      <c r="K963">
        <f t="shared" ref="K963:K1001" si="177">IF(ISBLANK(J963),ROUND(AVERAGEIF($I$2:$I$1001,I963,$J$2:$J$1001),0),J963)</f>
        <v>21</v>
      </c>
      <c r="L963" t="str">
        <f t="shared" ref="L963:L1001" si="178">IF(AND(K963&gt;=20,K963&lt;=30),"First level",IF(AND(K963&gt;30,K963&lt;=40),"Second level",IF(AND(K963&gt;40,K963&lt;=50),"Third level",IF(H970&gt;50,"Fourth level"))))</f>
        <v>First level</v>
      </c>
      <c r="M963" t="s">
        <v>31</v>
      </c>
      <c r="N963" t="s">
        <v>32</v>
      </c>
      <c r="O963" t="s">
        <v>82</v>
      </c>
      <c r="P963">
        <v>1</v>
      </c>
      <c r="Q963">
        <f t="shared" ref="Q963:Q1001" si="179">IF(ISBLANK(P963),ROUND(AVERAGEIF($L$2:$L$1001,L963,$P$2:$P$1001),0),P963)</f>
        <v>1</v>
      </c>
      <c r="R963" t="s">
        <v>240</v>
      </c>
      <c r="S963" s="8" t="s">
        <v>18</v>
      </c>
      <c r="T963" s="9">
        <v>100</v>
      </c>
      <c r="U963" s="9">
        <f t="shared" ref="U963:U1001" si="180">IF(ISBLANK(T963),AVERAGE(T962:T1962),T963)</f>
        <v>100</v>
      </c>
      <c r="V963" s="10">
        <v>100</v>
      </c>
      <c r="W963">
        <v>0</v>
      </c>
      <c r="X963" s="11">
        <f t="shared" ref="X963:X1001" si="181">IF(ISBLANK(W963),AVERAGE(W963:W1962),W963)</f>
        <v>0</v>
      </c>
      <c r="Y963" t="s">
        <v>77</v>
      </c>
      <c r="Z963" t="str">
        <f t="shared" ref="Z963:Z1001" si="182">CLEAN(Y963)</f>
        <v>yes</v>
      </c>
      <c r="AA963" t="str">
        <f t="shared" ref="AA963:AA1001" si="183">IF(ISBLANK(Z963),"Unknown",Z963)</f>
        <v>yes</v>
      </c>
      <c r="AB963" t="str">
        <f t="shared" ref="AB963:AB1001" si="184">PROPER(AA963)</f>
        <v>Yes</v>
      </c>
      <c r="AC963" s="12">
        <v>95</v>
      </c>
      <c r="AD963" s="12">
        <f t="shared" ref="AD963:AD1001" si="185">IF(ISBLANK(AC963),AVERAGE(AC963:AC1962),AC963)</f>
        <v>95</v>
      </c>
    </row>
    <row r="964" spans="1:30" x14ac:dyDescent="0.3">
      <c r="A964" t="s">
        <v>2012</v>
      </c>
      <c r="B964" t="s">
        <v>2013</v>
      </c>
      <c r="C964" t="s">
        <v>2256</v>
      </c>
      <c r="D964" t="s">
        <v>2907</v>
      </c>
      <c r="E964" t="str">
        <f t="shared" si="175"/>
        <v>Brenda Koch</v>
      </c>
      <c r="H964" t="s">
        <v>22</v>
      </c>
      <c r="I964" t="str">
        <f t="shared" si="176"/>
        <v>Female</v>
      </c>
      <c r="J964">
        <v>36</v>
      </c>
      <c r="K964">
        <f t="shared" si="177"/>
        <v>36</v>
      </c>
      <c r="L964" t="str">
        <f t="shared" si="178"/>
        <v>Second level</v>
      </c>
      <c r="M964" t="s">
        <v>117</v>
      </c>
      <c r="N964" t="s">
        <v>118</v>
      </c>
      <c r="O964" t="s">
        <v>39</v>
      </c>
      <c r="Q964">
        <f t="shared" si="179"/>
        <v>9</v>
      </c>
      <c r="R964" t="s">
        <v>151</v>
      </c>
      <c r="S964" s="8" t="s">
        <v>151</v>
      </c>
      <c r="T964" s="9">
        <v>20</v>
      </c>
      <c r="U964" s="9">
        <f t="shared" si="180"/>
        <v>20</v>
      </c>
      <c r="V964" s="10">
        <v>20</v>
      </c>
      <c r="W964">
        <v>4.0999999999999996</v>
      </c>
      <c r="X964" s="11">
        <f t="shared" si="181"/>
        <v>4.0999999999999996</v>
      </c>
      <c r="Y964" t="s">
        <v>2102</v>
      </c>
      <c r="Z964" t="str">
        <f t="shared" si="182"/>
        <v>No</v>
      </c>
      <c r="AA964" t="str">
        <f t="shared" si="183"/>
        <v>No</v>
      </c>
      <c r="AB964" t="str">
        <f t="shared" si="184"/>
        <v>No</v>
      </c>
      <c r="AC964" s="12">
        <v>86</v>
      </c>
      <c r="AD964" s="12">
        <f t="shared" si="185"/>
        <v>86</v>
      </c>
    </row>
    <row r="965" spans="1:30" x14ac:dyDescent="0.3">
      <c r="A965" t="s">
        <v>2014</v>
      </c>
      <c r="B965" t="s">
        <v>2015</v>
      </c>
      <c r="C965" t="s">
        <v>2165</v>
      </c>
      <c r="D965" t="s">
        <v>2908</v>
      </c>
      <c r="E965" t="str">
        <f t="shared" si="175"/>
        <v>Robert Meza</v>
      </c>
      <c r="H965" t="s">
        <v>30</v>
      </c>
      <c r="I965" t="str">
        <f t="shared" si="176"/>
        <v>Male</v>
      </c>
      <c r="J965">
        <v>40</v>
      </c>
      <c r="K965">
        <f t="shared" si="177"/>
        <v>40</v>
      </c>
      <c r="L965" t="str">
        <f t="shared" si="178"/>
        <v>Second level</v>
      </c>
      <c r="M965" t="s">
        <v>31</v>
      </c>
      <c r="N965" t="s">
        <v>32</v>
      </c>
      <c r="O965" t="s">
        <v>49</v>
      </c>
      <c r="P965">
        <v>2</v>
      </c>
      <c r="Q965">
        <f t="shared" si="179"/>
        <v>2</v>
      </c>
      <c r="R965" t="s">
        <v>50</v>
      </c>
      <c r="S965" s="8" t="s">
        <v>50</v>
      </c>
      <c r="T965" s="9">
        <v>30</v>
      </c>
      <c r="U965" s="9">
        <f t="shared" si="180"/>
        <v>30</v>
      </c>
      <c r="V965" s="10">
        <v>30</v>
      </c>
      <c r="W965">
        <v>1.3</v>
      </c>
      <c r="X965" s="11">
        <f t="shared" si="181"/>
        <v>1.3</v>
      </c>
      <c r="Y965" t="s">
        <v>2103</v>
      </c>
      <c r="Z965" t="str">
        <f t="shared" si="182"/>
        <v>Yes</v>
      </c>
      <c r="AA965" t="str">
        <f t="shared" si="183"/>
        <v>Yes</v>
      </c>
      <c r="AB965" t="str">
        <f t="shared" si="184"/>
        <v>Yes</v>
      </c>
      <c r="AC965" s="12">
        <v>77</v>
      </c>
      <c r="AD965" s="12">
        <f t="shared" si="185"/>
        <v>77</v>
      </c>
    </row>
    <row r="966" spans="1:30" x14ac:dyDescent="0.3">
      <c r="A966" t="s">
        <v>2016</v>
      </c>
      <c r="B966" t="s">
        <v>2017</v>
      </c>
      <c r="C966" t="s">
        <v>2909</v>
      </c>
      <c r="D966" t="s">
        <v>2186</v>
      </c>
      <c r="E966" t="str">
        <f t="shared" si="175"/>
        <v>Latoya Brown</v>
      </c>
      <c r="H966" t="s">
        <v>86</v>
      </c>
      <c r="I966" t="str">
        <f t="shared" si="176"/>
        <v>Female</v>
      </c>
      <c r="J966">
        <v>59</v>
      </c>
      <c r="K966">
        <f t="shared" si="177"/>
        <v>59</v>
      </c>
      <c r="L966" t="str">
        <f t="shared" si="178"/>
        <v>Fourth level</v>
      </c>
      <c r="M966" t="s">
        <v>75</v>
      </c>
      <c r="N966" t="s">
        <v>24</v>
      </c>
      <c r="O966" t="s">
        <v>82</v>
      </c>
      <c r="P966">
        <v>40</v>
      </c>
      <c r="Q966">
        <f t="shared" si="179"/>
        <v>40</v>
      </c>
      <c r="R966" t="s">
        <v>18</v>
      </c>
      <c r="S966" s="8" t="s">
        <v>18</v>
      </c>
      <c r="T966" s="9">
        <v>100</v>
      </c>
      <c r="U966" s="9">
        <f t="shared" si="180"/>
        <v>100</v>
      </c>
      <c r="V966" s="10">
        <v>100</v>
      </c>
      <c r="W966">
        <v>2.6</v>
      </c>
      <c r="X966" s="11">
        <f t="shared" si="181"/>
        <v>2.6</v>
      </c>
      <c r="Y966" t="s">
        <v>65</v>
      </c>
      <c r="AA966" t="str">
        <f t="shared" si="183"/>
        <v>Unknown</v>
      </c>
      <c r="AB966" t="str">
        <f t="shared" si="184"/>
        <v>Unknown</v>
      </c>
      <c r="AC966" s="12"/>
      <c r="AD966" s="12">
        <f t="shared" si="185"/>
        <v>77.5</v>
      </c>
    </row>
    <row r="967" spans="1:30" x14ac:dyDescent="0.3">
      <c r="A967" t="s">
        <v>2018</v>
      </c>
      <c r="B967" t="s">
        <v>2019</v>
      </c>
      <c r="C967" t="s">
        <v>2273</v>
      </c>
      <c r="D967" t="s">
        <v>2910</v>
      </c>
      <c r="E967" t="str">
        <f t="shared" si="175"/>
        <v>David Osborne</v>
      </c>
      <c r="H967" t="s">
        <v>107</v>
      </c>
      <c r="I967" t="str">
        <f t="shared" si="176"/>
        <v>Male</v>
      </c>
      <c r="J967">
        <v>45</v>
      </c>
      <c r="K967">
        <f t="shared" si="177"/>
        <v>45</v>
      </c>
      <c r="L967" t="str">
        <f t="shared" si="178"/>
        <v>Third level</v>
      </c>
      <c r="M967" t="s">
        <v>47</v>
      </c>
      <c r="N967" t="s">
        <v>48</v>
      </c>
      <c r="O967" t="s">
        <v>87</v>
      </c>
      <c r="P967">
        <v>4</v>
      </c>
      <c r="Q967">
        <f t="shared" si="179"/>
        <v>4</v>
      </c>
      <c r="R967" t="s">
        <v>131</v>
      </c>
      <c r="S967" s="8" t="s">
        <v>131</v>
      </c>
      <c r="T967" s="9">
        <v>20</v>
      </c>
      <c r="U967" s="9">
        <f t="shared" si="180"/>
        <v>20</v>
      </c>
      <c r="V967" s="10">
        <v>20</v>
      </c>
      <c r="W967">
        <v>2.7</v>
      </c>
      <c r="X967" s="11">
        <f t="shared" si="181"/>
        <v>2.7</v>
      </c>
      <c r="Y967" t="s">
        <v>65</v>
      </c>
      <c r="AA967" t="str">
        <f t="shared" si="183"/>
        <v>Unknown</v>
      </c>
      <c r="AB967" t="str">
        <f t="shared" si="184"/>
        <v>Unknown</v>
      </c>
      <c r="AC967" s="12">
        <v>72</v>
      </c>
      <c r="AD967" s="12">
        <f t="shared" si="185"/>
        <v>72</v>
      </c>
    </row>
    <row r="968" spans="1:30" x14ac:dyDescent="0.3">
      <c r="A968" t="s">
        <v>2020</v>
      </c>
      <c r="B968" t="s">
        <v>2021</v>
      </c>
      <c r="C968" t="s">
        <v>2273</v>
      </c>
      <c r="D968" t="s">
        <v>2911</v>
      </c>
      <c r="E968" t="str">
        <f t="shared" si="175"/>
        <v>David Hooper</v>
      </c>
      <c r="H968" t="s">
        <v>69</v>
      </c>
      <c r="I968" t="str">
        <f t="shared" si="176"/>
        <v>Male</v>
      </c>
      <c r="J968">
        <v>44</v>
      </c>
      <c r="K968">
        <f t="shared" si="177"/>
        <v>44</v>
      </c>
      <c r="L968" t="str">
        <f t="shared" si="178"/>
        <v>Third level</v>
      </c>
      <c r="M968" t="s">
        <v>122</v>
      </c>
      <c r="N968" t="s">
        <v>123</v>
      </c>
      <c r="O968" t="s">
        <v>124</v>
      </c>
      <c r="P968">
        <v>9</v>
      </c>
      <c r="Q968">
        <f t="shared" si="179"/>
        <v>9</v>
      </c>
      <c r="R968" t="s">
        <v>76</v>
      </c>
      <c r="S968" s="8" t="s">
        <v>76</v>
      </c>
      <c r="T968" s="9">
        <v>40</v>
      </c>
      <c r="U968" s="9">
        <f t="shared" si="180"/>
        <v>40</v>
      </c>
      <c r="V968" s="10">
        <v>40</v>
      </c>
      <c r="X968" s="11">
        <f t="shared" si="181"/>
        <v>2.5200000000000005</v>
      </c>
      <c r="Y968" t="s">
        <v>2102</v>
      </c>
      <c r="Z968" t="str">
        <f t="shared" si="182"/>
        <v>No</v>
      </c>
      <c r="AA968" t="str">
        <f t="shared" si="183"/>
        <v>No</v>
      </c>
      <c r="AB968" t="str">
        <f t="shared" si="184"/>
        <v>No</v>
      </c>
      <c r="AC968" s="12">
        <v>70</v>
      </c>
      <c r="AD968" s="12">
        <f t="shared" si="185"/>
        <v>70</v>
      </c>
    </row>
    <row r="969" spans="1:30" x14ac:dyDescent="0.3">
      <c r="A969" t="s">
        <v>2022</v>
      </c>
      <c r="B969" t="s">
        <v>2023</v>
      </c>
      <c r="C969" t="s">
        <v>2452</v>
      </c>
      <c r="D969" t="s">
        <v>2232</v>
      </c>
      <c r="E969" t="str">
        <f t="shared" si="175"/>
        <v>Sarah Miller</v>
      </c>
      <c r="H969" t="s">
        <v>22</v>
      </c>
      <c r="I969" t="str">
        <f t="shared" si="176"/>
        <v>Female</v>
      </c>
      <c r="J969">
        <v>36</v>
      </c>
      <c r="K969">
        <f t="shared" si="177"/>
        <v>36</v>
      </c>
      <c r="L969" t="str">
        <f t="shared" si="178"/>
        <v>Second level</v>
      </c>
      <c r="M969" t="s">
        <v>75</v>
      </c>
      <c r="N969" t="s">
        <v>24</v>
      </c>
      <c r="O969" t="s">
        <v>87</v>
      </c>
      <c r="P969">
        <v>13</v>
      </c>
      <c r="Q969">
        <f t="shared" si="179"/>
        <v>13</v>
      </c>
      <c r="R969" t="s">
        <v>44</v>
      </c>
      <c r="S969" s="8" t="s">
        <v>44</v>
      </c>
      <c r="T969" s="9">
        <v>30</v>
      </c>
      <c r="U969" s="9">
        <f t="shared" si="180"/>
        <v>30</v>
      </c>
      <c r="V969" s="10">
        <v>30</v>
      </c>
      <c r="W969">
        <v>3.6</v>
      </c>
      <c r="X969" s="11">
        <f t="shared" si="181"/>
        <v>3.6</v>
      </c>
      <c r="Y969" t="s">
        <v>2102</v>
      </c>
      <c r="Z969" t="str">
        <f t="shared" si="182"/>
        <v>No</v>
      </c>
      <c r="AA969" t="str">
        <f t="shared" si="183"/>
        <v>No</v>
      </c>
      <c r="AB969" t="str">
        <f t="shared" si="184"/>
        <v>No</v>
      </c>
      <c r="AC969" s="12">
        <v>86</v>
      </c>
      <c r="AD969" s="12">
        <f t="shared" si="185"/>
        <v>86</v>
      </c>
    </row>
    <row r="970" spans="1:30" x14ac:dyDescent="0.3">
      <c r="A970" t="s">
        <v>2024</v>
      </c>
      <c r="B970" t="s">
        <v>2025</v>
      </c>
      <c r="C970" t="s">
        <v>2116</v>
      </c>
      <c r="D970" t="s">
        <v>2912</v>
      </c>
      <c r="E970" t="str">
        <f t="shared" si="175"/>
        <v>Lisa Werner</v>
      </c>
      <c r="H970" t="s">
        <v>86</v>
      </c>
      <c r="I970" t="str">
        <f t="shared" si="176"/>
        <v>Female</v>
      </c>
      <c r="J970">
        <v>26</v>
      </c>
      <c r="K970">
        <f t="shared" si="177"/>
        <v>26</v>
      </c>
      <c r="L970" t="str">
        <f t="shared" si="178"/>
        <v>First level</v>
      </c>
      <c r="M970" t="s">
        <v>103</v>
      </c>
      <c r="N970" t="s">
        <v>104</v>
      </c>
      <c r="O970" t="s">
        <v>33</v>
      </c>
      <c r="P970">
        <v>1</v>
      </c>
      <c r="Q970">
        <f t="shared" si="179"/>
        <v>1</v>
      </c>
      <c r="R970" t="s">
        <v>92</v>
      </c>
      <c r="S970" s="8" t="s">
        <v>92</v>
      </c>
      <c r="T970" s="9">
        <v>75</v>
      </c>
      <c r="U970" s="9">
        <f t="shared" si="180"/>
        <v>75</v>
      </c>
      <c r="V970" s="10">
        <v>75</v>
      </c>
      <c r="W970">
        <v>3</v>
      </c>
      <c r="X970" s="11">
        <f t="shared" si="181"/>
        <v>3</v>
      </c>
      <c r="Y970" t="s">
        <v>2103</v>
      </c>
      <c r="Z970" t="str">
        <f t="shared" si="182"/>
        <v>Yes</v>
      </c>
      <c r="AA970" t="str">
        <f t="shared" si="183"/>
        <v>Yes</v>
      </c>
      <c r="AB970" t="str">
        <f t="shared" si="184"/>
        <v>Yes</v>
      </c>
      <c r="AC970" s="12"/>
      <c r="AD970" s="12">
        <f t="shared" si="185"/>
        <v>77.65517241379311</v>
      </c>
    </row>
    <row r="971" spans="1:30" x14ac:dyDescent="0.3">
      <c r="A971" t="s">
        <v>2026</v>
      </c>
      <c r="B971" t="s">
        <v>2027</v>
      </c>
      <c r="C971" t="s">
        <v>2118</v>
      </c>
      <c r="D971" t="s">
        <v>2820</v>
      </c>
      <c r="E971" t="str">
        <f t="shared" si="175"/>
        <v>Eric Jimenez</v>
      </c>
      <c r="H971" t="s">
        <v>107</v>
      </c>
      <c r="I971" t="str">
        <f t="shared" si="176"/>
        <v>Male</v>
      </c>
      <c r="J971">
        <v>49</v>
      </c>
      <c r="K971">
        <f t="shared" si="177"/>
        <v>49</v>
      </c>
      <c r="L971" t="str">
        <f t="shared" si="178"/>
        <v>Third level</v>
      </c>
      <c r="M971" t="s">
        <v>103</v>
      </c>
      <c r="N971" t="s">
        <v>104</v>
      </c>
      <c r="O971" t="s">
        <v>39</v>
      </c>
      <c r="P971">
        <v>1</v>
      </c>
      <c r="Q971">
        <f t="shared" si="179"/>
        <v>1</v>
      </c>
      <c r="R971" t="s">
        <v>65</v>
      </c>
      <c r="S971" s="8" t="s">
        <v>65</v>
      </c>
      <c r="T971" s="9"/>
      <c r="U971" s="9">
        <f t="shared" si="180"/>
        <v>60.666666666666664</v>
      </c>
      <c r="V971" s="10">
        <v>60.666666666666664</v>
      </c>
      <c r="W971">
        <v>0</v>
      </c>
      <c r="X971" s="11">
        <f t="shared" si="181"/>
        <v>0</v>
      </c>
      <c r="Y971" t="s">
        <v>2102</v>
      </c>
      <c r="Z971" t="str">
        <f t="shared" si="182"/>
        <v>No</v>
      </c>
      <c r="AA971" t="str">
        <f t="shared" si="183"/>
        <v>No</v>
      </c>
      <c r="AB971" t="str">
        <f t="shared" si="184"/>
        <v>No</v>
      </c>
      <c r="AC971" s="12">
        <v>82</v>
      </c>
      <c r="AD971" s="12">
        <f t="shared" si="185"/>
        <v>82</v>
      </c>
    </row>
    <row r="972" spans="1:30" x14ac:dyDescent="0.3">
      <c r="A972" t="s">
        <v>2028</v>
      </c>
      <c r="B972" t="s">
        <v>2029</v>
      </c>
      <c r="C972" t="s">
        <v>2913</v>
      </c>
      <c r="D972" t="s">
        <v>2747</v>
      </c>
      <c r="E972" t="str">
        <f t="shared" si="175"/>
        <v>Jay Bush</v>
      </c>
      <c r="H972" t="s">
        <v>107</v>
      </c>
      <c r="I972" t="str">
        <f t="shared" si="176"/>
        <v>Male</v>
      </c>
      <c r="J972">
        <v>29</v>
      </c>
      <c r="K972">
        <f t="shared" si="177"/>
        <v>29</v>
      </c>
      <c r="L972" t="str">
        <f t="shared" si="178"/>
        <v>First level</v>
      </c>
      <c r="M972" t="s">
        <v>145</v>
      </c>
      <c r="N972" t="s">
        <v>146</v>
      </c>
      <c r="O972" t="s">
        <v>25</v>
      </c>
      <c r="P972">
        <v>3</v>
      </c>
      <c r="Q972">
        <f t="shared" si="179"/>
        <v>3</v>
      </c>
      <c r="R972" t="s">
        <v>61</v>
      </c>
      <c r="S972" s="8" t="s">
        <v>2094</v>
      </c>
      <c r="T972" s="9">
        <v>40</v>
      </c>
      <c r="U972" s="9">
        <f t="shared" si="180"/>
        <v>40</v>
      </c>
      <c r="V972" s="10">
        <v>40</v>
      </c>
      <c r="W972">
        <v>0</v>
      </c>
      <c r="X972" s="11">
        <f t="shared" si="181"/>
        <v>0</v>
      </c>
      <c r="Y972" t="s">
        <v>2103</v>
      </c>
      <c r="Z972" t="str">
        <f t="shared" si="182"/>
        <v>Yes</v>
      </c>
      <c r="AA972" t="str">
        <f t="shared" si="183"/>
        <v>Yes</v>
      </c>
      <c r="AB972" t="str">
        <f t="shared" si="184"/>
        <v>Yes</v>
      </c>
      <c r="AC972" s="12">
        <v>81</v>
      </c>
      <c r="AD972" s="12">
        <f t="shared" si="185"/>
        <v>81</v>
      </c>
    </row>
    <row r="973" spans="1:30" x14ac:dyDescent="0.3">
      <c r="A973" t="s">
        <v>2030</v>
      </c>
      <c r="B973" t="s">
        <v>2031</v>
      </c>
      <c r="C973" t="s">
        <v>2914</v>
      </c>
      <c r="D973" t="s">
        <v>2771</v>
      </c>
      <c r="E973" t="str">
        <f t="shared" si="175"/>
        <v>Johnny Rice</v>
      </c>
      <c r="H973" t="s">
        <v>107</v>
      </c>
      <c r="I973" t="str">
        <f t="shared" si="176"/>
        <v>Male</v>
      </c>
      <c r="J973">
        <v>32</v>
      </c>
      <c r="K973">
        <f t="shared" si="177"/>
        <v>32</v>
      </c>
      <c r="L973" t="str">
        <f t="shared" si="178"/>
        <v>Second level</v>
      </c>
      <c r="M973" t="s">
        <v>145</v>
      </c>
      <c r="N973" t="s">
        <v>146</v>
      </c>
      <c r="O973" t="s">
        <v>33</v>
      </c>
      <c r="P973">
        <v>1</v>
      </c>
      <c r="Q973">
        <f t="shared" si="179"/>
        <v>1</v>
      </c>
      <c r="R973" t="s">
        <v>40</v>
      </c>
      <c r="S973" s="8" t="s">
        <v>40</v>
      </c>
      <c r="T973" s="9">
        <v>40</v>
      </c>
      <c r="U973" s="9">
        <f t="shared" si="180"/>
        <v>40</v>
      </c>
      <c r="V973" s="10">
        <v>40</v>
      </c>
      <c r="W973">
        <v>3.1</v>
      </c>
      <c r="X973" s="11">
        <f t="shared" si="181"/>
        <v>3.1</v>
      </c>
      <c r="Y973" t="s">
        <v>2103</v>
      </c>
      <c r="Z973" t="str">
        <f t="shared" si="182"/>
        <v>Yes</v>
      </c>
      <c r="AA973" t="str">
        <f t="shared" si="183"/>
        <v>Yes</v>
      </c>
      <c r="AB973" t="str">
        <f t="shared" si="184"/>
        <v>Yes</v>
      </c>
      <c r="AC973" s="12">
        <v>76</v>
      </c>
      <c r="AD973" s="12">
        <f t="shared" si="185"/>
        <v>76</v>
      </c>
    </row>
    <row r="974" spans="1:30" x14ac:dyDescent="0.3">
      <c r="A974" t="s">
        <v>2032</v>
      </c>
      <c r="B974" t="s">
        <v>2033</v>
      </c>
      <c r="C974" t="s">
        <v>2124</v>
      </c>
      <c r="D974" t="s">
        <v>2915</v>
      </c>
      <c r="E974" t="str">
        <f t="shared" si="175"/>
        <v>Matthew Strong</v>
      </c>
      <c r="H974" t="s">
        <v>69</v>
      </c>
      <c r="I974" t="str">
        <f t="shared" si="176"/>
        <v>Male</v>
      </c>
      <c r="J974">
        <v>24</v>
      </c>
      <c r="K974">
        <f t="shared" si="177"/>
        <v>24</v>
      </c>
      <c r="L974" t="str">
        <f t="shared" si="178"/>
        <v>First level</v>
      </c>
      <c r="M974" t="s">
        <v>55</v>
      </c>
      <c r="N974" t="s">
        <v>56</v>
      </c>
      <c r="O974" t="s">
        <v>17</v>
      </c>
      <c r="P974">
        <v>3</v>
      </c>
      <c r="Q974">
        <f t="shared" si="179"/>
        <v>3</v>
      </c>
      <c r="R974" t="s">
        <v>119</v>
      </c>
      <c r="S974" s="8" t="s">
        <v>2096</v>
      </c>
      <c r="T974" s="9">
        <v>30</v>
      </c>
      <c r="U974" s="9">
        <f t="shared" si="180"/>
        <v>30</v>
      </c>
      <c r="V974" s="10">
        <v>30</v>
      </c>
      <c r="W974">
        <v>3.9</v>
      </c>
      <c r="X974" s="11">
        <f t="shared" si="181"/>
        <v>3.9</v>
      </c>
      <c r="Y974" t="s">
        <v>2102</v>
      </c>
      <c r="Z974" t="str">
        <f t="shared" si="182"/>
        <v>No</v>
      </c>
      <c r="AA974" t="str">
        <f t="shared" si="183"/>
        <v>No</v>
      </c>
      <c r="AB974" t="str">
        <f t="shared" si="184"/>
        <v>No</v>
      </c>
      <c r="AC974" s="12">
        <v>90</v>
      </c>
      <c r="AD974" s="12">
        <f t="shared" si="185"/>
        <v>90</v>
      </c>
    </row>
    <row r="975" spans="1:30" x14ac:dyDescent="0.3">
      <c r="A975" t="s">
        <v>2034</v>
      </c>
      <c r="B975" t="s">
        <v>2035</v>
      </c>
      <c r="C975" t="s">
        <v>2206</v>
      </c>
      <c r="D975" t="s">
        <v>2916</v>
      </c>
      <c r="E975" t="str">
        <f t="shared" si="175"/>
        <v>Mark Chandler</v>
      </c>
      <c r="H975" t="s">
        <v>69</v>
      </c>
      <c r="I975" t="str">
        <f t="shared" si="176"/>
        <v>Male</v>
      </c>
      <c r="J975">
        <v>35</v>
      </c>
      <c r="K975">
        <f t="shared" si="177"/>
        <v>35</v>
      </c>
      <c r="L975" t="str">
        <f t="shared" si="178"/>
        <v>Second level</v>
      </c>
      <c r="M975" t="s">
        <v>122</v>
      </c>
      <c r="N975" t="s">
        <v>123</v>
      </c>
      <c r="O975" t="s">
        <v>99</v>
      </c>
      <c r="P975">
        <v>14</v>
      </c>
      <c r="Q975">
        <f t="shared" si="179"/>
        <v>14</v>
      </c>
      <c r="R975" t="s">
        <v>44</v>
      </c>
      <c r="S975" s="8" t="s">
        <v>44</v>
      </c>
      <c r="T975" s="9">
        <v>30</v>
      </c>
      <c r="U975" s="9">
        <f t="shared" si="180"/>
        <v>30</v>
      </c>
      <c r="V975" s="10">
        <v>30</v>
      </c>
      <c r="W975">
        <v>1.6</v>
      </c>
      <c r="X975" s="11">
        <f t="shared" si="181"/>
        <v>1.6</v>
      </c>
      <c r="Y975" t="s">
        <v>2103</v>
      </c>
      <c r="Z975" t="str">
        <f t="shared" si="182"/>
        <v>Yes</v>
      </c>
      <c r="AA975" t="str">
        <f t="shared" si="183"/>
        <v>Yes</v>
      </c>
      <c r="AB975" t="str">
        <f t="shared" si="184"/>
        <v>Yes</v>
      </c>
      <c r="AC975" s="12">
        <v>67</v>
      </c>
      <c r="AD975" s="12">
        <f t="shared" si="185"/>
        <v>67</v>
      </c>
    </row>
    <row r="976" spans="1:30" x14ac:dyDescent="0.3">
      <c r="A976" t="s">
        <v>2036</v>
      </c>
      <c r="B976" t="s">
        <v>2037</v>
      </c>
      <c r="C976" t="s">
        <v>2219</v>
      </c>
      <c r="D976" t="s">
        <v>2186</v>
      </c>
      <c r="E976" t="str">
        <f t="shared" si="175"/>
        <v>Crystal Brown</v>
      </c>
      <c r="H976" t="s">
        <v>43</v>
      </c>
      <c r="I976" t="str">
        <f t="shared" si="176"/>
        <v>Female</v>
      </c>
      <c r="J976">
        <v>43</v>
      </c>
      <c r="K976">
        <f t="shared" si="177"/>
        <v>43</v>
      </c>
      <c r="L976" t="str">
        <f t="shared" si="178"/>
        <v>Third level</v>
      </c>
      <c r="M976" t="s">
        <v>201</v>
      </c>
      <c r="N976" t="s">
        <v>81</v>
      </c>
      <c r="O976" t="s">
        <v>17</v>
      </c>
      <c r="P976">
        <v>2</v>
      </c>
      <c r="Q976">
        <f t="shared" si="179"/>
        <v>2</v>
      </c>
      <c r="R976" t="s">
        <v>65</v>
      </c>
      <c r="S976" s="8" t="s">
        <v>65</v>
      </c>
      <c r="T976" s="9"/>
      <c r="U976" s="9">
        <f t="shared" si="180"/>
        <v>62.884615384615387</v>
      </c>
      <c r="V976" s="10">
        <v>62.884615384615387</v>
      </c>
      <c r="W976">
        <v>1.8</v>
      </c>
      <c r="X976" s="11">
        <f t="shared" si="181"/>
        <v>1.8</v>
      </c>
      <c r="Y976" t="s">
        <v>170</v>
      </c>
      <c r="Z976" t="str">
        <f t="shared" si="182"/>
        <v>no</v>
      </c>
      <c r="AA976" t="str">
        <f t="shared" si="183"/>
        <v>no</v>
      </c>
      <c r="AB976" t="str">
        <f t="shared" si="184"/>
        <v>No</v>
      </c>
      <c r="AC976" s="12">
        <v>61</v>
      </c>
      <c r="AD976" s="12">
        <f t="shared" si="185"/>
        <v>61</v>
      </c>
    </row>
    <row r="977" spans="1:30" x14ac:dyDescent="0.3">
      <c r="A977" t="s">
        <v>2038</v>
      </c>
      <c r="B977" t="s">
        <v>2039</v>
      </c>
      <c r="C977" t="s">
        <v>2163</v>
      </c>
      <c r="D977" t="s">
        <v>2917</v>
      </c>
      <c r="E977" t="str">
        <f t="shared" si="175"/>
        <v>Timothy Barton</v>
      </c>
      <c r="H977" t="s">
        <v>30</v>
      </c>
      <c r="I977" t="str">
        <f t="shared" si="176"/>
        <v>Male</v>
      </c>
      <c r="J977">
        <v>53</v>
      </c>
      <c r="K977">
        <f t="shared" si="177"/>
        <v>53</v>
      </c>
      <c r="L977" t="str">
        <f t="shared" si="178"/>
        <v>Fourth level</v>
      </c>
      <c r="M977" t="s">
        <v>122</v>
      </c>
      <c r="N977" t="s">
        <v>123</v>
      </c>
      <c r="O977" t="s">
        <v>124</v>
      </c>
      <c r="P977">
        <v>27</v>
      </c>
      <c r="Q977">
        <f t="shared" si="179"/>
        <v>27</v>
      </c>
      <c r="R977" t="s">
        <v>18</v>
      </c>
      <c r="S977" s="8" t="s">
        <v>18</v>
      </c>
      <c r="T977" s="9">
        <v>100</v>
      </c>
      <c r="U977" s="9">
        <f t="shared" si="180"/>
        <v>100</v>
      </c>
      <c r="V977" s="10">
        <v>100</v>
      </c>
      <c r="W977">
        <v>3.7</v>
      </c>
      <c r="X977" s="11">
        <f t="shared" si="181"/>
        <v>3.7</v>
      </c>
      <c r="Y977" t="s">
        <v>170</v>
      </c>
      <c r="Z977" t="str">
        <f t="shared" si="182"/>
        <v>no</v>
      </c>
      <c r="AA977" t="str">
        <f t="shared" si="183"/>
        <v>no</v>
      </c>
      <c r="AB977" t="str">
        <f t="shared" si="184"/>
        <v>No</v>
      </c>
      <c r="AC977" s="12">
        <v>73</v>
      </c>
      <c r="AD977" s="12">
        <f t="shared" si="185"/>
        <v>73</v>
      </c>
    </row>
    <row r="978" spans="1:30" x14ac:dyDescent="0.3">
      <c r="A978" t="s">
        <v>2040</v>
      </c>
      <c r="B978" t="s">
        <v>2041</v>
      </c>
      <c r="C978" t="s">
        <v>2116</v>
      </c>
      <c r="D978" t="s">
        <v>2918</v>
      </c>
      <c r="E978" t="str">
        <f t="shared" si="175"/>
        <v>Lisa Hickman</v>
      </c>
      <c r="H978" t="s">
        <v>86</v>
      </c>
      <c r="I978" t="str">
        <f t="shared" si="176"/>
        <v>Female</v>
      </c>
      <c r="J978">
        <v>38</v>
      </c>
      <c r="K978">
        <f t="shared" si="177"/>
        <v>38</v>
      </c>
      <c r="L978" t="str">
        <f t="shared" si="178"/>
        <v>Second level</v>
      </c>
      <c r="M978" t="s">
        <v>134</v>
      </c>
      <c r="N978" t="s">
        <v>135</v>
      </c>
      <c r="O978" t="s">
        <v>99</v>
      </c>
      <c r="P978">
        <v>7</v>
      </c>
      <c r="Q978">
        <f t="shared" si="179"/>
        <v>7</v>
      </c>
      <c r="R978" t="s">
        <v>92</v>
      </c>
      <c r="S978" s="8" t="s">
        <v>92</v>
      </c>
      <c r="T978" s="9">
        <v>75</v>
      </c>
      <c r="U978" s="9">
        <f t="shared" si="180"/>
        <v>75</v>
      </c>
      <c r="V978" s="10">
        <v>75</v>
      </c>
      <c r="X978" s="11">
        <f t="shared" si="181"/>
        <v>2.6142857142857143</v>
      </c>
      <c r="Y978" t="s">
        <v>2102</v>
      </c>
      <c r="Z978" t="str">
        <f t="shared" si="182"/>
        <v>No</v>
      </c>
      <c r="AA978" t="str">
        <f t="shared" si="183"/>
        <v>No</v>
      </c>
      <c r="AB978" t="str">
        <f t="shared" si="184"/>
        <v>No</v>
      </c>
      <c r="AC978" s="12"/>
      <c r="AD978" s="12">
        <f t="shared" si="185"/>
        <v>78.272727272727266</v>
      </c>
    </row>
    <row r="979" spans="1:30" x14ac:dyDescent="0.3">
      <c r="A979" t="s">
        <v>2042</v>
      </c>
      <c r="B979" t="s">
        <v>2043</v>
      </c>
      <c r="C979" t="s">
        <v>2849</v>
      </c>
      <c r="D979" t="s">
        <v>2499</v>
      </c>
      <c r="E979" t="str">
        <f t="shared" si="175"/>
        <v>Alan Mendoza</v>
      </c>
      <c r="H979" t="s">
        <v>107</v>
      </c>
      <c r="I979" t="str">
        <f t="shared" si="176"/>
        <v>Male</v>
      </c>
      <c r="J979">
        <v>57</v>
      </c>
      <c r="K979">
        <f t="shared" si="177"/>
        <v>57</v>
      </c>
      <c r="L979" t="str">
        <f t="shared" si="178"/>
        <v>Fourth level</v>
      </c>
      <c r="M979" t="s">
        <v>75</v>
      </c>
      <c r="N979" t="s">
        <v>24</v>
      </c>
      <c r="O979" t="s">
        <v>87</v>
      </c>
      <c r="P979">
        <v>29</v>
      </c>
      <c r="Q979">
        <f t="shared" si="179"/>
        <v>29</v>
      </c>
      <c r="R979" t="s">
        <v>92</v>
      </c>
      <c r="S979" s="8" t="s">
        <v>92</v>
      </c>
      <c r="T979" s="9">
        <v>75</v>
      </c>
      <c r="U979" s="9">
        <f t="shared" si="180"/>
        <v>75</v>
      </c>
      <c r="V979" s="10">
        <v>75</v>
      </c>
      <c r="W979">
        <v>4.0999999999999996</v>
      </c>
      <c r="X979" s="11">
        <f t="shared" si="181"/>
        <v>4.0999999999999996</v>
      </c>
      <c r="Y979" t="s">
        <v>2102</v>
      </c>
      <c r="Z979" t="str">
        <f t="shared" si="182"/>
        <v>No</v>
      </c>
      <c r="AA979" t="str">
        <f t="shared" si="183"/>
        <v>No</v>
      </c>
      <c r="AB979" t="str">
        <f t="shared" si="184"/>
        <v>No</v>
      </c>
      <c r="AC979" s="12">
        <v>90</v>
      </c>
      <c r="AD979" s="12">
        <f t="shared" si="185"/>
        <v>90</v>
      </c>
    </row>
    <row r="980" spans="1:30" x14ac:dyDescent="0.3">
      <c r="A980" t="s">
        <v>2044</v>
      </c>
      <c r="B980" t="s">
        <v>2045</v>
      </c>
      <c r="C980" t="s">
        <v>2184</v>
      </c>
      <c r="D980" t="s">
        <v>2378</v>
      </c>
      <c r="E980" t="str">
        <f t="shared" si="175"/>
        <v>Jason Sanders</v>
      </c>
      <c r="H980" t="s">
        <v>69</v>
      </c>
      <c r="I980" t="str">
        <f t="shared" si="176"/>
        <v>Male</v>
      </c>
      <c r="J980">
        <v>27</v>
      </c>
      <c r="K980">
        <f t="shared" si="177"/>
        <v>27</v>
      </c>
      <c r="L980" t="str">
        <f t="shared" si="178"/>
        <v>First level</v>
      </c>
      <c r="M980" t="s">
        <v>186</v>
      </c>
      <c r="N980" t="s">
        <v>187</v>
      </c>
      <c r="O980" t="s">
        <v>17</v>
      </c>
      <c r="P980">
        <v>5</v>
      </c>
      <c r="Q980">
        <f t="shared" si="179"/>
        <v>5</v>
      </c>
      <c r="R980" t="s">
        <v>181</v>
      </c>
      <c r="S980" s="8" t="s">
        <v>181</v>
      </c>
      <c r="T980" s="9">
        <v>75</v>
      </c>
      <c r="U980" s="9">
        <f t="shared" si="180"/>
        <v>75</v>
      </c>
      <c r="V980" s="10">
        <v>75</v>
      </c>
      <c r="W980">
        <v>1.4</v>
      </c>
      <c r="X980" s="11">
        <f t="shared" si="181"/>
        <v>1.4</v>
      </c>
      <c r="Y980" t="s">
        <v>2103</v>
      </c>
      <c r="Z980" t="str">
        <f t="shared" si="182"/>
        <v>Yes</v>
      </c>
      <c r="AA980" t="str">
        <f t="shared" si="183"/>
        <v>Yes</v>
      </c>
      <c r="AB980" t="str">
        <f t="shared" si="184"/>
        <v>Yes</v>
      </c>
      <c r="AC980" s="12">
        <v>64</v>
      </c>
      <c r="AD980" s="12">
        <f t="shared" si="185"/>
        <v>64</v>
      </c>
    </row>
    <row r="981" spans="1:30" x14ac:dyDescent="0.3">
      <c r="A981" t="s">
        <v>2046</v>
      </c>
      <c r="B981" t="s">
        <v>2047</v>
      </c>
      <c r="C981" t="s">
        <v>2330</v>
      </c>
      <c r="D981" t="s">
        <v>2531</v>
      </c>
      <c r="E981" t="str">
        <f t="shared" si="175"/>
        <v>Charles Dean</v>
      </c>
      <c r="H981" t="s">
        <v>107</v>
      </c>
      <c r="I981" t="str">
        <f t="shared" si="176"/>
        <v>Male</v>
      </c>
      <c r="J981">
        <v>43</v>
      </c>
      <c r="K981">
        <f t="shared" si="177"/>
        <v>43</v>
      </c>
      <c r="L981" t="str">
        <f t="shared" si="178"/>
        <v>Third level</v>
      </c>
      <c r="M981" t="s">
        <v>80</v>
      </c>
      <c r="N981" t="s">
        <v>81</v>
      </c>
      <c r="O981" t="s">
        <v>39</v>
      </c>
      <c r="P981">
        <v>2</v>
      </c>
      <c r="Q981">
        <f t="shared" si="179"/>
        <v>2</v>
      </c>
      <c r="R981" t="s">
        <v>18</v>
      </c>
      <c r="S981" s="8" t="s">
        <v>18</v>
      </c>
      <c r="T981" s="9">
        <v>100</v>
      </c>
      <c r="U981" s="9">
        <f t="shared" si="180"/>
        <v>100</v>
      </c>
      <c r="V981" s="10">
        <v>100</v>
      </c>
      <c r="W981">
        <v>1.1000000000000001</v>
      </c>
      <c r="X981" s="11">
        <f t="shared" si="181"/>
        <v>1.1000000000000001</v>
      </c>
      <c r="Y981" t="s">
        <v>2103</v>
      </c>
      <c r="Z981" t="str">
        <f t="shared" si="182"/>
        <v>Yes</v>
      </c>
      <c r="AA981" t="str">
        <f t="shared" si="183"/>
        <v>Yes</v>
      </c>
      <c r="AB981" t="str">
        <f t="shared" si="184"/>
        <v>Yes</v>
      </c>
      <c r="AC981" s="12">
        <v>63</v>
      </c>
      <c r="AD981" s="12">
        <f t="shared" si="185"/>
        <v>63</v>
      </c>
    </row>
    <row r="982" spans="1:30" x14ac:dyDescent="0.3">
      <c r="A982" t="s">
        <v>2048</v>
      </c>
      <c r="B982" t="s">
        <v>2049</v>
      </c>
      <c r="C982" t="s">
        <v>2919</v>
      </c>
      <c r="D982" t="s">
        <v>2920</v>
      </c>
      <c r="E982" t="str">
        <f t="shared" si="175"/>
        <v>Blake Newton</v>
      </c>
      <c r="H982" t="s">
        <v>30</v>
      </c>
      <c r="I982" t="str">
        <f t="shared" si="176"/>
        <v>Male</v>
      </c>
      <c r="J982">
        <v>48</v>
      </c>
      <c r="K982">
        <f t="shared" si="177"/>
        <v>48</v>
      </c>
      <c r="L982" t="str">
        <f t="shared" si="178"/>
        <v>Third level</v>
      </c>
      <c r="M982" t="s">
        <v>138</v>
      </c>
      <c r="N982" t="s">
        <v>24</v>
      </c>
      <c r="O982" t="s">
        <v>57</v>
      </c>
      <c r="P982">
        <v>18</v>
      </c>
      <c r="Q982">
        <f t="shared" si="179"/>
        <v>18</v>
      </c>
      <c r="R982" t="s">
        <v>40</v>
      </c>
      <c r="S982" s="8" t="s">
        <v>40</v>
      </c>
      <c r="T982" s="9">
        <v>40</v>
      </c>
      <c r="U982" s="9">
        <f t="shared" si="180"/>
        <v>40</v>
      </c>
      <c r="V982" s="10">
        <v>40</v>
      </c>
      <c r="W982">
        <v>3.9</v>
      </c>
      <c r="X982" s="11">
        <f t="shared" si="181"/>
        <v>3.9</v>
      </c>
      <c r="Y982" t="s">
        <v>65</v>
      </c>
      <c r="AA982" t="str">
        <f t="shared" si="183"/>
        <v>Unknown</v>
      </c>
      <c r="AB982" t="str">
        <f t="shared" si="184"/>
        <v>Unknown</v>
      </c>
      <c r="AC982" s="12"/>
      <c r="AD982" s="12">
        <f t="shared" si="185"/>
        <v>79.21052631578948</v>
      </c>
    </row>
    <row r="983" spans="1:30" x14ac:dyDescent="0.3">
      <c r="A983" t="s">
        <v>2050</v>
      </c>
      <c r="B983" t="s">
        <v>2051</v>
      </c>
      <c r="C983" t="s">
        <v>2273</v>
      </c>
      <c r="D983" t="s">
        <v>2430</v>
      </c>
      <c r="E983" t="str">
        <f t="shared" si="175"/>
        <v>David Gonzalez</v>
      </c>
      <c r="H983" t="s">
        <v>107</v>
      </c>
      <c r="I983" t="str">
        <f t="shared" si="176"/>
        <v>Male</v>
      </c>
      <c r="J983">
        <v>26</v>
      </c>
      <c r="K983">
        <f t="shared" si="177"/>
        <v>26</v>
      </c>
      <c r="L983" t="str">
        <f t="shared" si="178"/>
        <v>First level</v>
      </c>
      <c r="M983" t="s">
        <v>117</v>
      </c>
      <c r="N983" t="s">
        <v>118</v>
      </c>
      <c r="O983" t="s">
        <v>87</v>
      </c>
      <c r="P983">
        <v>8</v>
      </c>
      <c r="Q983">
        <f t="shared" si="179"/>
        <v>8</v>
      </c>
      <c r="R983" t="s">
        <v>151</v>
      </c>
      <c r="S983" s="8" t="s">
        <v>151</v>
      </c>
      <c r="T983" s="9">
        <v>20</v>
      </c>
      <c r="U983" s="9">
        <f t="shared" si="180"/>
        <v>20</v>
      </c>
      <c r="V983" s="10">
        <v>20</v>
      </c>
      <c r="W983">
        <v>3.6</v>
      </c>
      <c r="X983" s="11">
        <f t="shared" si="181"/>
        <v>3.6</v>
      </c>
      <c r="Y983" t="s">
        <v>2102</v>
      </c>
      <c r="Z983" t="str">
        <f t="shared" si="182"/>
        <v>No</v>
      </c>
      <c r="AA983" t="str">
        <f t="shared" si="183"/>
        <v>No</v>
      </c>
      <c r="AB983" t="str">
        <f t="shared" si="184"/>
        <v>No</v>
      </c>
      <c r="AC983" s="12">
        <v>67</v>
      </c>
      <c r="AD983" s="12">
        <f t="shared" si="185"/>
        <v>67</v>
      </c>
    </row>
    <row r="984" spans="1:30" x14ac:dyDescent="0.3">
      <c r="A984" t="s">
        <v>2052</v>
      </c>
      <c r="B984" t="s">
        <v>2053</v>
      </c>
      <c r="C984" t="s">
        <v>2320</v>
      </c>
      <c r="D984" t="s">
        <v>2181</v>
      </c>
      <c r="E984" t="str">
        <f t="shared" si="175"/>
        <v>Cindy Williams</v>
      </c>
      <c r="H984" t="s">
        <v>86</v>
      </c>
      <c r="I984" t="str">
        <f t="shared" si="176"/>
        <v>Female</v>
      </c>
      <c r="K984">
        <f t="shared" si="177"/>
        <v>40</v>
      </c>
      <c r="L984" t="str">
        <f t="shared" si="178"/>
        <v>Second level</v>
      </c>
      <c r="M984" t="s">
        <v>164</v>
      </c>
      <c r="N984" t="s">
        <v>165</v>
      </c>
      <c r="O984" t="s">
        <v>33</v>
      </c>
      <c r="P984">
        <v>0</v>
      </c>
      <c r="Q984">
        <f t="shared" si="179"/>
        <v>0</v>
      </c>
      <c r="R984" t="s">
        <v>40</v>
      </c>
      <c r="S984" s="8" t="s">
        <v>40</v>
      </c>
      <c r="T984" s="9">
        <v>40</v>
      </c>
      <c r="U984" s="9">
        <f t="shared" si="180"/>
        <v>40</v>
      </c>
      <c r="V984" s="10">
        <v>40</v>
      </c>
      <c r="W984">
        <v>0</v>
      </c>
      <c r="X984" s="11">
        <f t="shared" si="181"/>
        <v>0</v>
      </c>
      <c r="Y984" t="s">
        <v>170</v>
      </c>
      <c r="Z984" t="str">
        <f t="shared" si="182"/>
        <v>no</v>
      </c>
      <c r="AA984" t="str">
        <f t="shared" si="183"/>
        <v>no</v>
      </c>
      <c r="AB984" t="str">
        <f t="shared" si="184"/>
        <v>No</v>
      </c>
      <c r="AC984" s="12">
        <v>97</v>
      </c>
      <c r="AD984" s="12">
        <f t="shared" si="185"/>
        <v>97</v>
      </c>
    </row>
    <row r="985" spans="1:30" x14ac:dyDescent="0.3">
      <c r="A985" t="s">
        <v>2054</v>
      </c>
      <c r="B985" t="s">
        <v>2055</v>
      </c>
      <c r="C985" t="s">
        <v>2137</v>
      </c>
      <c r="D985" t="s">
        <v>2293</v>
      </c>
      <c r="E985" t="str">
        <f t="shared" si="175"/>
        <v>Laura Wong</v>
      </c>
      <c r="H985" t="s">
        <v>43</v>
      </c>
      <c r="I985" t="str">
        <f t="shared" si="176"/>
        <v>Female</v>
      </c>
      <c r="J985">
        <v>50</v>
      </c>
      <c r="K985">
        <f t="shared" si="177"/>
        <v>50</v>
      </c>
      <c r="L985" t="str">
        <f t="shared" si="178"/>
        <v>Third level</v>
      </c>
      <c r="M985" t="s">
        <v>15</v>
      </c>
      <c r="N985" t="s">
        <v>16</v>
      </c>
      <c r="O985" t="s">
        <v>57</v>
      </c>
      <c r="P985">
        <v>16</v>
      </c>
      <c r="Q985">
        <f t="shared" si="179"/>
        <v>16</v>
      </c>
      <c r="R985" t="s">
        <v>181</v>
      </c>
      <c r="S985" s="8" t="s">
        <v>181</v>
      </c>
      <c r="T985" s="9">
        <v>75</v>
      </c>
      <c r="U985" s="9">
        <f t="shared" si="180"/>
        <v>75</v>
      </c>
      <c r="V985" s="10">
        <v>75</v>
      </c>
      <c r="W985">
        <v>4.5</v>
      </c>
      <c r="X985" s="11">
        <f t="shared" si="181"/>
        <v>4.5</v>
      </c>
      <c r="Y985" t="s">
        <v>2102</v>
      </c>
      <c r="Z985" t="str">
        <f t="shared" si="182"/>
        <v>No</v>
      </c>
      <c r="AA985" t="str">
        <f t="shared" si="183"/>
        <v>No</v>
      </c>
      <c r="AB985" t="str">
        <f t="shared" si="184"/>
        <v>No</v>
      </c>
      <c r="AC985" s="12">
        <v>69</v>
      </c>
      <c r="AD985" s="12">
        <f t="shared" si="185"/>
        <v>69</v>
      </c>
    </row>
    <row r="986" spans="1:30" x14ac:dyDescent="0.3">
      <c r="A986" t="s">
        <v>2056</v>
      </c>
      <c r="B986" t="s">
        <v>2057</v>
      </c>
      <c r="C986" t="s">
        <v>2165</v>
      </c>
      <c r="D986" t="s">
        <v>2645</v>
      </c>
      <c r="E986" t="str">
        <f t="shared" si="175"/>
        <v>Robert Moran</v>
      </c>
      <c r="H986" t="s">
        <v>107</v>
      </c>
      <c r="I986" t="str">
        <f t="shared" si="176"/>
        <v>Male</v>
      </c>
      <c r="J986">
        <v>48</v>
      </c>
      <c r="K986">
        <f t="shared" si="177"/>
        <v>48</v>
      </c>
      <c r="L986" t="str">
        <f t="shared" si="178"/>
        <v>Third level</v>
      </c>
      <c r="M986" t="s">
        <v>164</v>
      </c>
      <c r="N986" t="s">
        <v>165</v>
      </c>
      <c r="O986" t="s">
        <v>39</v>
      </c>
      <c r="P986">
        <v>8</v>
      </c>
      <c r="Q986">
        <f t="shared" si="179"/>
        <v>8</v>
      </c>
      <c r="R986" t="s">
        <v>34</v>
      </c>
      <c r="S986" s="8" t="s">
        <v>34</v>
      </c>
      <c r="T986" s="9">
        <v>50</v>
      </c>
      <c r="U986" s="9">
        <f t="shared" si="180"/>
        <v>50</v>
      </c>
      <c r="V986" s="10">
        <v>50</v>
      </c>
      <c r="X986" s="11">
        <f t="shared" si="181"/>
        <v>2.592857142857143</v>
      </c>
      <c r="Y986" t="s">
        <v>2103</v>
      </c>
      <c r="Z986" t="str">
        <f t="shared" si="182"/>
        <v>Yes</v>
      </c>
      <c r="AA986" t="str">
        <f t="shared" si="183"/>
        <v>Yes</v>
      </c>
      <c r="AB986" t="str">
        <f t="shared" si="184"/>
        <v>Yes</v>
      </c>
      <c r="AC986" s="12">
        <v>73</v>
      </c>
      <c r="AD986" s="12">
        <f t="shared" si="185"/>
        <v>73</v>
      </c>
    </row>
    <row r="987" spans="1:30" x14ac:dyDescent="0.3">
      <c r="A987" t="s">
        <v>2058</v>
      </c>
      <c r="B987" t="s">
        <v>2059</v>
      </c>
      <c r="C987" t="s">
        <v>2561</v>
      </c>
      <c r="D987" t="s">
        <v>2358</v>
      </c>
      <c r="E987" t="str">
        <f t="shared" si="175"/>
        <v>Bradley Wu</v>
      </c>
      <c r="H987" t="s">
        <v>107</v>
      </c>
      <c r="I987" t="str">
        <f t="shared" si="176"/>
        <v>Male</v>
      </c>
      <c r="J987">
        <v>60</v>
      </c>
      <c r="K987">
        <f t="shared" si="177"/>
        <v>60</v>
      </c>
      <c r="L987" t="str">
        <f t="shared" si="178"/>
        <v>Fourth level</v>
      </c>
      <c r="M987" t="s">
        <v>201</v>
      </c>
      <c r="N987" t="s">
        <v>81</v>
      </c>
      <c r="O987" t="s">
        <v>17</v>
      </c>
      <c r="P987">
        <v>39</v>
      </c>
      <c r="Q987">
        <f t="shared" si="179"/>
        <v>39</v>
      </c>
      <c r="R987" t="s">
        <v>151</v>
      </c>
      <c r="S987" s="8" t="s">
        <v>151</v>
      </c>
      <c r="T987" s="9">
        <v>20</v>
      </c>
      <c r="U987" s="9">
        <f t="shared" si="180"/>
        <v>20</v>
      </c>
      <c r="V987" s="10">
        <v>20</v>
      </c>
      <c r="W987">
        <v>1.4</v>
      </c>
      <c r="X987" s="11">
        <f t="shared" si="181"/>
        <v>1.4</v>
      </c>
      <c r="Y987" t="s">
        <v>2103</v>
      </c>
      <c r="Z987" t="str">
        <f t="shared" si="182"/>
        <v>Yes</v>
      </c>
      <c r="AA987" t="str">
        <f t="shared" si="183"/>
        <v>Yes</v>
      </c>
      <c r="AB987" t="str">
        <f t="shared" si="184"/>
        <v>Yes</v>
      </c>
      <c r="AC987" s="12">
        <v>86</v>
      </c>
      <c r="AD987" s="12">
        <f t="shared" si="185"/>
        <v>86</v>
      </c>
    </row>
    <row r="988" spans="1:30" x14ac:dyDescent="0.3">
      <c r="A988" t="s">
        <v>2060</v>
      </c>
      <c r="B988" t="s">
        <v>2061</v>
      </c>
      <c r="C988" t="s">
        <v>2447</v>
      </c>
      <c r="D988" t="s">
        <v>2231</v>
      </c>
      <c r="E988" t="str">
        <f t="shared" si="175"/>
        <v>Daniel Thomas</v>
      </c>
      <c r="H988" t="s">
        <v>107</v>
      </c>
      <c r="I988" t="str">
        <f t="shared" si="176"/>
        <v>Male</v>
      </c>
      <c r="J988">
        <v>26</v>
      </c>
      <c r="K988">
        <f t="shared" si="177"/>
        <v>26</v>
      </c>
      <c r="L988" t="str">
        <f t="shared" si="178"/>
        <v>First level</v>
      </c>
      <c r="M988" t="s">
        <v>149</v>
      </c>
      <c r="N988" t="s">
        <v>150</v>
      </c>
      <c r="O988" t="s">
        <v>124</v>
      </c>
      <c r="Q988">
        <f t="shared" si="179"/>
        <v>3</v>
      </c>
      <c r="R988" t="s">
        <v>34</v>
      </c>
      <c r="S988" s="8" t="s">
        <v>34</v>
      </c>
      <c r="T988" s="9">
        <v>50</v>
      </c>
      <c r="U988" s="9">
        <f t="shared" si="180"/>
        <v>50</v>
      </c>
      <c r="V988" s="10">
        <v>50</v>
      </c>
      <c r="W988">
        <v>0</v>
      </c>
      <c r="X988" s="11">
        <f t="shared" si="181"/>
        <v>0</v>
      </c>
      <c r="Y988" t="s">
        <v>77</v>
      </c>
      <c r="Z988" t="str">
        <f t="shared" si="182"/>
        <v>yes</v>
      </c>
      <c r="AA988" t="str">
        <f t="shared" si="183"/>
        <v>yes</v>
      </c>
      <c r="AB988" t="str">
        <f t="shared" si="184"/>
        <v>Yes</v>
      </c>
      <c r="AC988" s="12">
        <v>81</v>
      </c>
      <c r="AD988" s="12">
        <f t="shared" si="185"/>
        <v>81</v>
      </c>
    </row>
    <row r="989" spans="1:30" x14ac:dyDescent="0.3">
      <c r="A989" t="s">
        <v>2062</v>
      </c>
      <c r="B989" t="s">
        <v>2063</v>
      </c>
      <c r="C989" t="s">
        <v>2128</v>
      </c>
      <c r="D989" t="s">
        <v>2475</v>
      </c>
      <c r="E989" t="str">
        <f t="shared" si="175"/>
        <v>Michelle Peterson</v>
      </c>
      <c r="H989" t="s">
        <v>22</v>
      </c>
      <c r="I989" t="str">
        <f t="shared" si="176"/>
        <v>Female</v>
      </c>
      <c r="J989">
        <v>35</v>
      </c>
      <c r="K989">
        <f t="shared" si="177"/>
        <v>35</v>
      </c>
      <c r="L989" t="str">
        <f t="shared" si="178"/>
        <v>Second level</v>
      </c>
      <c r="M989" t="s">
        <v>122</v>
      </c>
      <c r="N989" t="s">
        <v>123</v>
      </c>
      <c r="O989" t="s">
        <v>33</v>
      </c>
      <c r="P989">
        <v>16</v>
      </c>
      <c r="Q989">
        <f t="shared" si="179"/>
        <v>16</v>
      </c>
      <c r="R989" t="s">
        <v>26</v>
      </c>
      <c r="S989" s="8" t="s">
        <v>18</v>
      </c>
      <c r="T989" s="9">
        <v>100</v>
      </c>
      <c r="U989" s="9">
        <f t="shared" si="180"/>
        <v>100</v>
      </c>
      <c r="V989" s="10">
        <v>100</v>
      </c>
      <c r="W989">
        <v>4.3</v>
      </c>
      <c r="X989" s="11">
        <f t="shared" si="181"/>
        <v>4.3</v>
      </c>
      <c r="Y989" t="s">
        <v>2103</v>
      </c>
      <c r="Z989" t="str">
        <f t="shared" si="182"/>
        <v>Yes</v>
      </c>
      <c r="AA989" t="str">
        <f t="shared" si="183"/>
        <v>Yes</v>
      </c>
      <c r="AB989" t="str">
        <f t="shared" si="184"/>
        <v>Yes</v>
      </c>
      <c r="AC989" s="12">
        <v>74</v>
      </c>
      <c r="AD989" s="12">
        <f t="shared" si="185"/>
        <v>74</v>
      </c>
    </row>
    <row r="990" spans="1:30" x14ac:dyDescent="0.3">
      <c r="A990" t="s">
        <v>2064</v>
      </c>
      <c r="B990" t="s">
        <v>2065</v>
      </c>
      <c r="C990" t="s">
        <v>2921</v>
      </c>
      <c r="D990" t="s">
        <v>2231</v>
      </c>
      <c r="E990" t="str">
        <f t="shared" si="175"/>
        <v>Seth Thomas</v>
      </c>
      <c r="H990" t="s">
        <v>107</v>
      </c>
      <c r="I990" t="str">
        <f t="shared" si="176"/>
        <v>Male</v>
      </c>
      <c r="J990">
        <v>23</v>
      </c>
      <c r="K990">
        <f t="shared" si="177"/>
        <v>23</v>
      </c>
      <c r="L990" t="str">
        <f t="shared" si="178"/>
        <v>First level</v>
      </c>
      <c r="M990" t="s">
        <v>64</v>
      </c>
      <c r="N990" t="s">
        <v>24</v>
      </c>
      <c r="O990" t="s">
        <v>17</v>
      </c>
      <c r="P990">
        <v>4</v>
      </c>
      <c r="Q990">
        <f t="shared" si="179"/>
        <v>4</v>
      </c>
      <c r="R990" t="s">
        <v>240</v>
      </c>
      <c r="S990" s="8" t="s">
        <v>18</v>
      </c>
      <c r="T990" s="9">
        <v>100</v>
      </c>
      <c r="U990" s="9">
        <f t="shared" si="180"/>
        <v>100</v>
      </c>
      <c r="V990" s="10">
        <v>100</v>
      </c>
      <c r="W990">
        <v>2.2000000000000002</v>
      </c>
      <c r="X990" s="11">
        <f t="shared" si="181"/>
        <v>2.2000000000000002</v>
      </c>
      <c r="Y990" t="s">
        <v>2103</v>
      </c>
      <c r="Z990" t="str">
        <f t="shared" si="182"/>
        <v>Yes</v>
      </c>
      <c r="AA990" t="str">
        <f t="shared" si="183"/>
        <v>Yes</v>
      </c>
      <c r="AB990" t="str">
        <f t="shared" si="184"/>
        <v>Yes</v>
      </c>
      <c r="AC990" s="12">
        <v>64</v>
      </c>
      <c r="AD990" s="12">
        <f t="shared" si="185"/>
        <v>64</v>
      </c>
    </row>
    <row r="991" spans="1:30" x14ac:dyDescent="0.3">
      <c r="A991" t="s">
        <v>2066</v>
      </c>
      <c r="B991" t="s">
        <v>2067</v>
      </c>
      <c r="C991" t="s">
        <v>2861</v>
      </c>
      <c r="D991" t="s">
        <v>2922</v>
      </c>
      <c r="E991" t="str">
        <f t="shared" si="175"/>
        <v>Evan Ramos</v>
      </c>
      <c r="H991" t="s">
        <v>107</v>
      </c>
      <c r="I991" t="str">
        <f t="shared" si="176"/>
        <v>Male</v>
      </c>
      <c r="J991">
        <v>37</v>
      </c>
      <c r="K991">
        <f t="shared" si="177"/>
        <v>37</v>
      </c>
      <c r="L991" t="str">
        <f t="shared" si="178"/>
        <v>Second level</v>
      </c>
      <c r="M991" t="s">
        <v>23</v>
      </c>
      <c r="N991" t="s">
        <v>24</v>
      </c>
      <c r="O991" t="s">
        <v>33</v>
      </c>
      <c r="P991">
        <v>4</v>
      </c>
      <c r="Q991">
        <f t="shared" si="179"/>
        <v>4</v>
      </c>
      <c r="R991" t="s">
        <v>92</v>
      </c>
      <c r="S991" s="8" t="s">
        <v>92</v>
      </c>
      <c r="T991" s="9">
        <v>75</v>
      </c>
      <c r="U991" s="9">
        <f t="shared" si="180"/>
        <v>75</v>
      </c>
      <c r="V991" s="10">
        <v>75</v>
      </c>
      <c r="W991">
        <v>3.2</v>
      </c>
      <c r="X991" s="11">
        <f t="shared" si="181"/>
        <v>3.2</v>
      </c>
      <c r="Y991" t="s">
        <v>2102</v>
      </c>
      <c r="Z991" t="str">
        <f t="shared" si="182"/>
        <v>No</v>
      </c>
      <c r="AA991" t="str">
        <f t="shared" si="183"/>
        <v>No</v>
      </c>
      <c r="AB991" t="str">
        <f t="shared" si="184"/>
        <v>No</v>
      </c>
      <c r="AC991" s="12">
        <v>76</v>
      </c>
      <c r="AD991" s="12">
        <f t="shared" si="185"/>
        <v>76</v>
      </c>
    </row>
    <row r="992" spans="1:30" x14ac:dyDescent="0.3">
      <c r="A992" t="s">
        <v>2068</v>
      </c>
      <c r="B992" t="s">
        <v>2069</v>
      </c>
      <c r="C992" t="s">
        <v>2128</v>
      </c>
      <c r="D992" t="s">
        <v>2923</v>
      </c>
      <c r="E992" t="str">
        <f t="shared" si="175"/>
        <v>Michelle Solis</v>
      </c>
      <c r="H992" t="s">
        <v>22</v>
      </c>
      <c r="I992" t="str">
        <f t="shared" si="176"/>
        <v>Female</v>
      </c>
      <c r="J992">
        <v>21</v>
      </c>
      <c r="K992">
        <f t="shared" si="177"/>
        <v>21</v>
      </c>
      <c r="L992" t="str">
        <f t="shared" si="178"/>
        <v>First level</v>
      </c>
      <c r="M992" t="s">
        <v>80</v>
      </c>
      <c r="N992" t="s">
        <v>81</v>
      </c>
      <c r="O992" t="s">
        <v>49</v>
      </c>
      <c r="P992">
        <v>2</v>
      </c>
      <c r="Q992">
        <f t="shared" si="179"/>
        <v>2</v>
      </c>
      <c r="R992" t="s">
        <v>18</v>
      </c>
      <c r="S992" s="8" t="s">
        <v>18</v>
      </c>
      <c r="T992" s="9">
        <v>100</v>
      </c>
      <c r="U992" s="9">
        <f t="shared" si="180"/>
        <v>100</v>
      </c>
      <c r="V992" s="10">
        <v>100</v>
      </c>
      <c r="W992">
        <v>3.7</v>
      </c>
      <c r="X992" s="11">
        <f t="shared" si="181"/>
        <v>3.7</v>
      </c>
      <c r="Y992" t="s">
        <v>77</v>
      </c>
      <c r="Z992" t="str">
        <f t="shared" si="182"/>
        <v>yes</v>
      </c>
      <c r="AA992" t="str">
        <f t="shared" si="183"/>
        <v>yes</v>
      </c>
      <c r="AB992" t="str">
        <f t="shared" si="184"/>
        <v>Yes</v>
      </c>
      <c r="AC992" s="12">
        <v>73</v>
      </c>
      <c r="AD992" s="12">
        <f t="shared" si="185"/>
        <v>73</v>
      </c>
    </row>
    <row r="993" spans="1:30" x14ac:dyDescent="0.3">
      <c r="A993" t="s">
        <v>2070</v>
      </c>
      <c r="B993" t="s">
        <v>2071</v>
      </c>
      <c r="C993" t="s">
        <v>2924</v>
      </c>
      <c r="D993" t="s">
        <v>2744</v>
      </c>
      <c r="E993" t="str">
        <f t="shared" si="175"/>
        <v>Charlotte Taylor</v>
      </c>
      <c r="H993" t="s">
        <v>22</v>
      </c>
      <c r="I993" t="str">
        <f t="shared" si="176"/>
        <v>Female</v>
      </c>
      <c r="J993">
        <v>58</v>
      </c>
      <c r="K993">
        <f t="shared" si="177"/>
        <v>58</v>
      </c>
      <c r="L993" t="str">
        <f t="shared" si="178"/>
        <v>Fourth level</v>
      </c>
      <c r="M993" t="s">
        <v>31</v>
      </c>
      <c r="N993" t="s">
        <v>32</v>
      </c>
      <c r="O993" t="s">
        <v>82</v>
      </c>
      <c r="P993">
        <v>37</v>
      </c>
      <c r="Q993">
        <f t="shared" si="179"/>
        <v>37</v>
      </c>
      <c r="R993" t="s">
        <v>108</v>
      </c>
      <c r="S993" s="8" t="s">
        <v>2095</v>
      </c>
      <c r="T993" s="9">
        <v>50</v>
      </c>
      <c r="U993" s="9">
        <f t="shared" si="180"/>
        <v>50</v>
      </c>
      <c r="V993" s="10">
        <v>50</v>
      </c>
      <c r="W993">
        <v>4.9000000000000004</v>
      </c>
      <c r="X993" s="11">
        <f t="shared" si="181"/>
        <v>4.9000000000000004</v>
      </c>
      <c r="Y993" t="s">
        <v>2102</v>
      </c>
      <c r="Z993" t="str">
        <f t="shared" si="182"/>
        <v>No</v>
      </c>
      <c r="AA993" t="str">
        <f t="shared" si="183"/>
        <v>No</v>
      </c>
      <c r="AB993" t="str">
        <f t="shared" si="184"/>
        <v>No</v>
      </c>
      <c r="AC993" s="12">
        <v>69</v>
      </c>
      <c r="AD993" s="12">
        <f t="shared" si="185"/>
        <v>69</v>
      </c>
    </row>
    <row r="994" spans="1:30" x14ac:dyDescent="0.3">
      <c r="A994" t="s">
        <v>2072</v>
      </c>
      <c r="B994" t="s">
        <v>2073</v>
      </c>
      <c r="C994" t="s">
        <v>2723</v>
      </c>
      <c r="D994" t="s">
        <v>2925</v>
      </c>
      <c r="E994" t="str">
        <f t="shared" si="175"/>
        <v>Sandra Preston</v>
      </c>
      <c r="H994" t="s">
        <v>86</v>
      </c>
      <c r="I994" t="str">
        <f t="shared" si="176"/>
        <v>Female</v>
      </c>
      <c r="J994">
        <v>52</v>
      </c>
      <c r="K994">
        <f t="shared" si="177"/>
        <v>52</v>
      </c>
      <c r="L994" t="str">
        <f t="shared" si="178"/>
        <v>Fourth level</v>
      </c>
      <c r="M994" t="s">
        <v>55</v>
      </c>
      <c r="N994" t="s">
        <v>56</v>
      </c>
      <c r="O994" t="s">
        <v>25</v>
      </c>
      <c r="P994">
        <v>32</v>
      </c>
      <c r="Q994">
        <f t="shared" si="179"/>
        <v>32</v>
      </c>
      <c r="R994" t="s">
        <v>181</v>
      </c>
      <c r="S994" s="8" t="s">
        <v>181</v>
      </c>
      <c r="T994" s="9">
        <v>75</v>
      </c>
      <c r="U994" s="9">
        <f t="shared" si="180"/>
        <v>75</v>
      </c>
      <c r="V994" s="10">
        <v>75</v>
      </c>
      <c r="W994">
        <v>3.2</v>
      </c>
      <c r="X994" s="11">
        <f t="shared" si="181"/>
        <v>3.2</v>
      </c>
      <c r="Y994" t="s">
        <v>2102</v>
      </c>
      <c r="Z994" t="str">
        <f t="shared" si="182"/>
        <v>No</v>
      </c>
      <c r="AA994" t="str">
        <f t="shared" si="183"/>
        <v>No</v>
      </c>
      <c r="AB994" t="str">
        <f t="shared" si="184"/>
        <v>No</v>
      </c>
      <c r="AC994" s="12">
        <v>79</v>
      </c>
      <c r="AD994" s="12">
        <f t="shared" si="185"/>
        <v>79</v>
      </c>
    </row>
    <row r="995" spans="1:30" x14ac:dyDescent="0.3">
      <c r="A995" t="s">
        <v>2074</v>
      </c>
      <c r="B995" t="s">
        <v>2075</v>
      </c>
      <c r="C995" t="s">
        <v>2926</v>
      </c>
      <c r="D995" t="s">
        <v>2927</v>
      </c>
      <c r="E995" t="str">
        <f t="shared" si="175"/>
        <v>Jim Weiss</v>
      </c>
      <c r="H995" t="s">
        <v>30</v>
      </c>
      <c r="I995" t="str">
        <f t="shared" si="176"/>
        <v>Male</v>
      </c>
      <c r="J995">
        <v>46</v>
      </c>
      <c r="K995">
        <f t="shared" si="177"/>
        <v>46</v>
      </c>
      <c r="L995" t="str">
        <f t="shared" si="178"/>
        <v>Third level</v>
      </c>
      <c r="M995" t="s">
        <v>134</v>
      </c>
      <c r="N995" t="s">
        <v>135</v>
      </c>
      <c r="O995" t="s">
        <v>25</v>
      </c>
      <c r="P995">
        <v>8</v>
      </c>
      <c r="Q995">
        <f t="shared" si="179"/>
        <v>8</v>
      </c>
      <c r="R995" t="s">
        <v>151</v>
      </c>
      <c r="S995" s="8" t="s">
        <v>151</v>
      </c>
      <c r="T995" s="9">
        <v>20</v>
      </c>
      <c r="U995" s="9">
        <f t="shared" si="180"/>
        <v>20</v>
      </c>
      <c r="V995" s="10">
        <v>20</v>
      </c>
      <c r="W995">
        <v>2.2000000000000002</v>
      </c>
      <c r="X995" s="11">
        <f t="shared" si="181"/>
        <v>2.2000000000000002</v>
      </c>
      <c r="Y995" t="s">
        <v>65</v>
      </c>
      <c r="AA995" t="str">
        <f t="shared" si="183"/>
        <v>Unknown</v>
      </c>
      <c r="AB995" t="str">
        <f t="shared" si="184"/>
        <v>Unknown</v>
      </c>
      <c r="AC995" s="12">
        <v>89</v>
      </c>
      <c r="AD995" s="12">
        <f t="shared" si="185"/>
        <v>89</v>
      </c>
    </row>
    <row r="996" spans="1:30" x14ac:dyDescent="0.3">
      <c r="A996" t="s">
        <v>2076</v>
      </c>
      <c r="B996" t="s">
        <v>2077</v>
      </c>
      <c r="C996" t="s">
        <v>2151</v>
      </c>
      <c r="D996" t="s">
        <v>2705</v>
      </c>
      <c r="E996" t="str">
        <f t="shared" si="175"/>
        <v>Jennifer Hinton</v>
      </c>
      <c r="H996" t="s">
        <v>86</v>
      </c>
      <c r="I996" t="str">
        <f t="shared" si="176"/>
        <v>Female</v>
      </c>
      <c r="J996">
        <v>34</v>
      </c>
      <c r="K996">
        <f t="shared" si="177"/>
        <v>34</v>
      </c>
      <c r="L996" t="str">
        <f t="shared" si="178"/>
        <v>Second level</v>
      </c>
      <c r="M996" t="s">
        <v>164</v>
      </c>
      <c r="N996" t="s">
        <v>165</v>
      </c>
      <c r="O996" t="s">
        <v>99</v>
      </c>
      <c r="P996">
        <v>8</v>
      </c>
      <c r="Q996">
        <f t="shared" si="179"/>
        <v>8</v>
      </c>
      <c r="R996" t="s">
        <v>44</v>
      </c>
      <c r="S996" s="8" t="s">
        <v>44</v>
      </c>
      <c r="T996" s="9">
        <v>30</v>
      </c>
      <c r="U996" s="9">
        <f t="shared" si="180"/>
        <v>30</v>
      </c>
      <c r="V996" s="10">
        <v>30</v>
      </c>
      <c r="W996">
        <v>3.9</v>
      </c>
      <c r="X996" s="11">
        <f t="shared" si="181"/>
        <v>3.9</v>
      </c>
      <c r="Y996" t="s">
        <v>2103</v>
      </c>
      <c r="Z996" t="str">
        <f t="shared" si="182"/>
        <v>Yes</v>
      </c>
      <c r="AA996" t="str">
        <f t="shared" si="183"/>
        <v>Yes</v>
      </c>
      <c r="AB996" t="str">
        <f t="shared" si="184"/>
        <v>Yes</v>
      </c>
      <c r="AC996" s="12">
        <v>95</v>
      </c>
      <c r="AD996" s="12">
        <f t="shared" si="185"/>
        <v>95</v>
      </c>
    </row>
    <row r="997" spans="1:30" x14ac:dyDescent="0.3">
      <c r="A997" t="s">
        <v>2078</v>
      </c>
      <c r="B997" t="s">
        <v>2079</v>
      </c>
      <c r="C997" t="s">
        <v>2928</v>
      </c>
      <c r="D997" t="s">
        <v>2929</v>
      </c>
      <c r="E997" t="str">
        <f t="shared" si="175"/>
        <v>Albert Wilcox</v>
      </c>
      <c r="H997" t="s">
        <v>107</v>
      </c>
      <c r="I997" t="str">
        <f t="shared" si="176"/>
        <v>Male</v>
      </c>
      <c r="J997">
        <v>56</v>
      </c>
      <c r="K997">
        <f t="shared" si="177"/>
        <v>56</v>
      </c>
      <c r="L997" t="b">
        <f t="shared" si="178"/>
        <v>0</v>
      </c>
      <c r="M997" t="s">
        <v>70</v>
      </c>
      <c r="N997" t="s">
        <v>71</v>
      </c>
      <c r="O997" t="s">
        <v>99</v>
      </c>
      <c r="P997">
        <v>13</v>
      </c>
      <c r="Q997">
        <f t="shared" si="179"/>
        <v>13</v>
      </c>
      <c r="R997" t="s">
        <v>18</v>
      </c>
      <c r="S997" s="8" t="s">
        <v>18</v>
      </c>
      <c r="T997" s="9">
        <v>100</v>
      </c>
      <c r="U997" s="9">
        <f t="shared" si="180"/>
        <v>100</v>
      </c>
      <c r="V997" s="10">
        <v>100</v>
      </c>
      <c r="W997">
        <v>0</v>
      </c>
      <c r="X997" s="11">
        <f t="shared" si="181"/>
        <v>0</v>
      </c>
      <c r="Y997" t="s">
        <v>170</v>
      </c>
      <c r="Z997" t="str">
        <f t="shared" si="182"/>
        <v>no</v>
      </c>
      <c r="AA997" t="str">
        <f t="shared" si="183"/>
        <v>no</v>
      </c>
      <c r="AB997" t="str">
        <f t="shared" si="184"/>
        <v>No</v>
      </c>
      <c r="AC997" s="12">
        <v>68</v>
      </c>
      <c r="AD997" s="12">
        <f t="shared" si="185"/>
        <v>68</v>
      </c>
    </row>
    <row r="998" spans="1:30" x14ac:dyDescent="0.3">
      <c r="A998" t="s">
        <v>2080</v>
      </c>
      <c r="B998" t="s">
        <v>2081</v>
      </c>
      <c r="C998" t="s">
        <v>2652</v>
      </c>
      <c r="D998" t="s">
        <v>2598</v>
      </c>
      <c r="E998" t="str">
        <f t="shared" si="175"/>
        <v>Cheryl Norris</v>
      </c>
      <c r="H998" t="s">
        <v>86</v>
      </c>
      <c r="I998" t="str">
        <f t="shared" si="176"/>
        <v>Female</v>
      </c>
      <c r="J998">
        <v>26</v>
      </c>
      <c r="K998">
        <f t="shared" si="177"/>
        <v>26</v>
      </c>
      <c r="L998" t="str">
        <f t="shared" si="178"/>
        <v>First level</v>
      </c>
      <c r="M998" t="s">
        <v>31</v>
      </c>
      <c r="N998" t="s">
        <v>32</v>
      </c>
      <c r="O998" t="s">
        <v>17</v>
      </c>
      <c r="P998">
        <v>6</v>
      </c>
      <c r="Q998">
        <f t="shared" si="179"/>
        <v>6</v>
      </c>
      <c r="R998" t="s">
        <v>61</v>
      </c>
      <c r="S998" s="8" t="s">
        <v>2094</v>
      </c>
      <c r="T998" s="9">
        <v>40</v>
      </c>
      <c r="U998" s="9">
        <f t="shared" si="180"/>
        <v>40</v>
      </c>
      <c r="V998" s="10">
        <v>40</v>
      </c>
      <c r="W998">
        <v>2.8</v>
      </c>
      <c r="X998" s="11">
        <f t="shared" si="181"/>
        <v>2.8</v>
      </c>
      <c r="Y998" t="s">
        <v>2102</v>
      </c>
      <c r="Z998" t="str">
        <f t="shared" si="182"/>
        <v>No</v>
      </c>
      <c r="AA998" t="str">
        <f t="shared" si="183"/>
        <v>No</v>
      </c>
      <c r="AB998" t="str">
        <f t="shared" si="184"/>
        <v>No</v>
      </c>
      <c r="AC998" s="12">
        <v>82</v>
      </c>
      <c r="AD998" s="12">
        <f t="shared" si="185"/>
        <v>82</v>
      </c>
    </row>
    <row r="999" spans="1:30" x14ac:dyDescent="0.3">
      <c r="A999" t="s">
        <v>2082</v>
      </c>
      <c r="B999" t="s">
        <v>2083</v>
      </c>
      <c r="C999" t="s">
        <v>2711</v>
      </c>
      <c r="D999" t="s">
        <v>2930</v>
      </c>
      <c r="E999" t="str">
        <f t="shared" si="175"/>
        <v>Kathy Watkins</v>
      </c>
      <c r="H999" t="s">
        <v>43</v>
      </c>
      <c r="I999" t="str">
        <f t="shared" si="176"/>
        <v>Female</v>
      </c>
      <c r="J999">
        <v>37</v>
      </c>
      <c r="K999">
        <f t="shared" si="177"/>
        <v>37</v>
      </c>
      <c r="L999" t="str">
        <f t="shared" si="178"/>
        <v>Second level</v>
      </c>
      <c r="M999" t="s">
        <v>95</v>
      </c>
      <c r="N999" t="s">
        <v>96</v>
      </c>
      <c r="O999" t="s">
        <v>57</v>
      </c>
      <c r="P999">
        <v>15</v>
      </c>
      <c r="Q999">
        <f t="shared" si="179"/>
        <v>15</v>
      </c>
      <c r="R999" t="s">
        <v>92</v>
      </c>
      <c r="S999" s="8" t="s">
        <v>92</v>
      </c>
      <c r="T999" s="9">
        <v>75</v>
      </c>
      <c r="U999" s="9">
        <f t="shared" si="180"/>
        <v>75</v>
      </c>
      <c r="V999" s="10">
        <v>75</v>
      </c>
      <c r="X999" s="11">
        <f t="shared" si="181"/>
        <v>2.25</v>
      </c>
      <c r="Y999" t="s">
        <v>2102</v>
      </c>
      <c r="Z999" t="str">
        <f t="shared" si="182"/>
        <v>No</v>
      </c>
      <c r="AA999" t="str">
        <f t="shared" si="183"/>
        <v>No</v>
      </c>
      <c r="AB999" t="str">
        <f t="shared" si="184"/>
        <v>No</v>
      </c>
      <c r="AC999" s="12">
        <v>94</v>
      </c>
      <c r="AD999" s="12">
        <f t="shared" si="185"/>
        <v>94</v>
      </c>
    </row>
    <row r="1000" spans="1:30" x14ac:dyDescent="0.3">
      <c r="A1000" t="s">
        <v>2084</v>
      </c>
      <c r="B1000" t="s">
        <v>2085</v>
      </c>
      <c r="C1000" t="s">
        <v>2366</v>
      </c>
      <c r="D1000" t="s">
        <v>2931</v>
      </c>
      <c r="E1000" t="str">
        <f t="shared" si="175"/>
        <v>John Obrien</v>
      </c>
      <c r="H1000" t="s">
        <v>107</v>
      </c>
      <c r="I1000" t="str">
        <f t="shared" si="176"/>
        <v>Male</v>
      </c>
      <c r="J1000">
        <v>46</v>
      </c>
      <c r="K1000">
        <f t="shared" si="177"/>
        <v>46</v>
      </c>
      <c r="L1000" t="str">
        <f t="shared" si="178"/>
        <v>Third level</v>
      </c>
      <c r="M1000" t="s">
        <v>134</v>
      </c>
      <c r="N1000" t="s">
        <v>135</v>
      </c>
      <c r="O1000" t="s">
        <v>124</v>
      </c>
      <c r="P1000">
        <v>22</v>
      </c>
      <c r="Q1000">
        <f t="shared" si="179"/>
        <v>22</v>
      </c>
      <c r="R1000" t="s">
        <v>18</v>
      </c>
      <c r="S1000" s="8" t="s">
        <v>18</v>
      </c>
      <c r="T1000" s="9">
        <v>100</v>
      </c>
      <c r="U1000" s="9">
        <f t="shared" si="180"/>
        <v>100</v>
      </c>
      <c r="V1000" s="10">
        <v>100</v>
      </c>
      <c r="W1000">
        <v>2.8</v>
      </c>
      <c r="X1000" s="11">
        <f t="shared" si="181"/>
        <v>2.8</v>
      </c>
      <c r="Y1000" t="s">
        <v>77</v>
      </c>
      <c r="Z1000" t="str">
        <f t="shared" si="182"/>
        <v>yes</v>
      </c>
      <c r="AA1000" t="str">
        <f t="shared" si="183"/>
        <v>yes</v>
      </c>
      <c r="AB1000" t="str">
        <f t="shared" si="184"/>
        <v>Yes</v>
      </c>
      <c r="AC1000" s="12">
        <v>97</v>
      </c>
      <c r="AD1000" s="12">
        <f t="shared" si="185"/>
        <v>97</v>
      </c>
    </row>
    <row r="1001" spans="1:30" x14ac:dyDescent="0.3">
      <c r="A1001" t="s">
        <v>2086</v>
      </c>
      <c r="B1001" t="s">
        <v>2087</v>
      </c>
      <c r="C1001" t="s">
        <v>2714</v>
      </c>
      <c r="D1001" t="s">
        <v>2257</v>
      </c>
      <c r="E1001" t="str">
        <f t="shared" si="175"/>
        <v>Dawn Green</v>
      </c>
      <c r="H1001" t="s">
        <v>86</v>
      </c>
      <c r="I1001" t="str">
        <f t="shared" si="176"/>
        <v>Female</v>
      </c>
      <c r="J1001">
        <v>36</v>
      </c>
      <c r="K1001">
        <f t="shared" si="177"/>
        <v>36</v>
      </c>
      <c r="L1001" t="str">
        <f t="shared" si="178"/>
        <v>Second level</v>
      </c>
      <c r="M1001" t="s">
        <v>190</v>
      </c>
      <c r="N1001" t="s">
        <v>81</v>
      </c>
      <c r="O1001" t="s">
        <v>82</v>
      </c>
      <c r="P1001">
        <v>18</v>
      </c>
      <c r="Q1001">
        <f t="shared" si="179"/>
        <v>18</v>
      </c>
      <c r="R1001" t="s">
        <v>131</v>
      </c>
      <c r="S1001" s="8" t="s">
        <v>131</v>
      </c>
      <c r="T1001" s="9">
        <v>20</v>
      </c>
      <c r="U1001" s="9">
        <f t="shared" si="180"/>
        <v>20</v>
      </c>
      <c r="V1001" s="10">
        <v>20</v>
      </c>
      <c r="W1001">
        <v>1.7</v>
      </c>
      <c r="X1001" s="11">
        <f t="shared" si="181"/>
        <v>1.7</v>
      </c>
      <c r="Y1001" t="s">
        <v>2103</v>
      </c>
      <c r="Z1001" t="str">
        <f t="shared" si="182"/>
        <v>Yes</v>
      </c>
      <c r="AA1001" t="str">
        <f t="shared" si="183"/>
        <v>Yes</v>
      </c>
      <c r="AB1001" t="str">
        <f t="shared" si="184"/>
        <v>Yes</v>
      </c>
      <c r="AC1001" s="12">
        <v>72</v>
      </c>
      <c r="AD1001" s="12">
        <f t="shared" si="185"/>
        <v>72</v>
      </c>
    </row>
    <row r="1003" spans="1:30" x14ac:dyDescent="0.3">
      <c r="S1003" s="8" t="e">
        <f>AVERAGE(#REF!)</f>
        <v>#REF!</v>
      </c>
    </row>
  </sheetData>
  <autoFilter ref="A1:AD1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2A4F-D849-477D-B348-3204FF865D7B}">
  <dimension ref="A1:L1001"/>
  <sheetViews>
    <sheetView tabSelected="1" topLeftCell="A44" workbookViewId="0">
      <selection activeCell="D11" sqref="D11"/>
    </sheetView>
  </sheetViews>
  <sheetFormatPr defaultRowHeight="14.4" x14ac:dyDescent="0.3"/>
  <cols>
    <col min="1" max="1" width="12.109375" style="15" bestFit="1" customWidth="1"/>
    <col min="2" max="2" width="22.77734375" style="15" bestFit="1" customWidth="1"/>
    <col min="3" max="4" width="8.88671875" style="15"/>
    <col min="5" max="5" width="14" style="15" bestFit="1" customWidth="1"/>
    <col min="6" max="6" width="10.44140625" style="15" bestFit="1" customWidth="1"/>
    <col min="7" max="7" width="21.44140625" style="15" bestFit="1" customWidth="1"/>
    <col min="8" max="8" width="20.44140625" style="15" bestFit="1" customWidth="1"/>
    <col min="9" max="9" width="17.77734375" style="16" bestFit="1" customWidth="1"/>
    <col min="10" max="10" width="12" style="17" bestFit="1" customWidth="1"/>
    <col min="11" max="11" width="10.33203125" style="15" bestFit="1" customWidth="1"/>
    <col min="12" max="12" width="18.21875" style="18" bestFit="1" customWidth="1"/>
    <col min="13" max="16384" width="8.88671875" style="15"/>
  </cols>
  <sheetData>
    <row r="1" spans="1:12" x14ac:dyDescent="0.3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5" t="s">
        <v>9</v>
      </c>
      <c r="K1" s="23" t="s">
        <v>10</v>
      </c>
      <c r="L1" s="26" t="s">
        <v>11</v>
      </c>
    </row>
    <row r="2" spans="1:12" x14ac:dyDescent="0.3">
      <c r="A2" s="14" t="s">
        <v>1351</v>
      </c>
      <c r="B2" s="19" t="str">
        <f>VLOOKUP(A2,Sheet1!A:E,5,0)</f>
        <v>Angela Blackwell</v>
      </c>
      <c r="C2" s="19" t="str">
        <f>VLOOKUP(A2,Sheet1!A:I,9,0)</f>
        <v>Female</v>
      </c>
      <c r="D2" s="19">
        <f>VLOOKUP(A2,Sheet1!A:K,11,0)</f>
        <v>60</v>
      </c>
      <c r="E2" s="19" t="str">
        <f>VLOOKUP(A2,Sheet1!A:M,13,0)</f>
        <v>Turkey</v>
      </c>
      <c r="F2" s="19" t="str">
        <f>VLOOKUP(A2,Sheet1!A:N,14,0)</f>
        <v>Turkish</v>
      </c>
      <c r="G2" s="19" t="str">
        <f>VLOOKUP(A2,Sheet1!A:O,15,0)</f>
        <v>Web Development</v>
      </c>
      <c r="H2" s="19">
        <f>VLOOKUP(A2,Sheet1!A:Q,17,0)</f>
        <v>41</v>
      </c>
      <c r="I2" s="20">
        <f>VLOOKUP(A2,Sheet1!A:V,22,0)</f>
        <v>40</v>
      </c>
      <c r="J2" s="21">
        <f>VLOOKUP(A2,Sheet1!A:X,24,0)</f>
        <v>4.9000000000000004</v>
      </c>
      <c r="K2" s="19" t="str">
        <f>VLOOKUP(A2,Sheet1!A:AB,28,0)</f>
        <v>Yes</v>
      </c>
      <c r="L2" s="27">
        <f>VLOOKUP(A2,Sheet1!A:AD,30,0)</f>
        <v>66</v>
      </c>
    </row>
    <row r="3" spans="1:12" x14ac:dyDescent="0.3">
      <c r="A3" s="14" t="s">
        <v>651</v>
      </c>
      <c r="B3" s="19" t="str">
        <f>VLOOKUP(A3,Sheet1!A:E,5,0)</f>
        <v>Anthony Goodwin</v>
      </c>
      <c r="C3" s="19" t="str">
        <f>VLOOKUP(A3,Sheet1!A:I,9,0)</f>
        <v>Male</v>
      </c>
      <c r="D3" s="19">
        <f>VLOOKUP(A3,Sheet1!A:K,11,0)</f>
        <v>60</v>
      </c>
      <c r="E3" s="19" t="str">
        <f>VLOOKUP(A3,Sheet1!A:M,13,0)</f>
        <v>Turkey</v>
      </c>
      <c r="F3" s="19" t="str">
        <f>VLOOKUP(A3,Sheet1!A:N,14,0)</f>
        <v>Turkish</v>
      </c>
      <c r="G3" s="19" t="str">
        <f>VLOOKUP(A3,Sheet1!A:O,15,0)</f>
        <v>Data Analysis</v>
      </c>
      <c r="H3" s="19">
        <f>VLOOKUP(A3,Sheet1!A:Q,17,0)</f>
        <v>6</v>
      </c>
      <c r="I3" s="20">
        <f>VLOOKUP(A3,Sheet1!A:V,22,0)</f>
        <v>52.435312024353124</v>
      </c>
      <c r="J3" s="21">
        <f>VLOOKUP(A3,Sheet1!A:X,24,0)</f>
        <v>3.2</v>
      </c>
      <c r="K3" s="19" t="str">
        <f>VLOOKUP(A3,Sheet1!A:AB,28,0)</f>
        <v>No</v>
      </c>
      <c r="L3" s="27">
        <f>VLOOKUP(A3,Sheet1!A:AD,30,0)</f>
        <v>95</v>
      </c>
    </row>
    <row r="4" spans="1:12" x14ac:dyDescent="0.3">
      <c r="A4" s="14" t="s">
        <v>432</v>
      </c>
      <c r="B4" s="19" t="str">
        <f>VLOOKUP(A4,Sheet1!A:E,5,0)</f>
        <v>Anthony Larsen</v>
      </c>
      <c r="C4" s="19" t="str">
        <f>VLOOKUP(A4,Sheet1!A:I,9,0)</f>
        <v>Male</v>
      </c>
      <c r="D4" s="19">
        <f>VLOOKUP(A4,Sheet1!A:K,11,0)</f>
        <v>60</v>
      </c>
      <c r="E4" s="19" t="str">
        <f>VLOOKUP(A4,Sheet1!A:M,13,0)</f>
        <v>Argentina</v>
      </c>
      <c r="F4" s="19" t="str">
        <f>VLOOKUP(A4,Sheet1!A:N,14,0)</f>
        <v>Spanish</v>
      </c>
      <c r="G4" s="19" t="str">
        <f>VLOOKUP(A4,Sheet1!A:O,15,0)</f>
        <v>Cybersecurity</v>
      </c>
      <c r="H4" s="19">
        <f>VLOOKUP(A4,Sheet1!A:Q,17,0)</f>
        <v>20</v>
      </c>
      <c r="I4" s="20">
        <f>VLOOKUP(A4,Sheet1!A:V,22,0)</f>
        <v>40</v>
      </c>
      <c r="J4" s="21">
        <f>VLOOKUP(A4,Sheet1!A:X,24,0)</f>
        <v>1.4</v>
      </c>
      <c r="K4" s="19" t="str">
        <f>VLOOKUP(A4,Sheet1!A:AB,28,0)</f>
        <v>No</v>
      </c>
      <c r="L4" s="27">
        <f>VLOOKUP(A4,Sheet1!A:AD,30,0)</f>
        <v>87</v>
      </c>
    </row>
    <row r="5" spans="1:12" x14ac:dyDescent="0.3">
      <c r="A5" s="14" t="s">
        <v>2058</v>
      </c>
      <c r="B5" s="19" t="str">
        <f>VLOOKUP(A5,Sheet1!A:E,5,0)</f>
        <v>Bradley Wu</v>
      </c>
      <c r="C5" s="19" t="str">
        <f>VLOOKUP(A5,Sheet1!A:I,9,0)</f>
        <v>Male</v>
      </c>
      <c r="D5" s="19">
        <f>VLOOKUP(A5,Sheet1!A:K,11,0)</f>
        <v>60</v>
      </c>
      <c r="E5" s="19" t="str">
        <f>VLOOKUP(A5,Sheet1!A:M,13,0)</f>
        <v>Spain</v>
      </c>
      <c r="F5" s="19" t="str">
        <f>VLOOKUP(A5,Sheet1!A:N,14,0)</f>
        <v>Spanish</v>
      </c>
      <c r="G5" s="19" t="str">
        <f>VLOOKUP(A5,Sheet1!A:O,15,0)</f>
        <v>Blockchain Development</v>
      </c>
      <c r="H5" s="19">
        <f>VLOOKUP(A5,Sheet1!A:Q,17,0)</f>
        <v>39</v>
      </c>
      <c r="I5" s="20">
        <f>VLOOKUP(A5,Sheet1!A:V,22,0)</f>
        <v>20</v>
      </c>
      <c r="J5" s="21">
        <f>VLOOKUP(A5,Sheet1!A:X,24,0)</f>
        <v>1.4</v>
      </c>
      <c r="K5" s="19" t="str">
        <f>VLOOKUP(A5,Sheet1!A:AB,28,0)</f>
        <v>Yes</v>
      </c>
      <c r="L5" s="27">
        <f>VLOOKUP(A5,Sheet1!A:AD,30,0)</f>
        <v>86</v>
      </c>
    </row>
    <row r="6" spans="1:12" x14ac:dyDescent="0.3">
      <c r="A6" s="14" t="s">
        <v>1812</v>
      </c>
      <c r="B6" s="19" t="str">
        <f>VLOOKUP(A6,Sheet1!A:E,5,0)</f>
        <v>Christopher Johnson</v>
      </c>
      <c r="C6" s="19" t="str">
        <f>VLOOKUP(A6,Sheet1!A:I,9,0)</f>
        <v>Male</v>
      </c>
      <c r="D6" s="19">
        <f>VLOOKUP(A6,Sheet1!A:K,11,0)</f>
        <v>60</v>
      </c>
      <c r="E6" s="19" t="str">
        <f>VLOOKUP(A6,Sheet1!A:M,13,0)</f>
        <v>Japan</v>
      </c>
      <c r="F6" s="19" t="str">
        <f>VLOOKUP(A6,Sheet1!A:N,14,0)</f>
        <v>Japanese</v>
      </c>
      <c r="G6" s="19" t="str">
        <f>VLOOKUP(A6,Sheet1!A:O,15,0)</f>
        <v>AI</v>
      </c>
      <c r="H6" s="19">
        <f>VLOOKUP(A6,Sheet1!A:Q,17,0)</f>
        <v>19</v>
      </c>
      <c r="I6" s="20">
        <f>VLOOKUP(A6,Sheet1!A:V,22,0)</f>
        <v>20</v>
      </c>
      <c r="J6" s="21">
        <f>VLOOKUP(A6,Sheet1!A:X,24,0)</f>
        <v>2.2000000000000002</v>
      </c>
      <c r="K6" s="19" t="str">
        <f>VLOOKUP(A6,Sheet1!A:AB,28,0)</f>
        <v>No</v>
      </c>
      <c r="L6" s="27">
        <f>VLOOKUP(A6,Sheet1!A:AD,30,0)</f>
        <v>60</v>
      </c>
    </row>
    <row r="7" spans="1:12" x14ac:dyDescent="0.3">
      <c r="A7" s="14" t="s">
        <v>543</v>
      </c>
      <c r="B7" s="19" t="str">
        <f>VLOOKUP(A7,Sheet1!A:E,5,0)</f>
        <v>Darrell Johnson</v>
      </c>
      <c r="C7" s="19" t="str">
        <f>VLOOKUP(A7,Sheet1!A:I,9,0)</f>
        <v>Male</v>
      </c>
      <c r="D7" s="19">
        <f>VLOOKUP(A7,Sheet1!A:K,11,0)</f>
        <v>60</v>
      </c>
      <c r="E7" s="19" t="str">
        <f>VLOOKUP(A7,Sheet1!A:M,13,0)</f>
        <v>Canada</v>
      </c>
      <c r="F7" s="19" t="str">
        <f>VLOOKUP(A7,Sheet1!A:N,14,0)</f>
        <v>English</v>
      </c>
      <c r="G7" s="19" t="str">
        <f>VLOOKUP(A7,Sheet1!A:O,15,0)</f>
        <v>Machine Learning</v>
      </c>
      <c r="H7" s="19">
        <f>VLOOKUP(A7,Sheet1!A:Q,17,0)</f>
        <v>3</v>
      </c>
      <c r="I7" s="20">
        <f>VLOOKUP(A7,Sheet1!A:V,22,0)</f>
        <v>40</v>
      </c>
      <c r="J7" s="21">
        <f>VLOOKUP(A7,Sheet1!A:X,24,0)</f>
        <v>4.7</v>
      </c>
      <c r="K7" s="19" t="str">
        <f>VLOOKUP(A7,Sheet1!A:AB,28,0)</f>
        <v>No</v>
      </c>
      <c r="L7" s="27">
        <f>VLOOKUP(A7,Sheet1!A:AD,30,0)</f>
        <v>63</v>
      </c>
    </row>
    <row r="8" spans="1:12" x14ac:dyDescent="0.3">
      <c r="A8" s="14" t="s">
        <v>759</v>
      </c>
      <c r="B8" s="19" t="str">
        <f>VLOOKUP(A8,Sheet1!A:E,5,0)</f>
        <v>Edwin Carter</v>
      </c>
      <c r="C8" s="19" t="str">
        <f>VLOOKUP(A8,Sheet1!A:I,9,0)</f>
        <v>Male</v>
      </c>
      <c r="D8" s="19">
        <f>VLOOKUP(A8,Sheet1!A:K,11,0)</f>
        <v>60</v>
      </c>
      <c r="E8" s="19" t="str">
        <f>VLOOKUP(A8,Sheet1!A:M,13,0)</f>
        <v>United States</v>
      </c>
      <c r="F8" s="19" t="str">
        <f>VLOOKUP(A8,Sheet1!A:N,14,0)</f>
        <v>English</v>
      </c>
      <c r="G8" s="19" t="str">
        <f>VLOOKUP(A8,Sheet1!A:O,15,0)</f>
        <v>DevOps</v>
      </c>
      <c r="H8" s="19">
        <f>VLOOKUP(A8,Sheet1!A:Q,17,0)</f>
        <v>34</v>
      </c>
      <c r="I8" s="20">
        <f>VLOOKUP(A8,Sheet1!A:V,22,0)</f>
        <v>52.397034596375619</v>
      </c>
      <c r="J8" s="21">
        <f>VLOOKUP(A8,Sheet1!A:X,24,0)</f>
        <v>2.5</v>
      </c>
      <c r="K8" s="19" t="str">
        <f>VLOOKUP(A8,Sheet1!A:AB,28,0)</f>
        <v>No</v>
      </c>
      <c r="L8" s="27">
        <f>VLOOKUP(A8,Sheet1!A:AD,30,0)</f>
        <v>93</v>
      </c>
    </row>
    <row r="9" spans="1:12" x14ac:dyDescent="0.3">
      <c r="A9" s="14" t="s">
        <v>232</v>
      </c>
      <c r="B9" s="19" t="str">
        <f>VLOOKUP(A9,Sheet1!A:E,5,0)</f>
        <v>Gina Thompson</v>
      </c>
      <c r="C9" s="19" t="str">
        <f>VLOOKUP(A9,Sheet1!A:I,9,0)</f>
        <v>Female</v>
      </c>
      <c r="D9" s="19">
        <f>VLOOKUP(A9,Sheet1!A:K,11,0)</f>
        <v>60</v>
      </c>
      <c r="E9" s="19" t="str">
        <f>VLOOKUP(A9,Sheet1!A:M,13,0)</f>
        <v>China</v>
      </c>
      <c r="F9" s="19" t="str">
        <f>VLOOKUP(A9,Sheet1!A:N,14,0)</f>
        <v>Mandarin</v>
      </c>
      <c r="G9" s="19" t="str">
        <f>VLOOKUP(A9,Sheet1!A:O,15,0)</f>
        <v>UI/UX Design</v>
      </c>
      <c r="H9" s="19">
        <f>VLOOKUP(A9,Sheet1!A:Q,17,0)</f>
        <v>38</v>
      </c>
      <c r="I9" s="20">
        <f>VLOOKUP(A9,Sheet1!A:V,22,0)</f>
        <v>20</v>
      </c>
      <c r="J9" s="21">
        <f>VLOOKUP(A9,Sheet1!A:X,24,0)</f>
        <v>2</v>
      </c>
      <c r="K9" s="19" t="str">
        <f>VLOOKUP(A9,Sheet1!A:AB,28,0)</f>
        <v>No</v>
      </c>
      <c r="L9" s="27">
        <f>VLOOKUP(A9,Sheet1!A:AD,30,0)</f>
        <v>71</v>
      </c>
    </row>
    <row r="10" spans="1:12" x14ac:dyDescent="0.3">
      <c r="A10" s="14" t="s">
        <v>1544</v>
      </c>
      <c r="B10" s="19" t="str">
        <f>VLOOKUP(A10,Sheet1!A:E,5,0)</f>
        <v>Ian Hayes</v>
      </c>
      <c r="C10" s="19" t="str">
        <f>VLOOKUP(A10,Sheet1!A:I,9,0)</f>
        <v>Male</v>
      </c>
      <c r="D10" s="19">
        <f>VLOOKUP(A10,Sheet1!A:K,11,0)</f>
        <v>60</v>
      </c>
      <c r="E10" s="19" t="str">
        <f>VLOOKUP(A10,Sheet1!A:M,13,0)</f>
        <v>France</v>
      </c>
      <c r="F10" s="19" t="str">
        <f>VLOOKUP(A10,Sheet1!A:N,14,0)</f>
        <v>French</v>
      </c>
      <c r="G10" s="19" t="str">
        <f>VLOOKUP(A10,Sheet1!A:O,15,0)</f>
        <v>UI/UX Design</v>
      </c>
      <c r="H10" s="19">
        <f>VLOOKUP(A10,Sheet1!A:Q,17,0)</f>
        <v>0</v>
      </c>
      <c r="I10" s="20">
        <f>VLOOKUP(A10,Sheet1!A:V,22,0)</f>
        <v>40</v>
      </c>
      <c r="J10" s="21">
        <f>VLOOKUP(A10,Sheet1!A:X,24,0)</f>
        <v>4.9000000000000004</v>
      </c>
      <c r="K10" s="19" t="str">
        <f>VLOOKUP(A10,Sheet1!A:AB,28,0)</f>
        <v>Yes</v>
      </c>
      <c r="L10" s="27">
        <f>VLOOKUP(A10,Sheet1!A:AD,30,0)</f>
        <v>68</v>
      </c>
    </row>
    <row r="11" spans="1:12" x14ac:dyDescent="0.3">
      <c r="A11" s="14" t="s">
        <v>166</v>
      </c>
      <c r="B11" s="19" t="str">
        <f>VLOOKUP(A11,Sheet1!A:E,5,0)</f>
        <v>James Hernandez</v>
      </c>
      <c r="C11" s="19" t="str">
        <f>VLOOKUP(A11,Sheet1!A:I,9,0)</f>
        <v>Male</v>
      </c>
      <c r="D11" s="19">
        <f>VLOOKUP(A11,Sheet1!A:K,11,0)</f>
        <v>60</v>
      </c>
      <c r="E11" s="19" t="str">
        <f>VLOOKUP(A11,Sheet1!A:M,13,0)</f>
        <v>Japan</v>
      </c>
      <c r="F11" s="19" t="str">
        <f>VLOOKUP(A11,Sheet1!A:N,14,0)</f>
        <v>Japanese</v>
      </c>
      <c r="G11" s="19" t="str">
        <f>VLOOKUP(A11,Sheet1!A:O,15,0)</f>
        <v>Web Development</v>
      </c>
      <c r="H11" s="19">
        <f>VLOOKUP(A11,Sheet1!A:Q,17,0)</f>
        <v>13</v>
      </c>
      <c r="I11" s="20">
        <f>VLOOKUP(A11,Sheet1!A:V,22,0)</f>
        <v>20</v>
      </c>
      <c r="J11" s="21">
        <f>VLOOKUP(A11,Sheet1!A:X,24,0)</f>
        <v>3.6</v>
      </c>
      <c r="K11" s="19" t="str">
        <f>VLOOKUP(A11,Sheet1!A:AB,28,0)</f>
        <v>No</v>
      </c>
      <c r="L11" s="27">
        <f>VLOOKUP(A11,Sheet1!A:AD,30,0)</f>
        <v>80</v>
      </c>
    </row>
    <row r="12" spans="1:12" x14ac:dyDescent="0.3">
      <c r="A12" s="14" t="s">
        <v>1542</v>
      </c>
      <c r="B12" s="19" t="str">
        <f>VLOOKUP(A12,Sheet1!A:E,5,0)</f>
        <v>John Castillo</v>
      </c>
      <c r="C12" s="19" t="str">
        <f>VLOOKUP(A12,Sheet1!A:I,9,0)</f>
        <v>Male</v>
      </c>
      <c r="D12" s="19">
        <f>VLOOKUP(A12,Sheet1!A:K,11,0)</f>
        <v>60</v>
      </c>
      <c r="E12" s="19" t="str">
        <f>VLOOKUP(A12,Sheet1!A:M,13,0)</f>
        <v>Japan</v>
      </c>
      <c r="F12" s="19" t="str">
        <f>VLOOKUP(A12,Sheet1!A:N,14,0)</f>
        <v>Japanese</v>
      </c>
      <c r="G12" s="19" t="str">
        <f>VLOOKUP(A12,Sheet1!A:O,15,0)</f>
        <v>Data Analysis</v>
      </c>
      <c r="H12" s="19">
        <f>VLOOKUP(A12,Sheet1!A:Q,17,0)</f>
        <v>24</v>
      </c>
      <c r="I12" s="20">
        <f>VLOOKUP(A12,Sheet1!A:V,22,0)</f>
        <v>40</v>
      </c>
      <c r="J12" s="21">
        <f>VLOOKUP(A12,Sheet1!A:X,24,0)</f>
        <v>3.1</v>
      </c>
      <c r="K12" s="19" t="str">
        <f>VLOOKUP(A12,Sheet1!A:AB,28,0)</f>
        <v>No</v>
      </c>
      <c r="L12" s="27">
        <f>VLOOKUP(A12,Sheet1!A:AD,30,0)</f>
        <v>69</v>
      </c>
    </row>
    <row r="13" spans="1:12" x14ac:dyDescent="0.3">
      <c r="A13" s="14" t="s">
        <v>428</v>
      </c>
      <c r="B13" s="19" t="str">
        <f>VLOOKUP(A13,Sheet1!A:E,5,0)</f>
        <v>John Smith</v>
      </c>
      <c r="C13" s="19" t="str">
        <f>VLOOKUP(A13,Sheet1!A:I,9,0)</f>
        <v>Male</v>
      </c>
      <c r="D13" s="19">
        <f>VLOOKUP(A13,Sheet1!A:K,11,0)</f>
        <v>60</v>
      </c>
      <c r="E13" s="19" t="str">
        <f>VLOOKUP(A13,Sheet1!A:M,13,0)</f>
        <v>South Korea</v>
      </c>
      <c r="F13" s="19" t="str">
        <f>VLOOKUP(A13,Sheet1!A:N,14,0)</f>
        <v>Korean</v>
      </c>
      <c r="G13" s="19" t="str">
        <f>VLOOKUP(A13,Sheet1!A:O,15,0)</f>
        <v>Mobile Apps</v>
      </c>
      <c r="H13" s="19">
        <f>VLOOKUP(A13,Sheet1!A:Q,17,0)</f>
        <v>33</v>
      </c>
      <c r="I13" s="20">
        <f>VLOOKUP(A13,Sheet1!A:V,22,0)</f>
        <v>40</v>
      </c>
      <c r="J13" s="21">
        <f>VLOOKUP(A13,Sheet1!A:X,24,0)</f>
        <v>3.6</v>
      </c>
      <c r="K13" s="19" t="str">
        <f>VLOOKUP(A13,Sheet1!A:AB,28,0)</f>
        <v>Yes</v>
      </c>
      <c r="L13" s="27">
        <f>VLOOKUP(A13,Sheet1!A:AD,30,0)</f>
        <v>87</v>
      </c>
    </row>
    <row r="14" spans="1:12" x14ac:dyDescent="0.3">
      <c r="A14" s="14" t="s">
        <v>1610</v>
      </c>
      <c r="B14" s="19" t="str">
        <f>VLOOKUP(A14,Sheet1!A:E,5,0)</f>
        <v>John White</v>
      </c>
      <c r="C14" s="19" t="str">
        <f>VLOOKUP(A14,Sheet1!A:I,9,0)</f>
        <v>Male</v>
      </c>
      <c r="D14" s="19">
        <f>VLOOKUP(A14,Sheet1!A:K,11,0)</f>
        <v>60</v>
      </c>
      <c r="E14" s="19" t="str">
        <f>VLOOKUP(A14,Sheet1!A:M,13,0)</f>
        <v>China</v>
      </c>
      <c r="F14" s="19" t="str">
        <f>VLOOKUP(A14,Sheet1!A:N,14,0)</f>
        <v>Mandarin</v>
      </c>
      <c r="G14" s="19" t="str">
        <f>VLOOKUP(A14,Sheet1!A:O,15,0)</f>
        <v>DevOps</v>
      </c>
      <c r="H14" s="19">
        <f>VLOOKUP(A14,Sheet1!A:Q,17,0)</f>
        <v>40</v>
      </c>
      <c r="I14" s="20">
        <f>VLOOKUP(A14,Sheet1!A:V,22,0)</f>
        <v>50</v>
      </c>
      <c r="J14" s="21">
        <f>VLOOKUP(A14,Sheet1!A:X,24,0)</f>
        <v>4.5999999999999996</v>
      </c>
      <c r="K14" s="19" t="str">
        <f>VLOOKUP(A14,Sheet1!A:AB,28,0)</f>
        <v>Yes</v>
      </c>
      <c r="L14" s="27">
        <f>VLOOKUP(A14,Sheet1!A:AD,30,0)</f>
        <v>100</v>
      </c>
    </row>
    <row r="15" spans="1:12" x14ac:dyDescent="0.3">
      <c r="A15" s="14" t="s">
        <v>1243</v>
      </c>
      <c r="B15" s="19" t="str">
        <f>VLOOKUP(A15,Sheet1!A:E,5,0)</f>
        <v>Justin Lang</v>
      </c>
      <c r="C15" s="19" t="str">
        <f>VLOOKUP(A15,Sheet1!A:I,9,0)</f>
        <v>Male</v>
      </c>
      <c r="D15" s="19">
        <f>VLOOKUP(A15,Sheet1!A:K,11,0)</f>
        <v>60</v>
      </c>
      <c r="E15" s="19" t="str">
        <f>VLOOKUP(A15,Sheet1!A:M,13,0)</f>
        <v>Egypt</v>
      </c>
      <c r="F15" s="19" t="str">
        <f>VLOOKUP(A15,Sheet1!A:N,14,0)</f>
        <v>Arabic</v>
      </c>
      <c r="G15" s="19" t="str">
        <f>VLOOKUP(A15,Sheet1!A:O,15,0)</f>
        <v>AI</v>
      </c>
      <c r="H15" s="19">
        <f>VLOOKUP(A15,Sheet1!A:Q,17,0)</f>
        <v>19</v>
      </c>
      <c r="I15" s="20">
        <f>VLOOKUP(A15,Sheet1!A:V,22,0)</f>
        <v>100</v>
      </c>
      <c r="J15" s="21">
        <f>VLOOKUP(A15,Sheet1!A:X,24,0)</f>
        <v>0</v>
      </c>
      <c r="K15" s="19" t="str">
        <f>VLOOKUP(A15,Sheet1!A:AB,28,0)</f>
        <v>Yes</v>
      </c>
      <c r="L15" s="27">
        <f>VLOOKUP(A15,Sheet1!A:AD,30,0)</f>
        <v>96</v>
      </c>
    </row>
    <row r="16" spans="1:12" x14ac:dyDescent="0.3">
      <c r="A16" s="14" t="s">
        <v>1459</v>
      </c>
      <c r="B16" s="19" t="str">
        <f>VLOOKUP(A16,Sheet1!A:E,5,0)</f>
        <v>Michael Harrell</v>
      </c>
      <c r="C16" s="19" t="str">
        <f>VLOOKUP(A16,Sheet1!A:I,9,0)</f>
        <v>Male</v>
      </c>
      <c r="D16" s="19">
        <f>VLOOKUP(A16,Sheet1!A:K,11,0)</f>
        <v>60</v>
      </c>
      <c r="E16" s="19" t="str">
        <f>VLOOKUP(A16,Sheet1!A:M,13,0)</f>
        <v>Canada</v>
      </c>
      <c r="F16" s="19" t="str">
        <f>VLOOKUP(A16,Sheet1!A:N,14,0)</f>
        <v>English</v>
      </c>
      <c r="G16" s="19" t="str">
        <f>VLOOKUP(A16,Sheet1!A:O,15,0)</f>
        <v>Blockchain Development</v>
      </c>
      <c r="H16" s="19">
        <f>VLOOKUP(A16,Sheet1!A:Q,17,0)</f>
        <v>7</v>
      </c>
      <c r="I16" s="20">
        <f>VLOOKUP(A16,Sheet1!A:V,22,0)</f>
        <v>30</v>
      </c>
      <c r="J16" s="21">
        <f>VLOOKUP(A16,Sheet1!A:X,24,0)</f>
        <v>0</v>
      </c>
      <c r="K16" s="19" t="str">
        <f>VLOOKUP(A16,Sheet1!A:AB,28,0)</f>
        <v>No</v>
      </c>
      <c r="L16" s="27">
        <f>VLOOKUP(A16,Sheet1!A:AD,30,0)</f>
        <v>97</v>
      </c>
    </row>
    <row r="17" spans="1:12" x14ac:dyDescent="0.3">
      <c r="A17" s="14" t="s">
        <v>406</v>
      </c>
      <c r="B17" s="19" t="str">
        <f>VLOOKUP(A17,Sheet1!A:E,5,0)</f>
        <v>Mitchell Patrick</v>
      </c>
      <c r="C17" s="19" t="str">
        <f>VLOOKUP(A17,Sheet1!A:I,9,0)</f>
        <v>Male</v>
      </c>
      <c r="D17" s="19">
        <f>VLOOKUP(A17,Sheet1!A:K,11,0)</f>
        <v>60</v>
      </c>
      <c r="E17" s="19" t="str">
        <f>VLOOKUP(A17,Sheet1!A:M,13,0)</f>
        <v>Brazil</v>
      </c>
      <c r="F17" s="19" t="str">
        <f>VLOOKUP(A17,Sheet1!A:N,14,0)</f>
        <v>Portuguese</v>
      </c>
      <c r="G17" s="19" t="str">
        <f>VLOOKUP(A17,Sheet1!A:O,15,0)</f>
        <v>Web Development</v>
      </c>
      <c r="H17" s="19">
        <f>VLOOKUP(A17,Sheet1!A:Q,17,0)</f>
        <v>15</v>
      </c>
      <c r="I17" s="20">
        <f>VLOOKUP(A17,Sheet1!A:V,22,0)</f>
        <v>100</v>
      </c>
      <c r="J17" s="21">
        <f>VLOOKUP(A17,Sheet1!A:X,24,0)</f>
        <v>1.5</v>
      </c>
      <c r="K17" s="19" t="str">
        <f>VLOOKUP(A17,Sheet1!A:AB,28,0)</f>
        <v>No</v>
      </c>
      <c r="L17" s="27">
        <f>VLOOKUP(A17,Sheet1!A:AD,30,0)</f>
        <v>80</v>
      </c>
    </row>
    <row r="18" spans="1:12" x14ac:dyDescent="0.3">
      <c r="A18" s="14" t="s">
        <v>938</v>
      </c>
      <c r="B18" s="19" t="str">
        <f>VLOOKUP(A18,Sheet1!A:E,5,0)</f>
        <v>Morgan Ford</v>
      </c>
      <c r="C18" s="19" t="str">
        <f>VLOOKUP(A18,Sheet1!A:I,9,0)</f>
        <v>Female</v>
      </c>
      <c r="D18" s="19">
        <f>VLOOKUP(A18,Sheet1!A:K,11,0)</f>
        <v>60</v>
      </c>
      <c r="E18" s="19" t="str">
        <f>VLOOKUP(A18,Sheet1!A:M,13,0)</f>
        <v>Mexico</v>
      </c>
      <c r="F18" s="19" t="str">
        <f>VLOOKUP(A18,Sheet1!A:N,14,0)</f>
        <v>Spanish</v>
      </c>
      <c r="G18" s="19" t="str">
        <f>VLOOKUP(A18,Sheet1!A:O,15,0)</f>
        <v>UI/UX Design</v>
      </c>
      <c r="H18" s="19">
        <f>VLOOKUP(A18,Sheet1!A:Q,17,0)</f>
        <v>34</v>
      </c>
      <c r="I18" s="20">
        <f>VLOOKUP(A18,Sheet1!A:V,22,0)</f>
        <v>100</v>
      </c>
      <c r="J18" s="21">
        <f>VLOOKUP(A18,Sheet1!A:X,24,0)</f>
        <v>0</v>
      </c>
      <c r="K18" s="19" t="str">
        <f>VLOOKUP(A18,Sheet1!A:AB,28,0)</f>
        <v>Yes</v>
      </c>
      <c r="L18" s="27">
        <f>VLOOKUP(A18,Sheet1!A:AD,30,0)</f>
        <v>74</v>
      </c>
    </row>
    <row r="19" spans="1:12" x14ac:dyDescent="0.3">
      <c r="A19" s="14" t="s">
        <v>1211</v>
      </c>
      <c r="B19" s="19" t="str">
        <f>VLOOKUP(A19,Sheet1!A:E,5,0)</f>
        <v>Rodney Wilson</v>
      </c>
      <c r="C19" s="19" t="str">
        <f>VLOOKUP(A19,Sheet1!A:I,9,0)</f>
        <v>Male</v>
      </c>
      <c r="D19" s="19">
        <f>VLOOKUP(A19,Sheet1!A:K,11,0)</f>
        <v>60</v>
      </c>
      <c r="E19" s="19" t="str">
        <f>VLOOKUP(A19,Sheet1!A:M,13,0)</f>
        <v>Argentina</v>
      </c>
      <c r="F19" s="19" t="str">
        <f>VLOOKUP(A19,Sheet1!A:N,14,0)</f>
        <v>Spanish</v>
      </c>
      <c r="G19" s="19" t="str">
        <f>VLOOKUP(A19,Sheet1!A:O,15,0)</f>
        <v>Graphic Design</v>
      </c>
      <c r="H19" s="19">
        <f>VLOOKUP(A19,Sheet1!A:Q,17,0)</f>
        <v>39</v>
      </c>
      <c r="I19" s="20">
        <f>VLOOKUP(A19,Sheet1!A:V,22,0)</f>
        <v>75</v>
      </c>
      <c r="J19" s="21">
        <f>VLOOKUP(A19,Sheet1!A:X,24,0)</f>
        <v>4</v>
      </c>
      <c r="K19" s="19" t="str">
        <f>VLOOKUP(A19,Sheet1!A:AB,28,0)</f>
        <v>Unknown</v>
      </c>
      <c r="L19" s="27">
        <f>VLOOKUP(A19,Sheet1!A:AD,30,0)</f>
        <v>70</v>
      </c>
    </row>
    <row r="20" spans="1:12" x14ac:dyDescent="0.3">
      <c r="A20" s="14" t="s">
        <v>1295</v>
      </c>
      <c r="B20" s="19" t="str">
        <f>VLOOKUP(A20,Sheet1!A:E,5,0)</f>
        <v>Ryan Ewing</v>
      </c>
      <c r="C20" s="19" t="str">
        <f>VLOOKUP(A20,Sheet1!A:I,9,0)</f>
        <v>Male</v>
      </c>
      <c r="D20" s="19">
        <f>VLOOKUP(A20,Sheet1!A:K,11,0)</f>
        <v>60</v>
      </c>
      <c r="E20" s="19" t="str">
        <f>VLOOKUP(A20,Sheet1!A:M,13,0)</f>
        <v>United States</v>
      </c>
      <c r="F20" s="19" t="str">
        <f>VLOOKUP(A20,Sheet1!A:N,14,0)</f>
        <v>English</v>
      </c>
      <c r="G20" s="19" t="str">
        <f>VLOOKUP(A20,Sheet1!A:O,15,0)</f>
        <v>AI</v>
      </c>
      <c r="H20" s="19">
        <f>VLOOKUP(A20,Sheet1!A:Q,17,0)</f>
        <v>39</v>
      </c>
      <c r="I20" s="20">
        <f>VLOOKUP(A20,Sheet1!A:V,22,0)</f>
        <v>100</v>
      </c>
      <c r="J20" s="21">
        <f>VLOOKUP(A20,Sheet1!A:X,24,0)</f>
        <v>1.5</v>
      </c>
      <c r="K20" s="19" t="str">
        <f>VLOOKUP(A20,Sheet1!A:AB,28,0)</f>
        <v>Unknown</v>
      </c>
      <c r="L20" s="27">
        <f>VLOOKUP(A20,Sheet1!A:AD,30,0)</f>
        <v>88</v>
      </c>
    </row>
    <row r="21" spans="1:12" x14ac:dyDescent="0.3">
      <c r="A21" s="14" t="s">
        <v>366</v>
      </c>
      <c r="B21" s="19" t="str">
        <f>VLOOKUP(A21,Sheet1!A:E,5,0)</f>
        <v>Thomas Ingram</v>
      </c>
      <c r="C21" s="19" t="str">
        <f>VLOOKUP(A21,Sheet1!A:I,9,0)</f>
        <v>Male</v>
      </c>
      <c r="D21" s="19">
        <f>VLOOKUP(A21,Sheet1!A:K,11,0)</f>
        <v>60</v>
      </c>
      <c r="E21" s="19" t="str">
        <f>VLOOKUP(A21,Sheet1!A:M,13,0)</f>
        <v>South Africa</v>
      </c>
      <c r="F21" s="19" t="str">
        <f>VLOOKUP(A21,Sheet1!A:N,14,0)</f>
        <v>Afrikaans</v>
      </c>
      <c r="G21" s="19" t="str">
        <f>VLOOKUP(A21,Sheet1!A:O,15,0)</f>
        <v>Cybersecurity</v>
      </c>
      <c r="H21" s="19">
        <f>VLOOKUP(A21,Sheet1!A:Q,17,0)</f>
        <v>39</v>
      </c>
      <c r="I21" s="20">
        <f>VLOOKUP(A21,Sheet1!A:V,22,0)</f>
        <v>75</v>
      </c>
      <c r="J21" s="21">
        <f>VLOOKUP(A21,Sheet1!A:X,24,0)</f>
        <v>1.4</v>
      </c>
      <c r="K21" s="19" t="str">
        <f>VLOOKUP(A21,Sheet1!A:AB,28,0)</f>
        <v>No</v>
      </c>
      <c r="L21" s="27">
        <f>VLOOKUP(A21,Sheet1!A:AD,30,0)</f>
        <v>70</v>
      </c>
    </row>
    <row r="22" spans="1:12" x14ac:dyDescent="0.3">
      <c r="A22" s="14" t="s">
        <v>236</v>
      </c>
      <c r="B22" s="19" t="str">
        <f>VLOOKUP(A22,Sheet1!A:E,5,0)</f>
        <v>Thomas Miller</v>
      </c>
      <c r="C22" s="19" t="str">
        <f>VLOOKUP(A22,Sheet1!A:I,9,0)</f>
        <v>Male</v>
      </c>
      <c r="D22" s="19">
        <f>VLOOKUP(A22,Sheet1!A:K,11,0)</f>
        <v>60</v>
      </c>
      <c r="E22" s="19" t="str">
        <f>VLOOKUP(A22,Sheet1!A:M,13,0)</f>
        <v>Italy</v>
      </c>
      <c r="F22" s="19" t="str">
        <f>VLOOKUP(A22,Sheet1!A:N,14,0)</f>
        <v>Italian</v>
      </c>
      <c r="G22" s="19" t="str">
        <f>VLOOKUP(A22,Sheet1!A:O,15,0)</f>
        <v>DevOps</v>
      </c>
      <c r="H22" s="19">
        <f>VLOOKUP(A22,Sheet1!A:Q,17,0)</f>
        <v>13</v>
      </c>
      <c r="I22" s="20">
        <f>VLOOKUP(A22,Sheet1!A:V,22,0)</f>
        <v>50</v>
      </c>
      <c r="J22" s="21">
        <f>VLOOKUP(A22,Sheet1!A:X,24,0)</f>
        <v>1</v>
      </c>
      <c r="K22" s="19" t="str">
        <f>VLOOKUP(A22,Sheet1!A:AB,28,0)</f>
        <v>No</v>
      </c>
      <c r="L22" s="27">
        <f>VLOOKUP(A22,Sheet1!A:AD,30,0)</f>
        <v>79.412223667100136</v>
      </c>
    </row>
    <row r="23" spans="1:12" x14ac:dyDescent="0.3">
      <c r="A23" s="14" t="s">
        <v>168</v>
      </c>
      <c r="B23" s="19" t="str">
        <f>VLOOKUP(A23,Sheet1!A:E,5,0)</f>
        <v>Angelica Rogers</v>
      </c>
      <c r="C23" s="19" t="str">
        <f>VLOOKUP(A23,Sheet1!A:I,9,0)</f>
        <v>Female</v>
      </c>
      <c r="D23" s="19">
        <f>VLOOKUP(A23,Sheet1!A:K,11,0)</f>
        <v>59</v>
      </c>
      <c r="E23" s="19" t="str">
        <f>VLOOKUP(A23,Sheet1!A:M,13,0)</f>
        <v>United Kingdom</v>
      </c>
      <c r="F23" s="19" t="str">
        <f>VLOOKUP(A23,Sheet1!A:N,14,0)</f>
        <v>English</v>
      </c>
      <c r="G23" s="19" t="str">
        <f>VLOOKUP(A23,Sheet1!A:O,15,0)</f>
        <v>AI</v>
      </c>
      <c r="H23" s="19">
        <f>VLOOKUP(A23,Sheet1!A:Q,17,0)</f>
        <v>3</v>
      </c>
      <c r="I23" s="20">
        <f>VLOOKUP(A23,Sheet1!A:V,22,0)</f>
        <v>50</v>
      </c>
      <c r="J23" s="21">
        <f>VLOOKUP(A23,Sheet1!A:X,24,0)</f>
        <v>0</v>
      </c>
      <c r="K23" s="19" t="str">
        <f>VLOOKUP(A23,Sheet1!A:AB,28,0)</f>
        <v>No</v>
      </c>
      <c r="L23" s="27">
        <f>VLOOKUP(A23,Sheet1!A:AD,30,0)</f>
        <v>79.299242424242422</v>
      </c>
    </row>
    <row r="24" spans="1:12" x14ac:dyDescent="0.3">
      <c r="A24" s="14" t="s">
        <v>386</v>
      </c>
      <c r="B24" s="19" t="str">
        <f>VLOOKUP(A24,Sheet1!A:E,5,0)</f>
        <v>Ashley Chen</v>
      </c>
      <c r="C24" s="19" t="str">
        <f>VLOOKUP(A24,Sheet1!A:I,9,0)</f>
        <v>Female</v>
      </c>
      <c r="D24" s="19">
        <f>VLOOKUP(A24,Sheet1!A:K,11,0)</f>
        <v>59</v>
      </c>
      <c r="E24" s="19" t="str">
        <f>VLOOKUP(A24,Sheet1!A:M,13,0)</f>
        <v>Germany</v>
      </c>
      <c r="F24" s="19" t="str">
        <f>VLOOKUP(A24,Sheet1!A:N,14,0)</f>
        <v>German</v>
      </c>
      <c r="G24" s="19" t="str">
        <f>VLOOKUP(A24,Sheet1!A:O,15,0)</f>
        <v>AI</v>
      </c>
      <c r="H24" s="19">
        <f>VLOOKUP(A24,Sheet1!A:Q,17,0)</f>
        <v>7</v>
      </c>
      <c r="I24" s="20">
        <f>VLOOKUP(A24,Sheet1!A:V,22,0)</f>
        <v>40</v>
      </c>
      <c r="J24" s="21">
        <f>VLOOKUP(A24,Sheet1!A:X,24,0)</f>
        <v>1.4</v>
      </c>
      <c r="K24" s="19" t="str">
        <f>VLOOKUP(A24,Sheet1!A:AB,28,0)</f>
        <v>No</v>
      </c>
      <c r="L24" s="27">
        <f>VLOOKUP(A24,Sheet1!A:AD,30,0)</f>
        <v>81</v>
      </c>
    </row>
    <row r="25" spans="1:12" x14ac:dyDescent="0.3">
      <c r="A25" s="14" t="s">
        <v>263</v>
      </c>
      <c r="B25" s="19" t="str">
        <f>VLOOKUP(A25,Sheet1!A:E,5,0)</f>
        <v>Austin Jenkins</v>
      </c>
      <c r="C25" s="19" t="str">
        <f>VLOOKUP(A25,Sheet1!A:I,9,0)</f>
        <v>Male</v>
      </c>
      <c r="D25" s="19">
        <f>VLOOKUP(A25,Sheet1!A:K,11,0)</f>
        <v>59</v>
      </c>
      <c r="E25" s="19" t="str">
        <f>VLOOKUP(A25,Sheet1!A:M,13,0)</f>
        <v>South Korea</v>
      </c>
      <c r="F25" s="19" t="str">
        <f>VLOOKUP(A25,Sheet1!A:N,14,0)</f>
        <v>Korean</v>
      </c>
      <c r="G25" s="19" t="str">
        <f>VLOOKUP(A25,Sheet1!A:O,15,0)</f>
        <v>AI</v>
      </c>
      <c r="H25" s="19">
        <f>VLOOKUP(A25,Sheet1!A:Q,17,0)</f>
        <v>30</v>
      </c>
      <c r="I25" s="20">
        <f>VLOOKUP(A25,Sheet1!A:V,22,0)</f>
        <v>40</v>
      </c>
      <c r="J25" s="21">
        <f>VLOOKUP(A25,Sheet1!A:X,24,0)</f>
        <v>0</v>
      </c>
      <c r="K25" s="19" t="str">
        <f>VLOOKUP(A25,Sheet1!A:AB,28,0)</f>
        <v>Yes</v>
      </c>
      <c r="L25" s="27">
        <f>VLOOKUP(A25,Sheet1!A:AD,30,0)</f>
        <v>79.39473684210526</v>
      </c>
    </row>
    <row r="26" spans="1:12" x14ac:dyDescent="0.3">
      <c r="A26" s="14" t="s">
        <v>1580</v>
      </c>
      <c r="B26" s="19" t="str">
        <f>VLOOKUP(A26,Sheet1!A:E,5,0)</f>
        <v>Carl Kline</v>
      </c>
      <c r="C26" s="19" t="str">
        <f>VLOOKUP(A26,Sheet1!A:I,9,0)</f>
        <v>Male</v>
      </c>
      <c r="D26" s="19">
        <f>VLOOKUP(A26,Sheet1!A:K,11,0)</f>
        <v>59</v>
      </c>
      <c r="E26" s="19" t="str">
        <f>VLOOKUP(A26,Sheet1!A:M,13,0)</f>
        <v>Mexico</v>
      </c>
      <c r="F26" s="19" t="str">
        <f>VLOOKUP(A26,Sheet1!A:N,14,0)</f>
        <v>Spanish</v>
      </c>
      <c r="G26" s="19" t="str">
        <f>VLOOKUP(A26,Sheet1!A:O,15,0)</f>
        <v>AI</v>
      </c>
      <c r="H26" s="19">
        <f>VLOOKUP(A26,Sheet1!A:Q,17,0)</f>
        <v>0</v>
      </c>
      <c r="I26" s="20">
        <f>VLOOKUP(A26,Sheet1!A:V,22,0)</f>
        <v>100</v>
      </c>
      <c r="J26" s="21">
        <f>VLOOKUP(A26,Sheet1!A:X,24,0)</f>
        <v>0</v>
      </c>
      <c r="K26" s="19" t="str">
        <f>VLOOKUP(A26,Sheet1!A:AB,28,0)</f>
        <v>Yes</v>
      </c>
      <c r="L26" s="27">
        <f>VLOOKUP(A26,Sheet1!A:AD,30,0)</f>
        <v>87</v>
      </c>
    </row>
    <row r="27" spans="1:12" x14ac:dyDescent="0.3">
      <c r="A27" s="14" t="s">
        <v>1916</v>
      </c>
      <c r="B27" s="19" t="str">
        <f>VLOOKUP(A27,Sheet1!A:E,5,0)</f>
        <v>Carolyn Lopez</v>
      </c>
      <c r="C27" s="19" t="str">
        <f>VLOOKUP(A27,Sheet1!A:I,9,0)</f>
        <v>Female</v>
      </c>
      <c r="D27" s="19">
        <f>VLOOKUP(A27,Sheet1!A:K,11,0)</f>
        <v>59</v>
      </c>
      <c r="E27" s="19" t="str">
        <f>VLOOKUP(A27,Sheet1!A:M,13,0)</f>
        <v>South Korea</v>
      </c>
      <c r="F27" s="19" t="str">
        <f>VLOOKUP(A27,Sheet1!A:N,14,0)</f>
        <v>Korean</v>
      </c>
      <c r="G27" s="19" t="str">
        <f>VLOOKUP(A27,Sheet1!A:O,15,0)</f>
        <v>Machine Learning</v>
      </c>
      <c r="H27" s="19">
        <f>VLOOKUP(A27,Sheet1!A:Q,17,0)</f>
        <v>22</v>
      </c>
      <c r="I27" s="20">
        <f>VLOOKUP(A27,Sheet1!A:V,22,0)</f>
        <v>100</v>
      </c>
      <c r="J27" s="21">
        <f>VLOOKUP(A27,Sheet1!A:X,24,0)</f>
        <v>1.1000000000000001</v>
      </c>
      <c r="K27" s="19" t="str">
        <f>VLOOKUP(A27,Sheet1!A:AB,28,0)</f>
        <v>No</v>
      </c>
      <c r="L27" s="27">
        <f>VLOOKUP(A27,Sheet1!A:AD,30,0)</f>
        <v>85</v>
      </c>
    </row>
    <row r="28" spans="1:12" x14ac:dyDescent="0.3">
      <c r="A28" s="14" t="s">
        <v>1193</v>
      </c>
      <c r="B28" s="19" t="str">
        <f>VLOOKUP(A28,Sheet1!A:E,5,0)</f>
        <v>Cassandra Stephens</v>
      </c>
      <c r="C28" s="19" t="str">
        <f>VLOOKUP(A28,Sheet1!A:I,9,0)</f>
        <v>Female</v>
      </c>
      <c r="D28" s="19">
        <f>VLOOKUP(A28,Sheet1!A:K,11,0)</f>
        <v>59</v>
      </c>
      <c r="E28" s="19" t="str">
        <f>VLOOKUP(A28,Sheet1!A:M,13,0)</f>
        <v>Argentina</v>
      </c>
      <c r="F28" s="19" t="str">
        <f>VLOOKUP(A28,Sheet1!A:N,14,0)</f>
        <v>Spanish</v>
      </c>
      <c r="G28" s="19" t="str">
        <f>VLOOKUP(A28,Sheet1!A:O,15,0)</f>
        <v>AI</v>
      </c>
      <c r="H28" s="19">
        <f>VLOOKUP(A28,Sheet1!A:Q,17,0)</f>
        <v>19</v>
      </c>
      <c r="I28" s="20">
        <f>VLOOKUP(A28,Sheet1!A:V,22,0)</f>
        <v>20</v>
      </c>
      <c r="J28" s="21">
        <f>VLOOKUP(A28,Sheet1!A:X,24,0)</f>
        <v>4.0999999999999996</v>
      </c>
      <c r="K28" s="19" t="str">
        <f>VLOOKUP(A28,Sheet1!A:AB,28,0)</f>
        <v>No</v>
      </c>
      <c r="L28" s="27">
        <f>VLOOKUP(A28,Sheet1!A:AD,30,0)</f>
        <v>75</v>
      </c>
    </row>
    <row r="29" spans="1:12" x14ac:dyDescent="0.3">
      <c r="A29" s="14" t="s">
        <v>1054</v>
      </c>
      <c r="B29" s="19" t="str">
        <f>VLOOKUP(A29,Sheet1!A:E,5,0)</f>
        <v>Craig Levine</v>
      </c>
      <c r="C29" s="19" t="str">
        <f>VLOOKUP(A29,Sheet1!A:I,9,0)</f>
        <v>Male</v>
      </c>
      <c r="D29" s="19">
        <f>VLOOKUP(A29,Sheet1!A:K,11,0)</f>
        <v>59</v>
      </c>
      <c r="E29" s="19" t="str">
        <f>VLOOKUP(A29,Sheet1!A:M,13,0)</f>
        <v>France</v>
      </c>
      <c r="F29" s="19" t="str">
        <f>VLOOKUP(A29,Sheet1!A:N,14,0)</f>
        <v>French</v>
      </c>
      <c r="G29" s="19" t="str">
        <f>VLOOKUP(A29,Sheet1!A:O,15,0)</f>
        <v>Cybersecurity</v>
      </c>
      <c r="H29" s="19">
        <f>VLOOKUP(A29,Sheet1!A:Q,17,0)</f>
        <v>13</v>
      </c>
      <c r="I29" s="20">
        <f>VLOOKUP(A29,Sheet1!A:V,22,0)</f>
        <v>40</v>
      </c>
      <c r="J29" s="21">
        <f>VLOOKUP(A29,Sheet1!A:X,24,0)</f>
        <v>2.4</v>
      </c>
      <c r="K29" s="19" t="str">
        <f>VLOOKUP(A29,Sheet1!A:AB,28,0)</f>
        <v>No</v>
      </c>
      <c r="L29" s="27">
        <f>VLOOKUP(A29,Sheet1!A:AD,30,0)</f>
        <v>65</v>
      </c>
    </row>
    <row r="30" spans="1:12" x14ac:dyDescent="0.3">
      <c r="A30" s="14" t="s">
        <v>1403</v>
      </c>
      <c r="B30" s="19" t="str">
        <f>VLOOKUP(A30,Sheet1!A:E,5,0)</f>
        <v>Cynthia Mckinney</v>
      </c>
      <c r="C30" s="19" t="str">
        <f>VLOOKUP(A30,Sheet1!A:I,9,0)</f>
        <v>Female</v>
      </c>
      <c r="D30" s="19">
        <f>VLOOKUP(A30,Sheet1!A:K,11,0)</f>
        <v>59</v>
      </c>
      <c r="E30" s="19" t="str">
        <f>VLOOKUP(A30,Sheet1!A:M,13,0)</f>
        <v>Canada</v>
      </c>
      <c r="F30" s="19" t="str">
        <f>VLOOKUP(A30,Sheet1!A:N,14,0)</f>
        <v>English</v>
      </c>
      <c r="G30" s="19" t="str">
        <f>VLOOKUP(A30,Sheet1!A:O,15,0)</f>
        <v>Graphic Design</v>
      </c>
      <c r="H30" s="19">
        <f>VLOOKUP(A30,Sheet1!A:Q,17,0)</f>
        <v>14</v>
      </c>
      <c r="I30" s="20">
        <f>VLOOKUP(A30,Sheet1!A:V,22,0)</f>
        <v>30</v>
      </c>
      <c r="J30" s="21">
        <f>VLOOKUP(A30,Sheet1!A:X,24,0)</f>
        <v>3.8</v>
      </c>
      <c r="K30" s="19" t="str">
        <f>VLOOKUP(A30,Sheet1!A:AB,28,0)</f>
        <v>Unknown</v>
      </c>
      <c r="L30" s="27">
        <f>VLOOKUP(A30,Sheet1!A:AD,30,0)</f>
        <v>66</v>
      </c>
    </row>
    <row r="31" spans="1:12" x14ac:dyDescent="0.3">
      <c r="A31" s="14" t="s">
        <v>865</v>
      </c>
      <c r="B31" s="19" t="str">
        <f>VLOOKUP(A31,Sheet1!A:E,5,0)</f>
        <v>Eric Robinson</v>
      </c>
      <c r="C31" s="19" t="str">
        <f>VLOOKUP(A31,Sheet1!A:I,9,0)</f>
        <v>Male</v>
      </c>
      <c r="D31" s="19">
        <f>VLOOKUP(A31,Sheet1!A:K,11,0)</f>
        <v>59</v>
      </c>
      <c r="E31" s="19" t="str">
        <f>VLOOKUP(A31,Sheet1!A:M,13,0)</f>
        <v>Egypt</v>
      </c>
      <c r="F31" s="19" t="str">
        <f>VLOOKUP(A31,Sheet1!A:N,14,0)</f>
        <v>Arabic</v>
      </c>
      <c r="G31" s="19" t="str">
        <f>VLOOKUP(A31,Sheet1!A:O,15,0)</f>
        <v>Blockchain Development</v>
      </c>
      <c r="H31" s="19">
        <f>VLOOKUP(A31,Sheet1!A:Q,17,0)</f>
        <v>25</v>
      </c>
      <c r="I31" s="20">
        <f>VLOOKUP(A31,Sheet1!A:V,22,0)</f>
        <v>20</v>
      </c>
      <c r="J31" s="21">
        <f>VLOOKUP(A31,Sheet1!A:X,24,0)</f>
        <v>4</v>
      </c>
      <c r="K31" s="19" t="str">
        <f>VLOOKUP(A31,Sheet1!A:AB,28,0)</f>
        <v>No</v>
      </c>
      <c r="L31" s="27">
        <f>VLOOKUP(A31,Sheet1!A:AD,30,0)</f>
        <v>90</v>
      </c>
    </row>
    <row r="32" spans="1:12" x14ac:dyDescent="0.3">
      <c r="A32" s="14" t="s">
        <v>422</v>
      </c>
      <c r="B32" s="19" t="str">
        <f>VLOOKUP(A32,Sheet1!A:E,5,0)</f>
        <v>Gregory Clarke</v>
      </c>
      <c r="C32" s="19" t="str">
        <f>VLOOKUP(A32,Sheet1!A:I,9,0)</f>
        <v>Male</v>
      </c>
      <c r="D32" s="19">
        <f>VLOOKUP(A32,Sheet1!A:K,11,0)</f>
        <v>59</v>
      </c>
      <c r="E32" s="19" t="str">
        <f>VLOOKUP(A32,Sheet1!A:M,13,0)</f>
        <v>United Kingdom</v>
      </c>
      <c r="F32" s="19" t="str">
        <f>VLOOKUP(A32,Sheet1!A:N,14,0)</f>
        <v>English</v>
      </c>
      <c r="G32" s="19" t="str">
        <f>VLOOKUP(A32,Sheet1!A:O,15,0)</f>
        <v>DevOps</v>
      </c>
      <c r="H32" s="19">
        <f>VLOOKUP(A32,Sheet1!A:Q,17,0)</f>
        <v>29</v>
      </c>
      <c r="I32" s="20">
        <f>VLOOKUP(A32,Sheet1!A:V,22,0)</f>
        <v>75</v>
      </c>
      <c r="J32" s="21">
        <f>VLOOKUP(A32,Sheet1!A:X,24,0)</f>
        <v>2.5429333333333322</v>
      </c>
      <c r="K32" s="19" t="str">
        <f>VLOOKUP(A32,Sheet1!A:AB,28,0)</f>
        <v>No</v>
      </c>
      <c r="L32" s="27">
        <f>VLOOKUP(A32,Sheet1!A:AD,30,0)</f>
        <v>80</v>
      </c>
    </row>
    <row r="33" spans="1:12" x14ac:dyDescent="0.3">
      <c r="A33" s="14" t="s">
        <v>1221</v>
      </c>
      <c r="B33" s="19" t="str">
        <f>VLOOKUP(A33,Sheet1!A:E,5,0)</f>
        <v>John Gonzales</v>
      </c>
      <c r="C33" s="19" t="str">
        <f>VLOOKUP(A33,Sheet1!A:I,9,0)</f>
        <v>Male</v>
      </c>
      <c r="D33" s="19">
        <f>VLOOKUP(A33,Sheet1!A:K,11,0)</f>
        <v>59</v>
      </c>
      <c r="E33" s="19" t="str">
        <f>VLOOKUP(A33,Sheet1!A:M,13,0)</f>
        <v>United Kingdom</v>
      </c>
      <c r="F33" s="19" t="str">
        <f>VLOOKUP(A33,Sheet1!A:N,14,0)</f>
        <v>English</v>
      </c>
      <c r="G33" s="19" t="str">
        <f>VLOOKUP(A33,Sheet1!A:O,15,0)</f>
        <v>DevOps</v>
      </c>
      <c r="H33" s="19">
        <f>VLOOKUP(A33,Sheet1!A:Q,17,0)</f>
        <v>15</v>
      </c>
      <c r="I33" s="20">
        <f>VLOOKUP(A33,Sheet1!A:V,22,0)</f>
        <v>50</v>
      </c>
      <c r="J33" s="21">
        <f>VLOOKUP(A33,Sheet1!A:X,24,0)</f>
        <v>2.5890625000000016</v>
      </c>
      <c r="K33" s="19" t="str">
        <f>VLOOKUP(A33,Sheet1!A:AB,28,0)</f>
        <v>No</v>
      </c>
      <c r="L33" s="27">
        <f>VLOOKUP(A33,Sheet1!A:AD,30,0)</f>
        <v>80.013736263736263</v>
      </c>
    </row>
    <row r="34" spans="1:12" x14ac:dyDescent="0.3">
      <c r="A34" s="14" t="s">
        <v>241</v>
      </c>
      <c r="B34" s="19" t="str">
        <f>VLOOKUP(A34,Sheet1!A:E,5,0)</f>
        <v>Jorge Riley</v>
      </c>
      <c r="C34" s="19" t="str">
        <f>VLOOKUP(A34,Sheet1!A:I,9,0)</f>
        <v>Male</v>
      </c>
      <c r="D34" s="19">
        <f>VLOOKUP(A34,Sheet1!A:K,11,0)</f>
        <v>59</v>
      </c>
      <c r="E34" s="19" t="str">
        <f>VLOOKUP(A34,Sheet1!A:M,13,0)</f>
        <v>Australia</v>
      </c>
      <c r="F34" s="19" t="str">
        <f>VLOOKUP(A34,Sheet1!A:N,14,0)</f>
        <v>English</v>
      </c>
      <c r="G34" s="19" t="str">
        <f>VLOOKUP(A34,Sheet1!A:O,15,0)</f>
        <v>Blockchain Development</v>
      </c>
      <c r="H34" s="19">
        <f>VLOOKUP(A34,Sheet1!A:Q,17,0)</f>
        <v>4</v>
      </c>
      <c r="I34" s="20">
        <f>VLOOKUP(A34,Sheet1!A:V,22,0)</f>
        <v>52.612559241706158</v>
      </c>
      <c r="J34" s="21">
        <f>VLOOKUP(A34,Sheet1!A:X,24,0)</f>
        <v>1.9</v>
      </c>
      <c r="K34" s="19" t="str">
        <f>VLOOKUP(A34,Sheet1!A:AB,28,0)</f>
        <v>No</v>
      </c>
      <c r="L34" s="27">
        <f>VLOOKUP(A34,Sheet1!A:AD,30,0)</f>
        <v>88</v>
      </c>
    </row>
    <row r="35" spans="1:12" x14ac:dyDescent="0.3">
      <c r="A35" s="14" t="s">
        <v>1652</v>
      </c>
      <c r="B35" s="19" t="str">
        <f>VLOOKUP(A35,Sheet1!A:E,5,0)</f>
        <v>Joshua Holloway</v>
      </c>
      <c r="C35" s="19" t="str">
        <f>VLOOKUP(A35,Sheet1!A:I,9,0)</f>
        <v>Male</v>
      </c>
      <c r="D35" s="19">
        <f>VLOOKUP(A35,Sheet1!A:K,11,0)</f>
        <v>59</v>
      </c>
      <c r="E35" s="19" t="str">
        <f>VLOOKUP(A35,Sheet1!A:M,13,0)</f>
        <v>United States</v>
      </c>
      <c r="F35" s="19" t="str">
        <f>VLOOKUP(A35,Sheet1!A:N,14,0)</f>
        <v>English</v>
      </c>
      <c r="G35" s="19" t="str">
        <f>VLOOKUP(A35,Sheet1!A:O,15,0)</f>
        <v>Cybersecurity</v>
      </c>
      <c r="H35" s="19">
        <f>VLOOKUP(A35,Sheet1!A:Q,17,0)</f>
        <v>17</v>
      </c>
      <c r="I35" s="20">
        <f>VLOOKUP(A35,Sheet1!A:V,22,0)</f>
        <v>50</v>
      </c>
      <c r="J35" s="21">
        <f>VLOOKUP(A35,Sheet1!A:X,24,0)</f>
        <v>1.4</v>
      </c>
      <c r="K35" s="19" t="str">
        <f>VLOOKUP(A35,Sheet1!A:AB,28,0)</f>
        <v>Yes</v>
      </c>
      <c r="L35" s="27">
        <f>VLOOKUP(A35,Sheet1!A:AD,30,0)</f>
        <v>79.798913043478265</v>
      </c>
    </row>
    <row r="36" spans="1:12" x14ac:dyDescent="0.3">
      <c r="A36" s="14" t="s">
        <v>1030</v>
      </c>
      <c r="B36" s="19" t="str">
        <f>VLOOKUP(A36,Sheet1!A:E,5,0)</f>
        <v>Justin Ruiz</v>
      </c>
      <c r="C36" s="19" t="str">
        <f>VLOOKUP(A36,Sheet1!A:I,9,0)</f>
        <v>Male</v>
      </c>
      <c r="D36" s="19">
        <f>VLOOKUP(A36,Sheet1!A:K,11,0)</f>
        <v>59</v>
      </c>
      <c r="E36" s="19" t="str">
        <f>VLOOKUP(A36,Sheet1!A:M,13,0)</f>
        <v>Canada</v>
      </c>
      <c r="F36" s="19" t="str">
        <f>VLOOKUP(A36,Sheet1!A:N,14,0)</f>
        <v>English</v>
      </c>
      <c r="G36" s="19" t="str">
        <f>VLOOKUP(A36,Sheet1!A:O,15,0)</f>
        <v>Mobile Apps</v>
      </c>
      <c r="H36" s="19">
        <f>VLOOKUP(A36,Sheet1!A:Q,17,0)</f>
        <v>30</v>
      </c>
      <c r="I36" s="20">
        <f>VLOOKUP(A36,Sheet1!A:V,22,0)</f>
        <v>30</v>
      </c>
      <c r="J36" s="21">
        <f>VLOOKUP(A36,Sheet1!A:X,24,0)</f>
        <v>4.3</v>
      </c>
      <c r="K36" s="19" t="str">
        <f>VLOOKUP(A36,Sheet1!A:AB,28,0)</f>
        <v>Yes</v>
      </c>
      <c r="L36" s="27">
        <f>VLOOKUP(A36,Sheet1!A:AD,30,0)</f>
        <v>83</v>
      </c>
    </row>
    <row r="37" spans="1:12" x14ac:dyDescent="0.3">
      <c r="A37" s="14" t="s">
        <v>1905</v>
      </c>
      <c r="B37" s="19" t="str">
        <f>VLOOKUP(A37,Sheet1!A:E,5,0)</f>
        <v>Kathy Reese</v>
      </c>
      <c r="C37" s="19" t="str">
        <f>VLOOKUP(A37,Sheet1!A:I,9,0)</f>
        <v>Female</v>
      </c>
      <c r="D37" s="19">
        <f>VLOOKUP(A37,Sheet1!A:K,11,0)</f>
        <v>59</v>
      </c>
      <c r="E37" s="19" t="str">
        <f>VLOOKUP(A37,Sheet1!A:M,13,0)</f>
        <v>Turkey</v>
      </c>
      <c r="F37" s="19" t="str">
        <f>VLOOKUP(A37,Sheet1!A:N,14,0)</f>
        <v>Turkish</v>
      </c>
      <c r="G37" s="19" t="str">
        <f>VLOOKUP(A37,Sheet1!A:O,15,0)</f>
        <v>Web Development</v>
      </c>
      <c r="H37" s="19">
        <f>VLOOKUP(A37,Sheet1!A:Q,17,0)</f>
        <v>11</v>
      </c>
      <c r="I37" s="20">
        <f>VLOOKUP(A37,Sheet1!A:V,22,0)</f>
        <v>75</v>
      </c>
      <c r="J37" s="21">
        <f>VLOOKUP(A37,Sheet1!A:X,24,0)</f>
        <v>2.2999999999999998</v>
      </c>
      <c r="K37" s="19" t="str">
        <f>VLOOKUP(A37,Sheet1!A:AB,28,0)</f>
        <v>Yes</v>
      </c>
      <c r="L37" s="27">
        <f>VLOOKUP(A37,Sheet1!A:AD,30,0)</f>
        <v>80</v>
      </c>
    </row>
    <row r="38" spans="1:12" x14ac:dyDescent="0.3">
      <c r="A38" s="14" t="s">
        <v>1273</v>
      </c>
      <c r="B38" s="19" t="str">
        <f>VLOOKUP(A38,Sheet1!A:E,5,0)</f>
        <v>Keith Shaffer</v>
      </c>
      <c r="C38" s="19" t="str">
        <f>VLOOKUP(A38,Sheet1!A:I,9,0)</f>
        <v>Male</v>
      </c>
      <c r="D38" s="19">
        <f>VLOOKUP(A38,Sheet1!A:K,11,0)</f>
        <v>59</v>
      </c>
      <c r="E38" s="19" t="str">
        <f>VLOOKUP(A38,Sheet1!A:M,13,0)</f>
        <v>Mexico</v>
      </c>
      <c r="F38" s="19" t="str">
        <f>VLOOKUP(A38,Sheet1!A:N,14,0)</f>
        <v>Spanish</v>
      </c>
      <c r="G38" s="19" t="str">
        <f>VLOOKUP(A38,Sheet1!A:O,15,0)</f>
        <v>Blockchain Development</v>
      </c>
      <c r="H38" s="19">
        <f>VLOOKUP(A38,Sheet1!A:Q,17,0)</f>
        <v>22</v>
      </c>
      <c r="I38" s="20">
        <f>VLOOKUP(A38,Sheet1!A:V,22,0)</f>
        <v>20</v>
      </c>
      <c r="J38" s="21">
        <f>VLOOKUP(A38,Sheet1!A:X,24,0)</f>
        <v>3.6</v>
      </c>
      <c r="K38" s="19" t="str">
        <f>VLOOKUP(A38,Sheet1!A:AB,28,0)</f>
        <v>No</v>
      </c>
      <c r="L38" s="27">
        <f>VLOOKUP(A38,Sheet1!A:AD,30,0)</f>
        <v>63</v>
      </c>
    </row>
    <row r="39" spans="1:12" x14ac:dyDescent="0.3">
      <c r="A39" s="14" t="s">
        <v>2016</v>
      </c>
      <c r="B39" s="19" t="str">
        <f>VLOOKUP(A39,Sheet1!A:E,5,0)</f>
        <v>Latoya Brown</v>
      </c>
      <c r="C39" s="19" t="str">
        <f>VLOOKUP(A39,Sheet1!A:I,9,0)</f>
        <v>Female</v>
      </c>
      <c r="D39" s="19">
        <f>VLOOKUP(A39,Sheet1!A:K,11,0)</f>
        <v>59</v>
      </c>
      <c r="E39" s="19" t="str">
        <f>VLOOKUP(A39,Sheet1!A:M,13,0)</f>
        <v>United Kingdom</v>
      </c>
      <c r="F39" s="19" t="str">
        <f>VLOOKUP(A39,Sheet1!A:N,14,0)</f>
        <v>English</v>
      </c>
      <c r="G39" s="19" t="str">
        <f>VLOOKUP(A39,Sheet1!A:O,15,0)</f>
        <v>UI/UX Design</v>
      </c>
      <c r="H39" s="19">
        <f>VLOOKUP(A39,Sheet1!A:Q,17,0)</f>
        <v>40</v>
      </c>
      <c r="I39" s="20">
        <f>VLOOKUP(A39,Sheet1!A:V,22,0)</f>
        <v>100</v>
      </c>
      <c r="J39" s="21">
        <f>VLOOKUP(A39,Sheet1!A:X,24,0)</f>
        <v>2.6</v>
      </c>
      <c r="K39" s="19" t="str">
        <f>VLOOKUP(A39,Sheet1!A:AB,28,0)</f>
        <v>Unknown</v>
      </c>
      <c r="L39" s="27">
        <f>VLOOKUP(A39,Sheet1!A:AD,30,0)</f>
        <v>77.5</v>
      </c>
    </row>
    <row r="40" spans="1:12" x14ac:dyDescent="0.3">
      <c r="A40" s="14" t="s">
        <v>45</v>
      </c>
      <c r="B40" s="19" t="str">
        <f>VLOOKUP(A40,Sheet1!A:E,5,0)</f>
        <v>Lisa Johnson</v>
      </c>
      <c r="C40" s="19" t="str">
        <f>VLOOKUP(A40,Sheet1!A:I,9,0)</f>
        <v>Female</v>
      </c>
      <c r="D40" s="19">
        <f>VLOOKUP(A40,Sheet1!A:K,11,0)</f>
        <v>59</v>
      </c>
      <c r="E40" s="19" t="str">
        <f>VLOOKUP(A40,Sheet1!A:M,13,0)</f>
        <v>Netherlands</v>
      </c>
      <c r="F40" s="19" t="str">
        <f>VLOOKUP(A40,Sheet1!A:N,14,0)</f>
        <v>Dutch</v>
      </c>
      <c r="G40" s="19" t="str">
        <f>VLOOKUP(A40,Sheet1!A:O,15,0)</f>
        <v>AI</v>
      </c>
      <c r="H40" s="19">
        <f>VLOOKUP(A40,Sheet1!A:Q,17,0)</f>
        <v>14</v>
      </c>
      <c r="I40" s="20">
        <f>VLOOKUP(A40,Sheet1!A:V,22,0)</f>
        <v>30</v>
      </c>
      <c r="J40" s="21">
        <f>VLOOKUP(A40,Sheet1!A:X,24,0)</f>
        <v>2.4</v>
      </c>
      <c r="K40" s="19" t="str">
        <f>VLOOKUP(A40,Sheet1!A:AB,28,0)</f>
        <v>No</v>
      </c>
      <c r="L40" s="27">
        <f>VLOOKUP(A40,Sheet1!A:AD,30,0)</f>
        <v>79.256097560975604</v>
      </c>
    </row>
    <row r="41" spans="1:12" x14ac:dyDescent="0.3">
      <c r="A41" s="14" t="s">
        <v>1994</v>
      </c>
      <c r="B41" s="19" t="str">
        <f>VLOOKUP(A41,Sheet1!A:E,5,0)</f>
        <v>Miss Kimberly</v>
      </c>
      <c r="C41" s="19" t="str">
        <f>VLOOKUP(A41,Sheet1!A:I,9,0)</f>
        <v>Female</v>
      </c>
      <c r="D41" s="19">
        <f>VLOOKUP(A41,Sheet1!A:K,11,0)</f>
        <v>59</v>
      </c>
      <c r="E41" s="19" t="str">
        <f>VLOOKUP(A41,Sheet1!A:M,13,0)</f>
        <v>United Kingdom</v>
      </c>
      <c r="F41" s="19" t="str">
        <f>VLOOKUP(A41,Sheet1!A:N,14,0)</f>
        <v>English</v>
      </c>
      <c r="G41" s="19" t="str">
        <f>VLOOKUP(A41,Sheet1!A:O,15,0)</f>
        <v>Data Analysis</v>
      </c>
      <c r="H41" s="19">
        <f>VLOOKUP(A41,Sheet1!A:Q,17,0)</f>
        <v>40</v>
      </c>
      <c r="I41" s="20">
        <f>VLOOKUP(A41,Sheet1!A:V,22,0)</f>
        <v>40</v>
      </c>
      <c r="J41" s="21">
        <f>VLOOKUP(A41,Sheet1!A:X,24,0)</f>
        <v>2.5</v>
      </c>
      <c r="K41" s="19" t="str">
        <f>VLOOKUP(A41,Sheet1!A:AB,28,0)</f>
        <v>Yes</v>
      </c>
      <c r="L41" s="27">
        <f>VLOOKUP(A41,Sheet1!A:AD,30,0)</f>
        <v>70</v>
      </c>
    </row>
    <row r="42" spans="1:12" x14ac:dyDescent="0.3">
      <c r="A42" s="14" t="s">
        <v>757</v>
      </c>
      <c r="B42" s="19" t="str">
        <f>VLOOKUP(A42,Sheet1!A:E,5,0)</f>
        <v>Nathaniel Flores</v>
      </c>
      <c r="C42" s="19" t="str">
        <f>VLOOKUP(A42,Sheet1!A:I,9,0)</f>
        <v>Male</v>
      </c>
      <c r="D42" s="19">
        <f>VLOOKUP(A42,Sheet1!A:K,11,0)</f>
        <v>59</v>
      </c>
      <c r="E42" s="19" t="str">
        <f>VLOOKUP(A42,Sheet1!A:M,13,0)</f>
        <v>United Kingdom</v>
      </c>
      <c r="F42" s="19" t="str">
        <f>VLOOKUP(A42,Sheet1!A:N,14,0)</f>
        <v>English</v>
      </c>
      <c r="G42" s="19" t="str">
        <f>VLOOKUP(A42,Sheet1!A:O,15,0)</f>
        <v>Mobile Apps</v>
      </c>
      <c r="H42" s="19">
        <f>VLOOKUP(A42,Sheet1!A:Q,17,0)</f>
        <v>22</v>
      </c>
      <c r="I42" s="20">
        <f>VLOOKUP(A42,Sheet1!A:V,22,0)</f>
        <v>40</v>
      </c>
      <c r="J42" s="21">
        <f>VLOOKUP(A42,Sheet1!A:X,24,0)</f>
        <v>1.1000000000000001</v>
      </c>
      <c r="K42" s="19" t="str">
        <f>VLOOKUP(A42,Sheet1!A:AB,28,0)</f>
        <v>Yes</v>
      </c>
      <c r="L42" s="27">
        <f>VLOOKUP(A42,Sheet1!A:AD,30,0)</f>
        <v>61</v>
      </c>
    </row>
    <row r="43" spans="1:12" x14ac:dyDescent="0.3">
      <c r="A43" s="14" t="s">
        <v>323</v>
      </c>
      <c r="B43" s="19" t="str">
        <f>VLOOKUP(A43,Sheet1!A:E,5,0)</f>
        <v>Robert Andrews</v>
      </c>
      <c r="C43" s="19" t="str">
        <f>VLOOKUP(A43,Sheet1!A:I,9,0)</f>
        <v>Male</v>
      </c>
      <c r="D43" s="19">
        <f>VLOOKUP(A43,Sheet1!A:K,11,0)</f>
        <v>59</v>
      </c>
      <c r="E43" s="19" t="str">
        <f>VLOOKUP(A43,Sheet1!A:M,13,0)</f>
        <v>Turkey</v>
      </c>
      <c r="F43" s="19" t="str">
        <f>VLOOKUP(A43,Sheet1!A:N,14,0)</f>
        <v>Turkish</v>
      </c>
      <c r="G43" s="19" t="str">
        <f>VLOOKUP(A43,Sheet1!A:O,15,0)</f>
        <v>AI</v>
      </c>
      <c r="H43" s="19">
        <f>VLOOKUP(A43,Sheet1!A:Q,17,0)</f>
        <v>13</v>
      </c>
      <c r="I43" s="20">
        <f>VLOOKUP(A43,Sheet1!A:V,22,0)</f>
        <v>20</v>
      </c>
      <c r="J43" s="21">
        <f>VLOOKUP(A43,Sheet1!A:X,24,0)</f>
        <v>4.8</v>
      </c>
      <c r="K43" s="19" t="str">
        <f>VLOOKUP(A43,Sheet1!A:AB,28,0)</f>
        <v>Unknown</v>
      </c>
      <c r="L43" s="27">
        <f>VLOOKUP(A43,Sheet1!A:AD,30,0)</f>
        <v>79.455163043478265</v>
      </c>
    </row>
    <row r="44" spans="1:12" x14ac:dyDescent="0.3">
      <c r="A44" s="14" t="s">
        <v>1419</v>
      </c>
      <c r="B44" s="19" t="str">
        <f>VLOOKUP(A44,Sheet1!A:E,5,0)</f>
        <v>Sarah Edwards</v>
      </c>
      <c r="C44" s="19" t="str">
        <f>VLOOKUP(A44,Sheet1!A:I,9,0)</f>
        <v>Female</v>
      </c>
      <c r="D44" s="19">
        <f>VLOOKUP(A44,Sheet1!A:K,11,0)</f>
        <v>59</v>
      </c>
      <c r="E44" s="19" t="str">
        <f>VLOOKUP(A44,Sheet1!A:M,13,0)</f>
        <v>India</v>
      </c>
      <c r="F44" s="19" t="str">
        <f>VLOOKUP(A44,Sheet1!A:N,14,0)</f>
        <v>Hindi</v>
      </c>
      <c r="G44" s="19" t="str">
        <f>VLOOKUP(A44,Sheet1!A:O,15,0)</f>
        <v>Mobile Apps</v>
      </c>
      <c r="H44" s="19">
        <f>VLOOKUP(A44,Sheet1!A:Q,17,0)</f>
        <v>34</v>
      </c>
      <c r="I44" s="20">
        <f>VLOOKUP(A44,Sheet1!A:V,22,0)</f>
        <v>100</v>
      </c>
      <c r="J44" s="21">
        <f>VLOOKUP(A44,Sheet1!A:X,24,0)</f>
        <v>2</v>
      </c>
      <c r="K44" s="19" t="str">
        <f>VLOOKUP(A44,Sheet1!A:AB,28,0)</f>
        <v>Yes</v>
      </c>
      <c r="L44" s="27">
        <f>VLOOKUP(A44,Sheet1!A:AD,30,0)</f>
        <v>79</v>
      </c>
    </row>
    <row r="45" spans="1:12" x14ac:dyDescent="0.3">
      <c r="A45" s="14" t="s">
        <v>1907</v>
      </c>
      <c r="B45" s="19" t="str">
        <f>VLOOKUP(A45,Sheet1!A:E,5,0)</f>
        <v>Steven Murphy</v>
      </c>
      <c r="C45" s="19" t="str">
        <f>VLOOKUP(A45,Sheet1!A:I,9,0)</f>
        <v>Male</v>
      </c>
      <c r="D45" s="19">
        <f>VLOOKUP(A45,Sheet1!A:K,11,0)</f>
        <v>59</v>
      </c>
      <c r="E45" s="19" t="str">
        <f>VLOOKUP(A45,Sheet1!A:M,13,0)</f>
        <v>France</v>
      </c>
      <c r="F45" s="19" t="str">
        <f>VLOOKUP(A45,Sheet1!A:N,14,0)</f>
        <v>French</v>
      </c>
      <c r="G45" s="19" t="str">
        <f>VLOOKUP(A45,Sheet1!A:O,15,0)</f>
        <v>Cybersecurity</v>
      </c>
      <c r="H45" s="19">
        <f>VLOOKUP(A45,Sheet1!A:Q,17,0)</f>
        <v>17</v>
      </c>
      <c r="I45" s="20">
        <f>VLOOKUP(A45,Sheet1!A:V,22,0)</f>
        <v>100</v>
      </c>
      <c r="J45" s="21">
        <f>VLOOKUP(A45,Sheet1!A:X,24,0)</f>
        <v>4</v>
      </c>
      <c r="K45" s="19" t="str">
        <f>VLOOKUP(A45,Sheet1!A:AB,28,0)</f>
        <v>No</v>
      </c>
      <c r="L45" s="27">
        <f>VLOOKUP(A45,Sheet1!A:AD,30,0)</f>
        <v>72</v>
      </c>
    </row>
    <row r="46" spans="1:12" x14ac:dyDescent="0.3">
      <c r="A46" s="14" t="s">
        <v>247</v>
      </c>
      <c r="B46" s="19" t="str">
        <f>VLOOKUP(A46,Sheet1!A:E,5,0)</f>
        <v>Timothy Lee</v>
      </c>
      <c r="C46" s="19" t="str">
        <f>VLOOKUP(A46,Sheet1!A:I,9,0)</f>
        <v>Male</v>
      </c>
      <c r="D46" s="19">
        <f>VLOOKUP(A46,Sheet1!A:K,11,0)</f>
        <v>59</v>
      </c>
      <c r="E46" s="19" t="str">
        <f>VLOOKUP(A46,Sheet1!A:M,13,0)</f>
        <v>Australia</v>
      </c>
      <c r="F46" s="19" t="str">
        <f>VLOOKUP(A46,Sheet1!A:N,14,0)</f>
        <v>English</v>
      </c>
      <c r="G46" s="19" t="str">
        <f>VLOOKUP(A46,Sheet1!A:O,15,0)</f>
        <v>AI</v>
      </c>
      <c r="H46" s="19">
        <f>VLOOKUP(A46,Sheet1!A:Q,17,0)</f>
        <v>9</v>
      </c>
      <c r="I46" s="20">
        <f>VLOOKUP(A46,Sheet1!A:V,22,0)</f>
        <v>75</v>
      </c>
      <c r="J46" s="21">
        <f>VLOOKUP(A46,Sheet1!A:X,24,0)</f>
        <v>4</v>
      </c>
      <c r="K46" s="19" t="str">
        <f>VLOOKUP(A46,Sheet1!A:AB,28,0)</f>
        <v>Yes</v>
      </c>
      <c r="L46" s="27">
        <f>VLOOKUP(A46,Sheet1!A:AD,30,0)</f>
        <v>96</v>
      </c>
    </row>
    <row r="47" spans="1:12" x14ac:dyDescent="0.3">
      <c r="A47" s="14" t="s">
        <v>1405</v>
      </c>
      <c r="B47" s="19" t="str">
        <f>VLOOKUP(A47,Sheet1!A:E,5,0)</f>
        <v>Wendy Rice</v>
      </c>
      <c r="C47" s="19" t="str">
        <f>VLOOKUP(A47,Sheet1!A:I,9,0)</f>
        <v>Female</v>
      </c>
      <c r="D47" s="19">
        <f>VLOOKUP(A47,Sheet1!A:K,11,0)</f>
        <v>59</v>
      </c>
      <c r="E47" s="19" t="str">
        <f>VLOOKUP(A47,Sheet1!A:M,13,0)</f>
        <v>France</v>
      </c>
      <c r="F47" s="19" t="str">
        <f>VLOOKUP(A47,Sheet1!A:N,14,0)</f>
        <v>French</v>
      </c>
      <c r="G47" s="19" t="str">
        <f>VLOOKUP(A47,Sheet1!A:O,15,0)</f>
        <v>Cybersecurity</v>
      </c>
      <c r="H47" s="19">
        <f>VLOOKUP(A47,Sheet1!A:Q,17,0)</f>
        <v>37</v>
      </c>
      <c r="I47" s="20">
        <f>VLOOKUP(A47,Sheet1!A:V,22,0)</f>
        <v>30</v>
      </c>
      <c r="J47" s="21">
        <f>VLOOKUP(A47,Sheet1!A:X,24,0)</f>
        <v>4</v>
      </c>
      <c r="K47" s="19" t="str">
        <f>VLOOKUP(A47,Sheet1!A:AB,28,0)</f>
        <v>No</v>
      </c>
      <c r="L47" s="27">
        <f>VLOOKUP(A47,Sheet1!A:AD,30,0)</f>
        <v>62</v>
      </c>
    </row>
    <row r="48" spans="1:12" x14ac:dyDescent="0.3">
      <c r="A48" s="14" t="s">
        <v>643</v>
      </c>
      <c r="B48" s="19" t="str">
        <f>VLOOKUP(A48,Sheet1!A:E,5,0)</f>
        <v>William Gaines</v>
      </c>
      <c r="C48" s="19" t="str">
        <f>VLOOKUP(A48,Sheet1!A:I,9,0)</f>
        <v>Male</v>
      </c>
      <c r="D48" s="19">
        <f>VLOOKUP(A48,Sheet1!A:K,11,0)</f>
        <v>59</v>
      </c>
      <c r="E48" s="19" t="str">
        <f>VLOOKUP(A48,Sheet1!A:M,13,0)</f>
        <v>France</v>
      </c>
      <c r="F48" s="19" t="str">
        <f>VLOOKUP(A48,Sheet1!A:N,14,0)</f>
        <v>French</v>
      </c>
      <c r="G48" s="19" t="str">
        <f>VLOOKUP(A48,Sheet1!A:O,15,0)</f>
        <v>Web Development</v>
      </c>
      <c r="H48" s="19">
        <f>VLOOKUP(A48,Sheet1!A:Q,17,0)</f>
        <v>21</v>
      </c>
      <c r="I48" s="20">
        <f>VLOOKUP(A48,Sheet1!A:V,22,0)</f>
        <v>100</v>
      </c>
      <c r="J48" s="21">
        <f>VLOOKUP(A48,Sheet1!A:X,24,0)</f>
        <v>0</v>
      </c>
      <c r="K48" s="19" t="str">
        <f>VLOOKUP(A48,Sheet1!A:AB,28,0)</f>
        <v>Unknown</v>
      </c>
      <c r="L48" s="27">
        <f>VLOOKUP(A48,Sheet1!A:AD,30,0)</f>
        <v>70</v>
      </c>
    </row>
    <row r="49" spans="1:12" x14ac:dyDescent="0.3">
      <c r="A49" s="14" t="s">
        <v>589</v>
      </c>
      <c r="B49" s="19" t="str">
        <f>VLOOKUP(A49,Sheet1!A:E,5,0)</f>
        <v>Andrew Ruiz</v>
      </c>
      <c r="C49" s="19" t="str">
        <f>VLOOKUP(A49,Sheet1!A:I,9,0)</f>
        <v>Male</v>
      </c>
      <c r="D49" s="19">
        <f>VLOOKUP(A49,Sheet1!A:K,11,0)</f>
        <v>58</v>
      </c>
      <c r="E49" s="19" t="str">
        <f>VLOOKUP(A49,Sheet1!A:M,13,0)</f>
        <v>Argentina</v>
      </c>
      <c r="F49" s="19" t="str">
        <f>VLOOKUP(A49,Sheet1!A:N,14,0)</f>
        <v>Spanish</v>
      </c>
      <c r="G49" s="19" t="str">
        <f>VLOOKUP(A49,Sheet1!A:O,15,0)</f>
        <v>Web Development</v>
      </c>
      <c r="H49" s="19">
        <f>VLOOKUP(A49,Sheet1!A:Q,17,0)</f>
        <v>23</v>
      </c>
      <c r="I49" s="20">
        <f>VLOOKUP(A49,Sheet1!A:V,22,0)</f>
        <v>52.708029197080293</v>
      </c>
      <c r="J49" s="21">
        <f>VLOOKUP(A49,Sheet1!A:X,24,0)</f>
        <v>4.9000000000000004</v>
      </c>
      <c r="K49" s="19" t="str">
        <f>VLOOKUP(A49,Sheet1!A:AB,28,0)</f>
        <v>No</v>
      </c>
      <c r="L49" s="27">
        <f>VLOOKUP(A49,Sheet1!A:AD,30,0)</f>
        <v>79.720447284345042</v>
      </c>
    </row>
    <row r="50" spans="1:12" x14ac:dyDescent="0.3">
      <c r="A50" s="14" t="s">
        <v>1514</v>
      </c>
      <c r="B50" s="19" t="str">
        <f>VLOOKUP(A50,Sheet1!A:E,5,0)</f>
        <v>Angela Smith</v>
      </c>
      <c r="C50" s="19" t="str">
        <f>VLOOKUP(A50,Sheet1!A:I,9,0)</f>
        <v>Female</v>
      </c>
      <c r="D50" s="19">
        <f>VLOOKUP(A50,Sheet1!A:K,11,0)</f>
        <v>58</v>
      </c>
      <c r="E50" s="19" t="str">
        <f>VLOOKUP(A50,Sheet1!A:M,13,0)</f>
        <v>United States</v>
      </c>
      <c r="F50" s="19" t="str">
        <f>VLOOKUP(A50,Sheet1!A:N,14,0)</f>
        <v>English</v>
      </c>
      <c r="G50" s="19" t="str">
        <f>VLOOKUP(A50,Sheet1!A:O,15,0)</f>
        <v>Cybersecurity</v>
      </c>
      <c r="H50" s="19">
        <f>VLOOKUP(A50,Sheet1!A:Q,17,0)</f>
        <v>22</v>
      </c>
      <c r="I50" s="20">
        <f>VLOOKUP(A50,Sheet1!A:V,22,0)</f>
        <v>100</v>
      </c>
      <c r="J50" s="21">
        <f>VLOOKUP(A50,Sheet1!A:X,24,0)</f>
        <v>3.7</v>
      </c>
      <c r="K50" s="19" t="str">
        <f>VLOOKUP(A50,Sheet1!A:AB,28,0)</f>
        <v>No</v>
      </c>
      <c r="L50" s="27">
        <f>VLOOKUP(A50,Sheet1!A:AD,30,0)</f>
        <v>79.883817427385893</v>
      </c>
    </row>
    <row r="51" spans="1:12" x14ac:dyDescent="0.3">
      <c r="A51" s="14" t="s">
        <v>853</v>
      </c>
      <c r="B51" s="19" t="str">
        <f>VLOOKUP(A51,Sheet1!A:E,5,0)</f>
        <v>Anthony Avila</v>
      </c>
      <c r="C51" s="19" t="str">
        <f>VLOOKUP(A51,Sheet1!A:I,9,0)</f>
        <v>Male</v>
      </c>
      <c r="D51" s="19">
        <f>VLOOKUP(A51,Sheet1!A:K,11,0)</f>
        <v>58</v>
      </c>
      <c r="E51" s="19" t="str">
        <f>VLOOKUP(A51,Sheet1!A:M,13,0)</f>
        <v>South Africa</v>
      </c>
      <c r="F51" s="19" t="str">
        <f>VLOOKUP(A51,Sheet1!A:N,14,0)</f>
        <v>Afrikaans</v>
      </c>
      <c r="G51" s="19" t="str">
        <f>VLOOKUP(A51,Sheet1!A:O,15,0)</f>
        <v>AI</v>
      </c>
      <c r="H51" s="19">
        <f>VLOOKUP(A51,Sheet1!A:Q,17,0)</f>
        <v>10</v>
      </c>
      <c r="I51" s="20">
        <f>VLOOKUP(A51,Sheet1!A:V,22,0)</f>
        <v>75</v>
      </c>
      <c r="J51" s="21">
        <f>VLOOKUP(A51,Sheet1!A:X,24,0)</f>
        <v>4.2</v>
      </c>
      <c r="K51" s="19" t="str">
        <f>VLOOKUP(A51,Sheet1!A:AB,28,0)</f>
        <v>No</v>
      </c>
      <c r="L51" s="27">
        <f>VLOOKUP(A51,Sheet1!A:AD,30,0)</f>
        <v>71</v>
      </c>
    </row>
    <row r="52" spans="1:12" x14ac:dyDescent="0.3">
      <c r="A52" s="14" t="s">
        <v>805</v>
      </c>
      <c r="B52" s="19" t="str">
        <f>VLOOKUP(A52,Sheet1!A:E,5,0)</f>
        <v>Charles Pratt</v>
      </c>
      <c r="C52" s="19" t="str">
        <f>VLOOKUP(A52,Sheet1!A:I,9,0)</f>
        <v>Male</v>
      </c>
      <c r="D52" s="19">
        <f>VLOOKUP(A52,Sheet1!A:K,11,0)</f>
        <v>58</v>
      </c>
      <c r="E52" s="19" t="str">
        <f>VLOOKUP(A52,Sheet1!A:M,13,0)</f>
        <v>Argentina</v>
      </c>
      <c r="F52" s="19" t="str">
        <f>VLOOKUP(A52,Sheet1!A:N,14,0)</f>
        <v>Spanish</v>
      </c>
      <c r="G52" s="19" t="str">
        <f>VLOOKUP(A52,Sheet1!A:O,15,0)</f>
        <v>UI/UX Design</v>
      </c>
      <c r="H52" s="19">
        <f>VLOOKUP(A52,Sheet1!A:Q,17,0)</f>
        <v>19</v>
      </c>
      <c r="I52" s="20">
        <f>VLOOKUP(A52,Sheet1!A:V,22,0)</f>
        <v>100</v>
      </c>
      <c r="J52" s="21">
        <f>VLOOKUP(A52,Sheet1!A:X,24,0)</f>
        <v>4.5</v>
      </c>
      <c r="K52" s="19" t="str">
        <f>VLOOKUP(A52,Sheet1!A:AB,28,0)</f>
        <v>No</v>
      </c>
      <c r="L52" s="27">
        <f>VLOOKUP(A52,Sheet1!A:AD,30,0)</f>
        <v>77</v>
      </c>
    </row>
    <row r="53" spans="1:12" x14ac:dyDescent="0.3">
      <c r="A53" s="14" t="s">
        <v>2070</v>
      </c>
      <c r="B53" s="19" t="str">
        <f>VLOOKUP(A53,Sheet1!A:E,5,0)</f>
        <v>Charlotte Taylor</v>
      </c>
      <c r="C53" s="19" t="str">
        <f>VLOOKUP(A53,Sheet1!A:I,9,0)</f>
        <v>Female</v>
      </c>
      <c r="D53" s="19">
        <f>VLOOKUP(A53,Sheet1!A:K,11,0)</f>
        <v>58</v>
      </c>
      <c r="E53" s="19" t="str">
        <f>VLOOKUP(A53,Sheet1!A:M,13,0)</f>
        <v>Germany</v>
      </c>
      <c r="F53" s="19" t="str">
        <f>VLOOKUP(A53,Sheet1!A:N,14,0)</f>
        <v>German</v>
      </c>
      <c r="G53" s="19" t="str">
        <f>VLOOKUP(A53,Sheet1!A:O,15,0)</f>
        <v>UI/UX Design</v>
      </c>
      <c r="H53" s="19">
        <f>VLOOKUP(A53,Sheet1!A:Q,17,0)</f>
        <v>37</v>
      </c>
      <c r="I53" s="20">
        <f>VLOOKUP(A53,Sheet1!A:V,22,0)</f>
        <v>50</v>
      </c>
      <c r="J53" s="21">
        <f>VLOOKUP(A53,Sheet1!A:X,24,0)</f>
        <v>4.9000000000000004</v>
      </c>
      <c r="K53" s="19" t="str">
        <f>VLOOKUP(A53,Sheet1!A:AB,28,0)</f>
        <v>No</v>
      </c>
      <c r="L53" s="27">
        <f>VLOOKUP(A53,Sheet1!A:AD,30,0)</f>
        <v>69</v>
      </c>
    </row>
    <row r="54" spans="1:12" x14ac:dyDescent="0.3">
      <c r="A54" s="14" t="s">
        <v>1768</v>
      </c>
      <c r="B54" s="19" t="str">
        <f>VLOOKUP(A54,Sheet1!A:E,5,0)</f>
        <v>Dale Haynes</v>
      </c>
      <c r="C54" s="19" t="str">
        <f>VLOOKUP(A54,Sheet1!A:I,9,0)</f>
        <v>Male</v>
      </c>
      <c r="D54" s="19">
        <f>VLOOKUP(A54,Sheet1!A:K,11,0)</f>
        <v>58</v>
      </c>
      <c r="E54" s="19" t="str">
        <f>VLOOKUP(A54,Sheet1!A:M,13,0)</f>
        <v>Spain</v>
      </c>
      <c r="F54" s="19" t="str">
        <f>VLOOKUP(A54,Sheet1!A:N,14,0)</f>
        <v>Spanish</v>
      </c>
      <c r="G54" s="19" t="str">
        <f>VLOOKUP(A54,Sheet1!A:O,15,0)</f>
        <v>Cybersecurity</v>
      </c>
      <c r="H54" s="19">
        <f>VLOOKUP(A54,Sheet1!A:Q,17,0)</f>
        <v>33</v>
      </c>
      <c r="I54" s="20">
        <f>VLOOKUP(A54,Sheet1!A:V,22,0)</f>
        <v>30</v>
      </c>
      <c r="J54" s="21">
        <f>VLOOKUP(A54,Sheet1!A:X,24,0)</f>
        <v>3.3</v>
      </c>
      <c r="K54" s="19" t="str">
        <f>VLOOKUP(A54,Sheet1!A:AB,28,0)</f>
        <v>Yes</v>
      </c>
      <c r="L54" s="27">
        <f>VLOOKUP(A54,Sheet1!A:AD,30,0)</f>
        <v>71</v>
      </c>
    </row>
    <row r="55" spans="1:12" x14ac:dyDescent="0.3">
      <c r="A55" s="14" t="s">
        <v>1688</v>
      </c>
      <c r="B55" s="19" t="str">
        <f>VLOOKUP(A55,Sheet1!A:E,5,0)</f>
        <v>Dana Rice</v>
      </c>
      <c r="C55" s="19" t="str">
        <f>VLOOKUP(A55,Sheet1!A:I,9,0)</f>
        <v>Female</v>
      </c>
      <c r="D55" s="19">
        <f>VLOOKUP(A55,Sheet1!A:K,11,0)</f>
        <v>58</v>
      </c>
      <c r="E55" s="19" t="str">
        <f>VLOOKUP(A55,Sheet1!A:M,13,0)</f>
        <v>France</v>
      </c>
      <c r="F55" s="19" t="str">
        <f>VLOOKUP(A55,Sheet1!A:N,14,0)</f>
        <v>French</v>
      </c>
      <c r="G55" s="19" t="str">
        <f>VLOOKUP(A55,Sheet1!A:O,15,0)</f>
        <v>Data Analysis</v>
      </c>
      <c r="H55" s="19">
        <f>VLOOKUP(A55,Sheet1!A:Q,17,0)</f>
        <v>15</v>
      </c>
      <c r="I55" s="20">
        <f>VLOOKUP(A55,Sheet1!A:V,22,0)</f>
        <v>20</v>
      </c>
      <c r="J55" s="21">
        <f>VLOOKUP(A55,Sheet1!A:X,24,0)</f>
        <v>3.5</v>
      </c>
      <c r="K55" s="19" t="str">
        <f>VLOOKUP(A55,Sheet1!A:AB,28,0)</f>
        <v>Unknown</v>
      </c>
      <c r="L55" s="27">
        <f>VLOOKUP(A55,Sheet1!A:AD,30,0)</f>
        <v>98</v>
      </c>
    </row>
    <row r="56" spans="1:12" x14ac:dyDescent="0.3">
      <c r="A56" s="14" t="s">
        <v>1588</v>
      </c>
      <c r="B56" s="19" t="str">
        <f>VLOOKUP(A56,Sheet1!A:E,5,0)</f>
        <v>Desiree Winters</v>
      </c>
      <c r="C56" s="19" t="str">
        <f>VLOOKUP(A56,Sheet1!A:I,9,0)</f>
        <v>Female</v>
      </c>
      <c r="D56" s="19">
        <f>VLOOKUP(A56,Sheet1!A:K,11,0)</f>
        <v>58</v>
      </c>
      <c r="E56" s="19" t="str">
        <f>VLOOKUP(A56,Sheet1!A:M,13,0)</f>
        <v>South Korea</v>
      </c>
      <c r="F56" s="19" t="str">
        <f>VLOOKUP(A56,Sheet1!A:N,14,0)</f>
        <v>Korean</v>
      </c>
      <c r="G56" s="19" t="str">
        <f>VLOOKUP(A56,Sheet1!A:O,15,0)</f>
        <v>Blockchain Development</v>
      </c>
      <c r="H56" s="19">
        <f>VLOOKUP(A56,Sheet1!A:Q,17,0)</f>
        <v>0</v>
      </c>
      <c r="I56" s="20">
        <f>VLOOKUP(A56,Sheet1!A:V,22,0)</f>
        <v>30</v>
      </c>
      <c r="J56" s="21">
        <f>VLOOKUP(A56,Sheet1!A:X,24,0)</f>
        <v>4.5999999999999996</v>
      </c>
      <c r="K56" s="19" t="str">
        <f>VLOOKUP(A56,Sheet1!A:AB,28,0)</f>
        <v>No</v>
      </c>
      <c r="L56" s="27">
        <f>VLOOKUP(A56,Sheet1!A:AD,30,0)</f>
        <v>70</v>
      </c>
    </row>
    <row r="57" spans="1:12" x14ac:dyDescent="0.3">
      <c r="A57" s="14" t="s">
        <v>541</v>
      </c>
      <c r="B57" s="19" t="str">
        <f>VLOOKUP(A57,Sheet1!A:E,5,0)</f>
        <v>Jacqueline Williams</v>
      </c>
      <c r="C57" s="19" t="str">
        <f>VLOOKUP(A57,Sheet1!A:I,9,0)</f>
        <v>Female</v>
      </c>
      <c r="D57" s="19">
        <f>VLOOKUP(A57,Sheet1!A:K,11,0)</f>
        <v>58</v>
      </c>
      <c r="E57" s="19" t="str">
        <f>VLOOKUP(A57,Sheet1!A:M,13,0)</f>
        <v>China</v>
      </c>
      <c r="F57" s="19" t="str">
        <f>VLOOKUP(A57,Sheet1!A:N,14,0)</f>
        <v>Mandarin</v>
      </c>
      <c r="G57" s="19" t="str">
        <f>VLOOKUP(A57,Sheet1!A:O,15,0)</f>
        <v>Machine Learning</v>
      </c>
      <c r="H57" s="19">
        <f>VLOOKUP(A57,Sheet1!A:Q,17,0)</f>
        <v>9</v>
      </c>
      <c r="I57" s="20">
        <f>VLOOKUP(A57,Sheet1!A:V,22,0)</f>
        <v>30</v>
      </c>
      <c r="J57" s="21">
        <f>VLOOKUP(A57,Sheet1!A:X,24,0)</f>
        <v>0</v>
      </c>
      <c r="K57" s="19" t="str">
        <f>VLOOKUP(A57,Sheet1!A:AB,28,0)</f>
        <v>Yes</v>
      </c>
      <c r="L57" s="27">
        <f>VLOOKUP(A57,Sheet1!A:AD,30,0)</f>
        <v>65</v>
      </c>
    </row>
    <row r="58" spans="1:12" x14ac:dyDescent="0.3">
      <c r="A58" s="14" t="s">
        <v>1504</v>
      </c>
      <c r="B58" s="19" t="str">
        <f>VLOOKUP(A58,Sheet1!A:E,5,0)</f>
        <v>Jason Brady</v>
      </c>
      <c r="C58" s="19" t="str">
        <f>VLOOKUP(A58,Sheet1!A:I,9,0)</f>
        <v>Male</v>
      </c>
      <c r="D58" s="19">
        <f>VLOOKUP(A58,Sheet1!A:K,11,0)</f>
        <v>58</v>
      </c>
      <c r="E58" s="19" t="str">
        <f>VLOOKUP(A58,Sheet1!A:M,13,0)</f>
        <v>Egypt</v>
      </c>
      <c r="F58" s="19" t="str">
        <f>VLOOKUP(A58,Sheet1!A:N,14,0)</f>
        <v>Arabic</v>
      </c>
      <c r="G58" s="19" t="str">
        <f>VLOOKUP(A58,Sheet1!A:O,15,0)</f>
        <v>Graphic Design</v>
      </c>
      <c r="H58" s="19">
        <f>VLOOKUP(A58,Sheet1!A:Q,17,0)</f>
        <v>35</v>
      </c>
      <c r="I58" s="20">
        <f>VLOOKUP(A58,Sheet1!A:V,22,0)</f>
        <v>100</v>
      </c>
      <c r="J58" s="21">
        <f>VLOOKUP(A58,Sheet1!A:X,24,0)</f>
        <v>2.2999999999999998</v>
      </c>
      <c r="K58" s="19" t="str">
        <f>VLOOKUP(A58,Sheet1!A:AB,28,0)</f>
        <v>Yes</v>
      </c>
      <c r="L58" s="27">
        <f>VLOOKUP(A58,Sheet1!A:AD,30,0)</f>
        <v>79.963114754098356</v>
      </c>
    </row>
    <row r="59" spans="1:12" x14ac:dyDescent="0.3">
      <c r="A59" s="14" t="s">
        <v>745</v>
      </c>
      <c r="B59" s="19" t="str">
        <f>VLOOKUP(A59,Sheet1!A:E,5,0)</f>
        <v>Jennifer Allen</v>
      </c>
      <c r="C59" s="19" t="str">
        <f>VLOOKUP(A59,Sheet1!A:I,9,0)</f>
        <v>Female</v>
      </c>
      <c r="D59" s="19">
        <f>VLOOKUP(A59,Sheet1!A:K,11,0)</f>
        <v>58</v>
      </c>
      <c r="E59" s="19" t="str">
        <f>VLOOKUP(A59,Sheet1!A:M,13,0)</f>
        <v>Spain</v>
      </c>
      <c r="F59" s="19" t="str">
        <f>VLOOKUP(A59,Sheet1!A:N,14,0)</f>
        <v>Spanish</v>
      </c>
      <c r="G59" s="19" t="str">
        <f>VLOOKUP(A59,Sheet1!A:O,15,0)</f>
        <v>Data Analysis</v>
      </c>
      <c r="H59" s="19">
        <f>VLOOKUP(A59,Sheet1!A:Q,17,0)</f>
        <v>40</v>
      </c>
      <c r="I59" s="20">
        <f>VLOOKUP(A59,Sheet1!A:V,22,0)</f>
        <v>75</v>
      </c>
      <c r="J59" s="21">
        <f>VLOOKUP(A59,Sheet1!A:X,24,0)</f>
        <v>3.4</v>
      </c>
      <c r="K59" s="19" t="str">
        <f>VLOOKUP(A59,Sheet1!A:AB,28,0)</f>
        <v>Yes</v>
      </c>
      <c r="L59" s="27">
        <f>VLOOKUP(A59,Sheet1!A:AD,30,0)</f>
        <v>100</v>
      </c>
    </row>
    <row r="60" spans="1:12" x14ac:dyDescent="0.3">
      <c r="A60" s="14" t="s">
        <v>481</v>
      </c>
      <c r="B60" s="19" t="str">
        <f>VLOOKUP(A60,Sheet1!A:E,5,0)</f>
        <v>Jennifer Cherry</v>
      </c>
      <c r="C60" s="19" t="str">
        <f>VLOOKUP(A60,Sheet1!A:I,9,0)</f>
        <v>Female</v>
      </c>
      <c r="D60" s="19">
        <f>VLOOKUP(A60,Sheet1!A:K,11,0)</f>
        <v>58</v>
      </c>
      <c r="E60" s="19" t="str">
        <f>VLOOKUP(A60,Sheet1!A:M,13,0)</f>
        <v>Russia</v>
      </c>
      <c r="F60" s="19" t="str">
        <f>VLOOKUP(A60,Sheet1!A:N,14,0)</f>
        <v>Russian</v>
      </c>
      <c r="G60" s="19" t="str">
        <f>VLOOKUP(A60,Sheet1!A:O,15,0)</f>
        <v>Blockchain Development</v>
      </c>
      <c r="H60" s="19">
        <f>VLOOKUP(A60,Sheet1!A:Q,17,0)</f>
        <v>25</v>
      </c>
      <c r="I60" s="20">
        <f>VLOOKUP(A60,Sheet1!A:V,22,0)</f>
        <v>30</v>
      </c>
      <c r="J60" s="21">
        <f>VLOOKUP(A60,Sheet1!A:X,24,0)</f>
        <v>4.2</v>
      </c>
      <c r="K60" s="19" t="str">
        <f>VLOOKUP(A60,Sheet1!A:AB,28,0)</f>
        <v>Yes</v>
      </c>
      <c r="L60" s="27">
        <f>VLOOKUP(A60,Sheet1!A:AD,30,0)</f>
        <v>71</v>
      </c>
    </row>
    <row r="61" spans="1:12" x14ac:dyDescent="0.3">
      <c r="A61" s="14" t="s">
        <v>1936</v>
      </c>
      <c r="B61" s="19" t="str">
        <f>VLOOKUP(A61,Sheet1!A:E,5,0)</f>
        <v>Jennifer Miller</v>
      </c>
      <c r="C61" s="19" t="str">
        <f>VLOOKUP(A61,Sheet1!A:I,9,0)</f>
        <v>Female</v>
      </c>
      <c r="D61" s="19">
        <f>VLOOKUP(A61,Sheet1!A:K,11,0)</f>
        <v>58</v>
      </c>
      <c r="E61" s="19" t="str">
        <f>VLOOKUP(A61,Sheet1!A:M,13,0)</f>
        <v>Brazil</v>
      </c>
      <c r="F61" s="19" t="str">
        <f>VLOOKUP(A61,Sheet1!A:N,14,0)</f>
        <v>Portuguese</v>
      </c>
      <c r="G61" s="19" t="str">
        <f>VLOOKUP(A61,Sheet1!A:O,15,0)</f>
        <v>Blockchain Development</v>
      </c>
      <c r="H61" s="19">
        <f>VLOOKUP(A61,Sheet1!A:Q,17,0)</f>
        <v>29</v>
      </c>
      <c r="I61" s="20">
        <f>VLOOKUP(A61,Sheet1!A:V,22,0)</f>
        <v>30</v>
      </c>
      <c r="J61" s="21">
        <f>VLOOKUP(A61,Sheet1!A:X,24,0)</f>
        <v>3.3</v>
      </c>
      <c r="K61" s="19" t="str">
        <f>VLOOKUP(A61,Sheet1!A:AB,28,0)</f>
        <v>Yes</v>
      </c>
      <c r="L61" s="27">
        <f>VLOOKUP(A61,Sheet1!A:AD,30,0)</f>
        <v>89</v>
      </c>
    </row>
    <row r="62" spans="1:12" x14ac:dyDescent="0.3">
      <c r="A62" s="14" t="s">
        <v>917</v>
      </c>
      <c r="B62" s="19" t="str">
        <f>VLOOKUP(A62,Sheet1!A:E,5,0)</f>
        <v>Jessica Erickson</v>
      </c>
      <c r="C62" s="19" t="str">
        <f>VLOOKUP(A62,Sheet1!A:I,9,0)</f>
        <v>Female</v>
      </c>
      <c r="D62" s="19">
        <f>VLOOKUP(A62,Sheet1!A:K,11,0)</f>
        <v>58</v>
      </c>
      <c r="E62" s="19" t="str">
        <f>VLOOKUP(A62,Sheet1!A:M,13,0)</f>
        <v>Turkey</v>
      </c>
      <c r="F62" s="19" t="str">
        <f>VLOOKUP(A62,Sheet1!A:N,14,0)</f>
        <v>Turkish</v>
      </c>
      <c r="G62" s="19" t="str">
        <f>VLOOKUP(A62,Sheet1!A:O,15,0)</f>
        <v>Graphic Design</v>
      </c>
      <c r="H62" s="19">
        <f>VLOOKUP(A62,Sheet1!A:Q,17,0)</f>
        <v>17</v>
      </c>
      <c r="I62" s="20">
        <f>VLOOKUP(A62,Sheet1!A:V,22,0)</f>
        <v>50</v>
      </c>
      <c r="J62" s="21">
        <f>VLOOKUP(A62,Sheet1!A:X,24,0)</f>
        <v>2.6</v>
      </c>
      <c r="K62" s="19" t="str">
        <f>VLOOKUP(A62,Sheet1!A:AB,28,0)</f>
        <v>Yes</v>
      </c>
      <c r="L62" s="27">
        <f>VLOOKUP(A62,Sheet1!A:AD,30,0)</f>
        <v>61</v>
      </c>
    </row>
    <row r="63" spans="1:12" x14ac:dyDescent="0.3">
      <c r="A63" s="14" t="s">
        <v>352</v>
      </c>
      <c r="B63" s="19" t="str">
        <f>VLOOKUP(A63,Sheet1!A:E,5,0)</f>
        <v>Jonathan Clark</v>
      </c>
      <c r="C63" s="19" t="str">
        <f>VLOOKUP(A63,Sheet1!A:I,9,0)</f>
        <v>Male</v>
      </c>
      <c r="D63" s="19">
        <f>VLOOKUP(A63,Sheet1!A:K,11,0)</f>
        <v>58</v>
      </c>
      <c r="E63" s="19" t="str">
        <f>VLOOKUP(A63,Sheet1!A:M,13,0)</f>
        <v>China</v>
      </c>
      <c r="F63" s="19" t="str">
        <f>VLOOKUP(A63,Sheet1!A:N,14,0)</f>
        <v>Mandarin</v>
      </c>
      <c r="G63" s="19" t="str">
        <f>VLOOKUP(A63,Sheet1!A:O,15,0)</f>
        <v>Machine Learning</v>
      </c>
      <c r="H63" s="19">
        <f>VLOOKUP(A63,Sheet1!A:Q,17,0)</f>
        <v>9</v>
      </c>
      <c r="I63" s="20">
        <f>VLOOKUP(A63,Sheet1!A:V,22,0)</f>
        <v>20</v>
      </c>
      <c r="J63" s="21">
        <f>VLOOKUP(A63,Sheet1!A:X,24,0)</f>
        <v>0</v>
      </c>
      <c r="K63" s="19" t="str">
        <f>VLOOKUP(A63,Sheet1!A:AB,28,0)</f>
        <v>No</v>
      </c>
      <c r="L63" s="27">
        <f>VLOOKUP(A63,Sheet1!A:AD,30,0)</f>
        <v>65</v>
      </c>
    </row>
    <row r="64" spans="1:12" x14ac:dyDescent="0.3">
      <c r="A64" s="14" t="s">
        <v>527</v>
      </c>
      <c r="B64" s="19" t="str">
        <f>VLOOKUP(A64,Sheet1!A:E,5,0)</f>
        <v>Karen Larsen</v>
      </c>
      <c r="C64" s="19" t="str">
        <f>VLOOKUP(A64,Sheet1!A:I,9,0)</f>
        <v>Female</v>
      </c>
      <c r="D64" s="19">
        <f>VLOOKUP(A64,Sheet1!A:K,11,0)</f>
        <v>58</v>
      </c>
      <c r="E64" s="19" t="str">
        <f>VLOOKUP(A64,Sheet1!A:M,13,0)</f>
        <v>Spain</v>
      </c>
      <c r="F64" s="19" t="str">
        <f>VLOOKUP(A64,Sheet1!A:N,14,0)</f>
        <v>Spanish</v>
      </c>
      <c r="G64" s="19" t="str">
        <f>VLOOKUP(A64,Sheet1!A:O,15,0)</f>
        <v>Mobile Apps</v>
      </c>
      <c r="H64" s="19">
        <f>VLOOKUP(A64,Sheet1!A:Q,17,0)</f>
        <v>4</v>
      </c>
      <c r="I64" s="20">
        <f>VLOOKUP(A64,Sheet1!A:V,22,0)</f>
        <v>50</v>
      </c>
      <c r="J64" s="21">
        <f>VLOOKUP(A64,Sheet1!A:X,24,0)</f>
        <v>3.1</v>
      </c>
      <c r="K64" s="19" t="str">
        <f>VLOOKUP(A64,Sheet1!A:AB,28,0)</f>
        <v>No</v>
      </c>
      <c r="L64" s="27">
        <f>VLOOKUP(A64,Sheet1!A:AD,30,0)</f>
        <v>90</v>
      </c>
    </row>
    <row r="65" spans="1:12" x14ac:dyDescent="0.3">
      <c r="A65" s="14" t="s">
        <v>1085</v>
      </c>
      <c r="B65" s="19" t="str">
        <f>VLOOKUP(A65,Sheet1!A:E,5,0)</f>
        <v>Kevin Flores</v>
      </c>
      <c r="C65" s="19" t="str">
        <f>VLOOKUP(A65,Sheet1!A:I,9,0)</f>
        <v>Male</v>
      </c>
      <c r="D65" s="19">
        <f>VLOOKUP(A65,Sheet1!A:K,11,0)</f>
        <v>58</v>
      </c>
      <c r="E65" s="19" t="str">
        <f>VLOOKUP(A65,Sheet1!A:M,13,0)</f>
        <v>Netherlands</v>
      </c>
      <c r="F65" s="19" t="str">
        <f>VLOOKUP(A65,Sheet1!A:N,14,0)</f>
        <v>Dutch</v>
      </c>
      <c r="G65" s="19" t="str">
        <f>VLOOKUP(A65,Sheet1!A:O,15,0)</f>
        <v>Blockchain Development</v>
      </c>
      <c r="H65" s="19">
        <f>VLOOKUP(A65,Sheet1!A:Q,17,0)</f>
        <v>33</v>
      </c>
      <c r="I65" s="20">
        <f>VLOOKUP(A65,Sheet1!A:V,22,0)</f>
        <v>53.515283842794759</v>
      </c>
      <c r="J65" s="21">
        <f>VLOOKUP(A65,Sheet1!A:X,24,0)</f>
        <v>4.0999999999999996</v>
      </c>
      <c r="K65" s="19" t="str">
        <f>VLOOKUP(A65,Sheet1!A:AB,28,0)</f>
        <v>Yes</v>
      </c>
      <c r="L65" s="27">
        <f>VLOOKUP(A65,Sheet1!A:AD,30,0)</f>
        <v>83</v>
      </c>
    </row>
    <row r="66" spans="1:12" x14ac:dyDescent="0.3">
      <c r="A66" s="14" t="s">
        <v>220</v>
      </c>
      <c r="B66" s="19" t="str">
        <f>VLOOKUP(A66,Sheet1!A:E,5,0)</f>
        <v>Leah Phelps</v>
      </c>
      <c r="C66" s="19" t="str">
        <f>VLOOKUP(A66,Sheet1!A:I,9,0)</f>
        <v>Female</v>
      </c>
      <c r="D66" s="19">
        <f>VLOOKUP(A66,Sheet1!A:K,11,0)</f>
        <v>58</v>
      </c>
      <c r="E66" s="19" t="str">
        <f>VLOOKUP(A66,Sheet1!A:M,13,0)</f>
        <v>Indonesia</v>
      </c>
      <c r="F66" s="19" t="str">
        <f>VLOOKUP(A66,Sheet1!A:N,14,0)</f>
        <v>Indonesian</v>
      </c>
      <c r="G66" s="19" t="str">
        <f>VLOOKUP(A66,Sheet1!A:O,15,0)</f>
        <v>Data Analysis</v>
      </c>
      <c r="H66" s="19">
        <f>VLOOKUP(A66,Sheet1!A:Q,17,0)</f>
        <v>35</v>
      </c>
      <c r="I66" s="20">
        <f>VLOOKUP(A66,Sheet1!A:V,22,0)</f>
        <v>50</v>
      </c>
      <c r="J66" s="21">
        <f>VLOOKUP(A66,Sheet1!A:X,24,0)</f>
        <v>4.7</v>
      </c>
      <c r="K66" s="19" t="str">
        <f>VLOOKUP(A66,Sheet1!A:AB,28,0)</f>
        <v>No</v>
      </c>
      <c r="L66" s="27">
        <f>VLOOKUP(A66,Sheet1!A:AD,30,0)</f>
        <v>70</v>
      </c>
    </row>
    <row r="67" spans="1:12" x14ac:dyDescent="0.3">
      <c r="A67" s="14" t="s">
        <v>307</v>
      </c>
      <c r="B67" s="19" t="str">
        <f>VLOOKUP(A67,Sheet1!A:E,5,0)</f>
        <v>Mark Paul</v>
      </c>
      <c r="C67" s="19" t="str">
        <f>VLOOKUP(A67,Sheet1!A:I,9,0)</f>
        <v>Male</v>
      </c>
      <c r="D67" s="19">
        <f>VLOOKUP(A67,Sheet1!A:K,11,0)</f>
        <v>58</v>
      </c>
      <c r="E67" s="19" t="str">
        <f>VLOOKUP(A67,Sheet1!A:M,13,0)</f>
        <v>Russia</v>
      </c>
      <c r="F67" s="19" t="str">
        <f>VLOOKUP(A67,Sheet1!A:N,14,0)</f>
        <v>Russian</v>
      </c>
      <c r="G67" s="19" t="str">
        <f>VLOOKUP(A67,Sheet1!A:O,15,0)</f>
        <v>Blockchain Development</v>
      </c>
      <c r="H67" s="19">
        <f>VLOOKUP(A67,Sheet1!A:Q,17,0)</f>
        <v>3</v>
      </c>
      <c r="I67" s="20">
        <f>VLOOKUP(A67,Sheet1!A:V,22,0)</f>
        <v>52.364864864864863</v>
      </c>
      <c r="J67" s="21">
        <f>VLOOKUP(A67,Sheet1!A:X,24,0)</f>
        <v>0</v>
      </c>
      <c r="K67" s="19" t="str">
        <f>VLOOKUP(A67,Sheet1!A:AB,28,0)</f>
        <v>Yes</v>
      </c>
      <c r="L67" s="27">
        <f>VLOOKUP(A67,Sheet1!A:AD,30,0)</f>
        <v>79.442645074224018</v>
      </c>
    </row>
    <row r="68" spans="1:12" x14ac:dyDescent="0.3">
      <c r="A68" s="14" t="s">
        <v>665</v>
      </c>
      <c r="B68" s="19" t="str">
        <f>VLOOKUP(A68,Sheet1!A:E,5,0)</f>
        <v>Mary Reed</v>
      </c>
      <c r="C68" s="19" t="str">
        <f>VLOOKUP(A68,Sheet1!A:I,9,0)</f>
        <v>Female</v>
      </c>
      <c r="D68" s="19">
        <f>VLOOKUP(A68,Sheet1!A:K,11,0)</f>
        <v>58</v>
      </c>
      <c r="E68" s="19" t="str">
        <f>VLOOKUP(A68,Sheet1!A:M,13,0)</f>
        <v>South Africa</v>
      </c>
      <c r="F68" s="19" t="str">
        <f>VLOOKUP(A68,Sheet1!A:N,14,0)</f>
        <v>Afrikaans</v>
      </c>
      <c r="G68" s="19" t="str">
        <f>VLOOKUP(A68,Sheet1!A:O,15,0)</f>
        <v>Cybersecurity</v>
      </c>
      <c r="H68" s="19">
        <f>VLOOKUP(A68,Sheet1!A:Q,17,0)</f>
        <v>11</v>
      </c>
      <c r="I68" s="20">
        <f>VLOOKUP(A68,Sheet1!A:V,22,0)</f>
        <v>50</v>
      </c>
      <c r="J68" s="21">
        <f>VLOOKUP(A68,Sheet1!A:X,24,0)</f>
        <v>0</v>
      </c>
      <c r="K68" s="19" t="str">
        <f>VLOOKUP(A68,Sheet1!A:AB,28,0)</f>
        <v>No</v>
      </c>
      <c r="L68" s="27">
        <f>VLOOKUP(A68,Sheet1!A:AD,30,0)</f>
        <v>79.505902192242829</v>
      </c>
    </row>
    <row r="69" spans="1:12" x14ac:dyDescent="0.3">
      <c r="A69" s="14" t="s">
        <v>1640</v>
      </c>
      <c r="B69" s="19" t="str">
        <f>VLOOKUP(A69,Sheet1!A:E,5,0)</f>
        <v>Melissa Vasquez</v>
      </c>
      <c r="C69" s="19" t="str">
        <f>VLOOKUP(A69,Sheet1!A:I,9,0)</f>
        <v>Female</v>
      </c>
      <c r="D69" s="19">
        <f>VLOOKUP(A69,Sheet1!A:K,11,0)</f>
        <v>58</v>
      </c>
      <c r="E69" s="19" t="str">
        <f>VLOOKUP(A69,Sheet1!A:M,13,0)</f>
        <v>Mexico</v>
      </c>
      <c r="F69" s="19" t="str">
        <f>VLOOKUP(A69,Sheet1!A:N,14,0)</f>
        <v>Spanish</v>
      </c>
      <c r="G69" s="19" t="str">
        <f>VLOOKUP(A69,Sheet1!A:O,15,0)</f>
        <v>DevOps</v>
      </c>
      <c r="H69" s="19">
        <f>VLOOKUP(A69,Sheet1!A:Q,17,0)</f>
        <v>30</v>
      </c>
      <c r="I69" s="20">
        <f>VLOOKUP(A69,Sheet1!A:V,22,0)</f>
        <v>50</v>
      </c>
      <c r="J69" s="21">
        <f>VLOOKUP(A69,Sheet1!A:X,24,0)</f>
        <v>1.3</v>
      </c>
      <c r="K69" s="19" t="str">
        <f>VLOOKUP(A69,Sheet1!A:AB,28,0)</f>
        <v>Yes</v>
      </c>
      <c r="L69" s="27">
        <f>VLOOKUP(A69,Sheet1!A:AD,30,0)</f>
        <v>87</v>
      </c>
    </row>
    <row r="70" spans="1:12" x14ac:dyDescent="0.3">
      <c r="A70" s="14" t="s">
        <v>887</v>
      </c>
      <c r="B70" s="19" t="str">
        <f>VLOOKUP(A70,Sheet1!A:E,5,0)</f>
        <v>Mindy York</v>
      </c>
      <c r="C70" s="19" t="str">
        <f>VLOOKUP(A70,Sheet1!A:I,9,0)</f>
        <v>Female</v>
      </c>
      <c r="D70" s="19">
        <f>VLOOKUP(A70,Sheet1!A:K,11,0)</f>
        <v>58</v>
      </c>
      <c r="E70" s="19" t="str">
        <f>VLOOKUP(A70,Sheet1!A:M,13,0)</f>
        <v>Argentina</v>
      </c>
      <c r="F70" s="19" t="str">
        <f>VLOOKUP(A70,Sheet1!A:N,14,0)</f>
        <v>Spanish</v>
      </c>
      <c r="G70" s="19" t="str">
        <f>VLOOKUP(A70,Sheet1!A:O,15,0)</f>
        <v>Data Analysis</v>
      </c>
      <c r="H70" s="19">
        <f>VLOOKUP(A70,Sheet1!A:Q,17,0)</f>
        <v>0</v>
      </c>
      <c r="I70" s="20">
        <f>VLOOKUP(A70,Sheet1!A:V,22,0)</f>
        <v>50</v>
      </c>
      <c r="J70" s="21">
        <f>VLOOKUP(A70,Sheet1!A:X,24,0)</f>
        <v>2.2999999999999998</v>
      </c>
      <c r="K70" s="19" t="str">
        <f>VLOOKUP(A70,Sheet1!A:AB,28,0)</f>
        <v>No</v>
      </c>
      <c r="L70" s="27">
        <f>VLOOKUP(A70,Sheet1!A:AD,30,0)</f>
        <v>77</v>
      </c>
    </row>
    <row r="71" spans="1:12" x14ac:dyDescent="0.3">
      <c r="A71" s="14" t="s">
        <v>1512</v>
      </c>
      <c r="B71" s="19" t="str">
        <f>VLOOKUP(A71,Sheet1!A:E,5,0)</f>
        <v>Rebecca Barker</v>
      </c>
      <c r="C71" s="19" t="str">
        <f>VLOOKUP(A71,Sheet1!A:I,9,0)</f>
        <v>Female</v>
      </c>
      <c r="D71" s="19">
        <f>VLOOKUP(A71,Sheet1!A:K,11,0)</f>
        <v>58</v>
      </c>
      <c r="E71" s="19" t="str">
        <f>VLOOKUP(A71,Sheet1!A:M,13,0)</f>
        <v>Canada</v>
      </c>
      <c r="F71" s="19" t="str">
        <f>VLOOKUP(A71,Sheet1!A:N,14,0)</f>
        <v>English</v>
      </c>
      <c r="G71" s="19" t="str">
        <f>VLOOKUP(A71,Sheet1!A:O,15,0)</f>
        <v>Cybersecurity</v>
      </c>
      <c r="H71" s="19">
        <f>VLOOKUP(A71,Sheet1!A:Q,17,0)</f>
        <v>20</v>
      </c>
      <c r="I71" s="20">
        <f>VLOOKUP(A71,Sheet1!A:V,22,0)</f>
        <v>75</v>
      </c>
      <c r="J71" s="21">
        <f>VLOOKUP(A71,Sheet1!A:X,24,0)</f>
        <v>3.6</v>
      </c>
      <c r="K71" s="19" t="str">
        <f>VLOOKUP(A71,Sheet1!A:AB,28,0)</f>
        <v>Yes</v>
      </c>
      <c r="L71" s="27">
        <f>VLOOKUP(A71,Sheet1!A:AD,30,0)</f>
        <v>78</v>
      </c>
    </row>
    <row r="72" spans="1:12" x14ac:dyDescent="0.3">
      <c r="A72" s="14" t="s">
        <v>1409</v>
      </c>
      <c r="B72" s="19" t="str">
        <f>VLOOKUP(A72,Sheet1!A:E,5,0)</f>
        <v>Richard Dominguez</v>
      </c>
      <c r="C72" s="19" t="str">
        <f>VLOOKUP(A72,Sheet1!A:I,9,0)</f>
        <v>Male</v>
      </c>
      <c r="D72" s="19">
        <f>VLOOKUP(A72,Sheet1!A:K,11,0)</f>
        <v>58</v>
      </c>
      <c r="E72" s="19" t="str">
        <f>VLOOKUP(A72,Sheet1!A:M,13,0)</f>
        <v>China</v>
      </c>
      <c r="F72" s="19" t="str">
        <f>VLOOKUP(A72,Sheet1!A:N,14,0)</f>
        <v>Mandarin</v>
      </c>
      <c r="G72" s="19" t="str">
        <f>VLOOKUP(A72,Sheet1!A:O,15,0)</f>
        <v>AI</v>
      </c>
      <c r="H72" s="19">
        <f>VLOOKUP(A72,Sheet1!A:Q,17,0)</f>
        <v>11</v>
      </c>
      <c r="I72" s="20">
        <f>VLOOKUP(A72,Sheet1!A:V,22,0)</f>
        <v>100</v>
      </c>
      <c r="J72" s="21">
        <f>VLOOKUP(A72,Sheet1!A:X,24,0)</f>
        <v>4.3</v>
      </c>
      <c r="K72" s="19" t="str">
        <f>VLOOKUP(A72,Sheet1!A:AB,28,0)</f>
        <v>No</v>
      </c>
      <c r="L72" s="27">
        <f>VLOOKUP(A72,Sheet1!A:AD,30,0)</f>
        <v>66</v>
      </c>
    </row>
    <row r="73" spans="1:12" x14ac:dyDescent="0.3">
      <c r="A73" s="14" t="s">
        <v>478</v>
      </c>
      <c r="B73" s="19" t="str">
        <f>VLOOKUP(A73,Sheet1!A:E,5,0)</f>
        <v>Troy Carson</v>
      </c>
      <c r="C73" s="19" t="str">
        <f>VLOOKUP(A73,Sheet1!A:I,9,0)</f>
        <v>Male</v>
      </c>
      <c r="D73" s="19">
        <f>VLOOKUP(A73,Sheet1!A:K,11,0)</f>
        <v>58</v>
      </c>
      <c r="E73" s="19" t="str">
        <f>VLOOKUP(A73,Sheet1!A:M,13,0)</f>
        <v>Australia</v>
      </c>
      <c r="F73" s="19" t="str">
        <f>VLOOKUP(A73,Sheet1!A:N,14,0)</f>
        <v>English</v>
      </c>
      <c r="G73" s="19" t="str">
        <f>VLOOKUP(A73,Sheet1!A:O,15,0)</f>
        <v>Graphic Design</v>
      </c>
      <c r="H73" s="19">
        <f>VLOOKUP(A73,Sheet1!A:Q,17,0)</f>
        <v>20</v>
      </c>
      <c r="I73" s="20">
        <f>VLOOKUP(A73,Sheet1!A:V,22,0)</f>
        <v>75</v>
      </c>
      <c r="J73" s="21">
        <f>VLOOKUP(A73,Sheet1!A:X,24,0)</f>
        <v>2.8</v>
      </c>
      <c r="K73" s="19" t="str">
        <f>VLOOKUP(A73,Sheet1!A:AB,28,0)</f>
        <v>No</v>
      </c>
      <c r="L73" s="27">
        <f>VLOOKUP(A73,Sheet1!A:AD,30,0)</f>
        <v>75</v>
      </c>
    </row>
    <row r="74" spans="1:12" x14ac:dyDescent="0.3">
      <c r="A74" s="14" t="s">
        <v>2042</v>
      </c>
      <c r="B74" s="19" t="str">
        <f>VLOOKUP(A74,Sheet1!A:E,5,0)</f>
        <v>Alan Mendoza</v>
      </c>
      <c r="C74" s="19" t="str">
        <f>VLOOKUP(A74,Sheet1!A:I,9,0)</f>
        <v>Male</v>
      </c>
      <c r="D74" s="19">
        <f>VLOOKUP(A74,Sheet1!A:K,11,0)</f>
        <v>57</v>
      </c>
      <c r="E74" s="19" t="str">
        <f>VLOOKUP(A74,Sheet1!A:M,13,0)</f>
        <v>United Kingdom</v>
      </c>
      <c r="F74" s="19" t="str">
        <f>VLOOKUP(A74,Sheet1!A:N,14,0)</f>
        <v>English</v>
      </c>
      <c r="G74" s="19" t="str">
        <f>VLOOKUP(A74,Sheet1!A:O,15,0)</f>
        <v>Cybersecurity</v>
      </c>
      <c r="H74" s="19">
        <f>VLOOKUP(A74,Sheet1!A:Q,17,0)</f>
        <v>29</v>
      </c>
      <c r="I74" s="20">
        <f>VLOOKUP(A74,Sheet1!A:V,22,0)</f>
        <v>75</v>
      </c>
      <c r="J74" s="21">
        <f>VLOOKUP(A74,Sheet1!A:X,24,0)</f>
        <v>4.0999999999999996</v>
      </c>
      <c r="K74" s="19" t="str">
        <f>VLOOKUP(A74,Sheet1!A:AB,28,0)</f>
        <v>No</v>
      </c>
      <c r="L74" s="27">
        <f>VLOOKUP(A74,Sheet1!A:AD,30,0)</f>
        <v>90</v>
      </c>
    </row>
    <row r="75" spans="1:12" x14ac:dyDescent="0.3">
      <c r="A75" s="14" t="s">
        <v>84</v>
      </c>
      <c r="B75" s="19" t="str">
        <f>VLOOKUP(A75,Sheet1!A:E,5,0)</f>
        <v>Alice Schneider</v>
      </c>
      <c r="C75" s="19" t="str">
        <f>VLOOKUP(A75,Sheet1!A:I,9,0)</f>
        <v>Female</v>
      </c>
      <c r="D75" s="19">
        <f>VLOOKUP(A75,Sheet1!A:K,11,0)</f>
        <v>57</v>
      </c>
      <c r="E75" s="19" t="str">
        <f>VLOOKUP(A75,Sheet1!A:M,13,0)</f>
        <v>United Kingdom</v>
      </c>
      <c r="F75" s="19" t="str">
        <f>VLOOKUP(A75,Sheet1!A:N,14,0)</f>
        <v>English</v>
      </c>
      <c r="G75" s="19" t="str">
        <f>VLOOKUP(A75,Sheet1!A:O,15,0)</f>
        <v>Cybersecurity</v>
      </c>
      <c r="H75" s="19">
        <f>VLOOKUP(A75,Sheet1!A:Q,17,0)</f>
        <v>18</v>
      </c>
      <c r="I75" s="20">
        <f>VLOOKUP(A75,Sheet1!A:V,22,0)</f>
        <v>52.427455357142854</v>
      </c>
      <c r="J75" s="21">
        <f>VLOOKUP(A75,Sheet1!A:X,24,0)</f>
        <v>2</v>
      </c>
      <c r="K75" s="19" t="str">
        <f>VLOOKUP(A75,Sheet1!A:AB,28,0)</f>
        <v>No</v>
      </c>
      <c r="L75" s="27">
        <f>VLOOKUP(A75,Sheet1!A:AD,30,0)</f>
        <v>86</v>
      </c>
    </row>
    <row r="76" spans="1:12" x14ac:dyDescent="0.3">
      <c r="A76" s="14" t="s">
        <v>446</v>
      </c>
      <c r="B76" s="19" t="str">
        <f>VLOOKUP(A76,Sheet1!A:E,5,0)</f>
        <v>Amanda Jones</v>
      </c>
      <c r="C76" s="19" t="str">
        <f>VLOOKUP(A76,Sheet1!A:I,9,0)</f>
        <v>Female</v>
      </c>
      <c r="D76" s="19">
        <f>VLOOKUP(A76,Sheet1!A:K,11,0)</f>
        <v>57</v>
      </c>
      <c r="E76" s="19" t="str">
        <f>VLOOKUP(A76,Sheet1!A:M,13,0)</f>
        <v>Australia</v>
      </c>
      <c r="F76" s="19" t="str">
        <f>VLOOKUP(A76,Sheet1!A:N,14,0)</f>
        <v>English</v>
      </c>
      <c r="G76" s="19" t="str">
        <f>VLOOKUP(A76,Sheet1!A:O,15,0)</f>
        <v>Graphic Design</v>
      </c>
      <c r="H76" s="19">
        <f>VLOOKUP(A76,Sheet1!A:Q,17,0)</f>
        <v>17</v>
      </c>
      <c r="I76" s="20">
        <f>VLOOKUP(A76,Sheet1!A:V,22,0)</f>
        <v>20</v>
      </c>
      <c r="J76" s="21">
        <f>VLOOKUP(A76,Sheet1!A:X,24,0)</f>
        <v>3.6</v>
      </c>
      <c r="K76" s="19" t="str">
        <f>VLOOKUP(A76,Sheet1!A:AB,28,0)</f>
        <v>No</v>
      </c>
      <c r="L76" s="27">
        <f>VLOOKUP(A76,Sheet1!A:AD,30,0)</f>
        <v>63</v>
      </c>
    </row>
    <row r="77" spans="1:12" x14ac:dyDescent="0.3">
      <c r="A77" s="14" t="s">
        <v>1369</v>
      </c>
      <c r="B77" s="19" t="str">
        <f>VLOOKUP(A77,Sheet1!A:E,5,0)</f>
        <v>Andrew Barnes</v>
      </c>
      <c r="C77" s="19" t="str">
        <f>VLOOKUP(A77,Sheet1!A:I,9,0)</f>
        <v>Male</v>
      </c>
      <c r="D77" s="19">
        <f>VLOOKUP(A77,Sheet1!A:K,11,0)</f>
        <v>57</v>
      </c>
      <c r="E77" s="19" t="str">
        <f>VLOOKUP(A77,Sheet1!A:M,13,0)</f>
        <v>Mexico</v>
      </c>
      <c r="F77" s="19" t="str">
        <f>VLOOKUP(A77,Sheet1!A:N,14,0)</f>
        <v>Spanish</v>
      </c>
      <c r="G77" s="19" t="str">
        <f>VLOOKUP(A77,Sheet1!A:O,15,0)</f>
        <v>Mobile Apps</v>
      </c>
      <c r="H77" s="19">
        <f>VLOOKUP(A77,Sheet1!A:Q,17,0)</f>
        <v>18</v>
      </c>
      <c r="I77" s="20">
        <f>VLOOKUP(A77,Sheet1!A:V,22,0)</f>
        <v>30</v>
      </c>
      <c r="J77" s="21">
        <f>VLOOKUP(A77,Sheet1!A:X,24,0)</f>
        <v>1.1000000000000001</v>
      </c>
      <c r="K77" s="19" t="str">
        <f>VLOOKUP(A77,Sheet1!A:AB,28,0)</f>
        <v>No</v>
      </c>
      <c r="L77" s="27">
        <f>VLOOKUP(A77,Sheet1!A:AD,30,0)</f>
        <v>90</v>
      </c>
    </row>
    <row r="78" spans="1:12" x14ac:dyDescent="0.3">
      <c r="A78" s="14" t="s">
        <v>607</v>
      </c>
      <c r="B78" s="19" t="str">
        <f>VLOOKUP(A78,Sheet1!A:E,5,0)</f>
        <v>Brenda Reeves</v>
      </c>
      <c r="C78" s="19" t="str">
        <f>VLOOKUP(A78,Sheet1!A:I,9,0)</f>
        <v>Female</v>
      </c>
      <c r="D78" s="19">
        <f>VLOOKUP(A78,Sheet1!A:K,11,0)</f>
        <v>57</v>
      </c>
      <c r="E78" s="19" t="str">
        <f>VLOOKUP(A78,Sheet1!A:M,13,0)</f>
        <v>Australia</v>
      </c>
      <c r="F78" s="19" t="str">
        <f>VLOOKUP(A78,Sheet1!A:N,14,0)</f>
        <v>English</v>
      </c>
      <c r="G78" s="19" t="str">
        <f>VLOOKUP(A78,Sheet1!A:O,15,0)</f>
        <v>Blockchain Development</v>
      </c>
      <c r="H78" s="19">
        <f>VLOOKUP(A78,Sheet1!A:Q,17,0)</f>
        <v>30</v>
      </c>
      <c r="I78" s="20">
        <f>VLOOKUP(A78,Sheet1!A:V,22,0)</f>
        <v>30</v>
      </c>
      <c r="J78" s="21">
        <f>VLOOKUP(A78,Sheet1!A:X,24,0)</f>
        <v>2.4</v>
      </c>
      <c r="K78" s="19" t="str">
        <f>VLOOKUP(A78,Sheet1!A:AB,28,0)</f>
        <v>Unknown</v>
      </c>
      <c r="L78" s="27">
        <f>VLOOKUP(A78,Sheet1!A:AD,30,0)</f>
        <v>80</v>
      </c>
    </row>
    <row r="79" spans="1:12" x14ac:dyDescent="0.3">
      <c r="A79" s="14" t="s">
        <v>1828</v>
      </c>
      <c r="B79" s="19" t="str">
        <f>VLOOKUP(A79,Sheet1!A:E,5,0)</f>
        <v>Caleb Guerra</v>
      </c>
      <c r="C79" s="19" t="str">
        <f>VLOOKUP(A79,Sheet1!A:I,9,0)</f>
        <v>Male</v>
      </c>
      <c r="D79" s="19">
        <f>VLOOKUP(A79,Sheet1!A:K,11,0)</f>
        <v>57</v>
      </c>
      <c r="E79" s="19" t="str">
        <f>VLOOKUP(A79,Sheet1!A:M,13,0)</f>
        <v>Mexico</v>
      </c>
      <c r="F79" s="19" t="str">
        <f>VLOOKUP(A79,Sheet1!A:N,14,0)</f>
        <v>Spanish</v>
      </c>
      <c r="G79" s="19" t="str">
        <f>VLOOKUP(A79,Sheet1!A:O,15,0)</f>
        <v>Mobile Apps</v>
      </c>
      <c r="H79" s="19">
        <f>VLOOKUP(A79,Sheet1!A:Q,17,0)</f>
        <v>21</v>
      </c>
      <c r="I79" s="20">
        <f>VLOOKUP(A79,Sheet1!A:V,22,0)</f>
        <v>75</v>
      </c>
      <c r="J79" s="21">
        <f>VLOOKUP(A79,Sheet1!A:X,24,0)</f>
        <v>2</v>
      </c>
      <c r="K79" s="19" t="str">
        <f>VLOOKUP(A79,Sheet1!A:AB,28,0)</f>
        <v>No</v>
      </c>
      <c r="L79" s="27">
        <f>VLOOKUP(A79,Sheet1!A:AD,30,0)</f>
        <v>96</v>
      </c>
    </row>
    <row r="80" spans="1:12" x14ac:dyDescent="0.3">
      <c r="A80" s="14" t="s">
        <v>1323</v>
      </c>
      <c r="B80" s="19" t="str">
        <f>VLOOKUP(A80,Sheet1!A:E,5,0)</f>
        <v>Daniel Quinn</v>
      </c>
      <c r="C80" s="19" t="str">
        <f>VLOOKUP(A80,Sheet1!A:I,9,0)</f>
        <v>Male</v>
      </c>
      <c r="D80" s="19">
        <f>VLOOKUP(A80,Sheet1!A:K,11,0)</f>
        <v>57</v>
      </c>
      <c r="E80" s="19" t="str">
        <f>VLOOKUP(A80,Sheet1!A:M,13,0)</f>
        <v>Indonesia</v>
      </c>
      <c r="F80" s="19" t="str">
        <f>VLOOKUP(A80,Sheet1!A:N,14,0)</f>
        <v>Indonesian</v>
      </c>
      <c r="G80" s="19" t="str">
        <f>VLOOKUP(A80,Sheet1!A:O,15,0)</f>
        <v>Graphic Design</v>
      </c>
      <c r="H80" s="19">
        <f>VLOOKUP(A80,Sheet1!A:Q,17,0)</f>
        <v>26</v>
      </c>
      <c r="I80" s="20">
        <f>VLOOKUP(A80,Sheet1!A:V,22,0)</f>
        <v>100</v>
      </c>
      <c r="J80" s="21">
        <f>VLOOKUP(A80,Sheet1!A:X,24,0)</f>
        <v>2.4</v>
      </c>
      <c r="K80" s="19" t="str">
        <f>VLOOKUP(A80,Sheet1!A:AB,28,0)</f>
        <v>Yes</v>
      </c>
      <c r="L80" s="27">
        <f>VLOOKUP(A80,Sheet1!A:AD,30,0)</f>
        <v>78</v>
      </c>
    </row>
    <row r="81" spans="1:12" x14ac:dyDescent="0.3">
      <c r="A81" s="14" t="s">
        <v>1379</v>
      </c>
      <c r="B81" s="19" t="str">
        <f>VLOOKUP(A81,Sheet1!A:E,5,0)</f>
        <v>Dean Finley</v>
      </c>
      <c r="C81" s="19" t="str">
        <f>VLOOKUP(A81,Sheet1!A:I,9,0)</f>
        <v>Male</v>
      </c>
      <c r="D81" s="19">
        <f>VLOOKUP(A81,Sheet1!A:K,11,0)</f>
        <v>57</v>
      </c>
      <c r="E81" s="19" t="str">
        <f>VLOOKUP(A81,Sheet1!A:M,13,0)</f>
        <v>Germany</v>
      </c>
      <c r="F81" s="19" t="str">
        <f>VLOOKUP(A81,Sheet1!A:N,14,0)</f>
        <v>German</v>
      </c>
      <c r="G81" s="19" t="str">
        <f>VLOOKUP(A81,Sheet1!A:O,15,0)</f>
        <v>Graphic Design</v>
      </c>
      <c r="H81" s="19">
        <f>VLOOKUP(A81,Sheet1!A:Q,17,0)</f>
        <v>4</v>
      </c>
      <c r="I81" s="20">
        <f>VLOOKUP(A81,Sheet1!A:V,22,0)</f>
        <v>30</v>
      </c>
      <c r="J81" s="21">
        <f>VLOOKUP(A81,Sheet1!A:X,24,0)</f>
        <v>4.2</v>
      </c>
      <c r="K81" s="19" t="str">
        <f>VLOOKUP(A81,Sheet1!A:AB,28,0)</f>
        <v>No</v>
      </c>
      <c r="L81" s="27">
        <f>VLOOKUP(A81,Sheet1!A:AD,30,0)</f>
        <v>79.916387959866228</v>
      </c>
    </row>
    <row r="82" spans="1:12" x14ac:dyDescent="0.3">
      <c r="A82" s="14" t="s">
        <v>1570</v>
      </c>
      <c r="B82" s="19" t="str">
        <f>VLOOKUP(A82,Sheet1!A:E,5,0)</f>
        <v>Gregory Brown</v>
      </c>
      <c r="C82" s="19" t="str">
        <f>VLOOKUP(A82,Sheet1!A:I,9,0)</f>
        <v>Male</v>
      </c>
      <c r="D82" s="19">
        <f>VLOOKUP(A82,Sheet1!A:K,11,0)</f>
        <v>57</v>
      </c>
      <c r="E82" s="19" t="str">
        <f>VLOOKUP(A82,Sheet1!A:M,13,0)</f>
        <v>Italy</v>
      </c>
      <c r="F82" s="19" t="str">
        <f>VLOOKUP(A82,Sheet1!A:N,14,0)</f>
        <v>Italian</v>
      </c>
      <c r="G82" s="19" t="str">
        <f>VLOOKUP(A82,Sheet1!A:O,15,0)</f>
        <v>Web Development</v>
      </c>
      <c r="H82" s="19">
        <f>VLOOKUP(A82,Sheet1!A:Q,17,0)</f>
        <v>31</v>
      </c>
      <c r="I82" s="20">
        <f>VLOOKUP(A82,Sheet1!A:V,22,0)</f>
        <v>50</v>
      </c>
      <c r="J82" s="21">
        <f>VLOOKUP(A82,Sheet1!A:X,24,0)</f>
        <v>3</v>
      </c>
      <c r="K82" s="19" t="str">
        <f>VLOOKUP(A82,Sheet1!A:AB,28,0)</f>
        <v>Yes</v>
      </c>
      <c r="L82" s="27">
        <f>VLOOKUP(A82,Sheet1!A:AD,30,0)</f>
        <v>87</v>
      </c>
    </row>
    <row r="83" spans="1:12" x14ac:dyDescent="0.3">
      <c r="A83" s="14" t="s">
        <v>517</v>
      </c>
      <c r="B83" s="19" t="str">
        <f>VLOOKUP(A83,Sheet1!A:E,5,0)</f>
        <v>Jacob Kerr</v>
      </c>
      <c r="C83" s="19" t="str">
        <f>VLOOKUP(A83,Sheet1!A:I,9,0)</f>
        <v>Male</v>
      </c>
      <c r="D83" s="19">
        <f>VLOOKUP(A83,Sheet1!A:K,11,0)</f>
        <v>57</v>
      </c>
      <c r="E83" s="19" t="str">
        <f>VLOOKUP(A83,Sheet1!A:M,13,0)</f>
        <v>South Korea</v>
      </c>
      <c r="F83" s="19" t="str">
        <f>VLOOKUP(A83,Sheet1!A:N,14,0)</f>
        <v>Korean</v>
      </c>
      <c r="G83" s="19" t="str">
        <f>VLOOKUP(A83,Sheet1!A:O,15,0)</f>
        <v>Cybersecurity</v>
      </c>
      <c r="H83" s="19">
        <f>VLOOKUP(A83,Sheet1!A:Q,17,0)</f>
        <v>8</v>
      </c>
      <c r="I83" s="20">
        <f>VLOOKUP(A83,Sheet1!A:V,22,0)</f>
        <v>20</v>
      </c>
      <c r="J83" s="21">
        <f>VLOOKUP(A83,Sheet1!A:X,24,0)</f>
        <v>0</v>
      </c>
      <c r="K83" s="19" t="str">
        <f>VLOOKUP(A83,Sheet1!A:AB,28,0)</f>
        <v>Yes</v>
      </c>
      <c r="L83" s="27">
        <f>VLOOKUP(A83,Sheet1!A:AD,30,0)</f>
        <v>84</v>
      </c>
    </row>
    <row r="84" spans="1:12" x14ac:dyDescent="0.3">
      <c r="A84" s="14" t="s">
        <v>1209</v>
      </c>
      <c r="B84" s="19" t="str">
        <f>VLOOKUP(A84,Sheet1!A:E,5,0)</f>
        <v>Janet Barron</v>
      </c>
      <c r="C84" s="19" t="str">
        <f>VLOOKUP(A84,Sheet1!A:I,9,0)</f>
        <v>Female</v>
      </c>
      <c r="D84" s="19">
        <f>VLOOKUP(A84,Sheet1!A:K,11,0)</f>
        <v>57</v>
      </c>
      <c r="E84" s="19" t="str">
        <f>VLOOKUP(A84,Sheet1!A:M,13,0)</f>
        <v>South Africa</v>
      </c>
      <c r="F84" s="19" t="str">
        <f>VLOOKUP(A84,Sheet1!A:N,14,0)</f>
        <v>Afrikaans</v>
      </c>
      <c r="G84" s="19" t="str">
        <f>VLOOKUP(A84,Sheet1!A:O,15,0)</f>
        <v>Cybersecurity</v>
      </c>
      <c r="H84" s="19">
        <f>VLOOKUP(A84,Sheet1!A:Q,17,0)</f>
        <v>33</v>
      </c>
      <c r="I84" s="20">
        <f>VLOOKUP(A84,Sheet1!A:V,22,0)</f>
        <v>100</v>
      </c>
      <c r="J84" s="21">
        <f>VLOOKUP(A84,Sheet1!A:X,24,0)</f>
        <v>3.5</v>
      </c>
      <c r="K84" s="19" t="str">
        <f>VLOOKUP(A84,Sheet1!A:AB,28,0)</f>
        <v>No</v>
      </c>
      <c r="L84" s="27">
        <f>VLOOKUP(A84,Sheet1!A:AD,30,0)</f>
        <v>74</v>
      </c>
    </row>
    <row r="85" spans="1:12" x14ac:dyDescent="0.3">
      <c r="A85" s="14" t="s">
        <v>305</v>
      </c>
      <c r="B85" s="19" t="str">
        <f>VLOOKUP(A85,Sheet1!A:E,5,0)</f>
        <v>Jasmin Ho</v>
      </c>
      <c r="C85" s="19" t="str">
        <f>VLOOKUP(A85,Sheet1!A:I,9,0)</f>
        <v>Female</v>
      </c>
      <c r="D85" s="19">
        <f>VLOOKUP(A85,Sheet1!A:K,11,0)</f>
        <v>57</v>
      </c>
      <c r="E85" s="19" t="str">
        <f>VLOOKUP(A85,Sheet1!A:M,13,0)</f>
        <v>France</v>
      </c>
      <c r="F85" s="19" t="str">
        <f>VLOOKUP(A85,Sheet1!A:N,14,0)</f>
        <v>French</v>
      </c>
      <c r="G85" s="19" t="str">
        <f>VLOOKUP(A85,Sheet1!A:O,15,0)</f>
        <v>DevOps</v>
      </c>
      <c r="H85" s="19">
        <f>VLOOKUP(A85,Sheet1!A:Q,17,0)</f>
        <v>21</v>
      </c>
      <c r="I85" s="20">
        <f>VLOOKUP(A85,Sheet1!A:V,22,0)</f>
        <v>40</v>
      </c>
      <c r="J85" s="21">
        <f>VLOOKUP(A85,Sheet1!A:X,24,0)</f>
        <v>2.5</v>
      </c>
      <c r="K85" s="19" t="str">
        <f>VLOOKUP(A85,Sheet1!A:AB,28,0)</f>
        <v>No</v>
      </c>
      <c r="L85" s="27">
        <f>VLOOKUP(A85,Sheet1!A:AD,30,0)</f>
        <v>77</v>
      </c>
    </row>
    <row r="86" spans="1:12" x14ac:dyDescent="0.3">
      <c r="A86" s="14" t="s">
        <v>1792</v>
      </c>
      <c r="B86" s="19" t="str">
        <f>VLOOKUP(A86,Sheet1!A:E,5,0)</f>
        <v>Jennifer Pierce</v>
      </c>
      <c r="C86" s="19" t="str">
        <f>VLOOKUP(A86,Sheet1!A:I,9,0)</f>
        <v>Female</v>
      </c>
      <c r="D86" s="19">
        <f>VLOOKUP(A86,Sheet1!A:K,11,0)</f>
        <v>57</v>
      </c>
      <c r="E86" s="19" t="str">
        <f>VLOOKUP(A86,Sheet1!A:M,13,0)</f>
        <v>India</v>
      </c>
      <c r="F86" s="19" t="str">
        <f>VLOOKUP(A86,Sheet1!A:N,14,0)</f>
        <v>Hindi</v>
      </c>
      <c r="G86" s="19" t="str">
        <f>VLOOKUP(A86,Sheet1!A:O,15,0)</f>
        <v>UI/UX Design</v>
      </c>
      <c r="H86" s="19">
        <f>VLOOKUP(A86,Sheet1!A:Q,17,0)</f>
        <v>10</v>
      </c>
      <c r="I86" s="20">
        <f>VLOOKUP(A86,Sheet1!A:V,22,0)</f>
        <v>100</v>
      </c>
      <c r="J86" s="21">
        <f>VLOOKUP(A86,Sheet1!A:X,24,0)</f>
        <v>4.3</v>
      </c>
      <c r="K86" s="19" t="str">
        <f>VLOOKUP(A86,Sheet1!A:AB,28,0)</f>
        <v>No</v>
      </c>
      <c r="L86" s="27">
        <f>VLOOKUP(A86,Sheet1!A:AD,30,0)</f>
        <v>80.290322580645167</v>
      </c>
    </row>
    <row r="87" spans="1:12" x14ac:dyDescent="0.3">
      <c r="A87" s="14" t="s">
        <v>1109</v>
      </c>
      <c r="B87" s="19" t="str">
        <f>VLOOKUP(A87,Sheet1!A:E,5,0)</f>
        <v>John Rios</v>
      </c>
      <c r="C87" s="19" t="str">
        <f>VLOOKUP(A87,Sheet1!A:I,9,0)</f>
        <v>Male</v>
      </c>
      <c r="D87" s="19">
        <f>VLOOKUP(A87,Sheet1!A:K,11,0)</f>
        <v>57</v>
      </c>
      <c r="E87" s="19" t="str">
        <f>VLOOKUP(A87,Sheet1!A:M,13,0)</f>
        <v>Brazil</v>
      </c>
      <c r="F87" s="19" t="str">
        <f>VLOOKUP(A87,Sheet1!A:N,14,0)</f>
        <v>Portuguese</v>
      </c>
      <c r="G87" s="19" t="str">
        <f>VLOOKUP(A87,Sheet1!A:O,15,0)</f>
        <v>Web Development</v>
      </c>
      <c r="H87" s="19">
        <f>VLOOKUP(A87,Sheet1!A:Q,17,0)</f>
        <v>5</v>
      </c>
      <c r="I87" s="20">
        <f>VLOOKUP(A87,Sheet1!A:V,22,0)</f>
        <v>75</v>
      </c>
      <c r="J87" s="21">
        <f>VLOOKUP(A87,Sheet1!A:X,24,0)</f>
        <v>1.1000000000000001</v>
      </c>
      <c r="K87" s="19" t="str">
        <f>VLOOKUP(A87,Sheet1!A:AB,28,0)</f>
        <v>Yes</v>
      </c>
      <c r="L87" s="27">
        <f>VLOOKUP(A87,Sheet1!A:AD,30,0)</f>
        <v>77</v>
      </c>
    </row>
    <row r="88" spans="1:12" x14ac:dyDescent="0.3">
      <c r="A88" s="14" t="s">
        <v>358</v>
      </c>
      <c r="B88" s="19" t="str">
        <f>VLOOKUP(A88,Sheet1!A:E,5,0)</f>
        <v>Kaitlyn Davis</v>
      </c>
      <c r="C88" s="19" t="str">
        <f>VLOOKUP(A88,Sheet1!A:I,9,0)</f>
        <v>Female</v>
      </c>
      <c r="D88" s="19">
        <f>VLOOKUP(A88,Sheet1!A:K,11,0)</f>
        <v>57</v>
      </c>
      <c r="E88" s="19" t="str">
        <f>VLOOKUP(A88,Sheet1!A:M,13,0)</f>
        <v>France</v>
      </c>
      <c r="F88" s="19" t="str">
        <f>VLOOKUP(A88,Sheet1!A:N,14,0)</f>
        <v>French</v>
      </c>
      <c r="G88" s="19" t="str">
        <f>VLOOKUP(A88,Sheet1!A:O,15,0)</f>
        <v>Machine Learning</v>
      </c>
      <c r="H88" s="19">
        <f>VLOOKUP(A88,Sheet1!A:Q,17,0)</f>
        <v>0</v>
      </c>
      <c r="I88" s="20">
        <f>VLOOKUP(A88,Sheet1!A:V,22,0)</f>
        <v>50</v>
      </c>
      <c r="J88" s="21">
        <f>VLOOKUP(A88,Sheet1!A:X,24,0)</f>
        <v>1.6</v>
      </c>
      <c r="K88" s="19" t="str">
        <f>VLOOKUP(A88,Sheet1!A:AB,28,0)</f>
        <v>No</v>
      </c>
      <c r="L88" s="27">
        <f>VLOOKUP(A88,Sheet1!A:AD,30,0)</f>
        <v>60</v>
      </c>
    </row>
    <row r="89" spans="1:12" x14ac:dyDescent="0.3">
      <c r="A89" s="14" t="s">
        <v>1040</v>
      </c>
      <c r="B89" s="19" t="str">
        <f>VLOOKUP(A89,Sheet1!A:E,5,0)</f>
        <v>Kayla Meyers</v>
      </c>
      <c r="C89" s="19" t="str">
        <f>VLOOKUP(A89,Sheet1!A:I,9,0)</f>
        <v>Female</v>
      </c>
      <c r="D89" s="19">
        <f>VLOOKUP(A89,Sheet1!A:K,11,0)</f>
        <v>57</v>
      </c>
      <c r="E89" s="19" t="str">
        <f>VLOOKUP(A89,Sheet1!A:M,13,0)</f>
        <v>China</v>
      </c>
      <c r="F89" s="19" t="str">
        <f>VLOOKUP(A89,Sheet1!A:N,14,0)</f>
        <v>Mandarin</v>
      </c>
      <c r="G89" s="19" t="str">
        <f>VLOOKUP(A89,Sheet1!A:O,15,0)</f>
        <v>Blockchain Development</v>
      </c>
      <c r="H89" s="19">
        <f>VLOOKUP(A89,Sheet1!A:Q,17,0)</f>
        <v>19</v>
      </c>
      <c r="I89" s="20">
        <f>VLOOKUP(A89,Sheet1!A:V,22,0)</f>
        <v>75</v>
      </c>
      <c r="J89" s="21">
        <f>VLOOKUP(A89,Sheet1!A:X,24,0)</f>
        <v>4.8</v>
      </c>
      <c r="K89" s="19" t="str">
        <f>VLOOKUP(A89,Sheet1!A:AB,28,0)</f>
        <v>Yes</v>
      </c>
      <c r="L89" s="27">
        <f>VLOOKUP(A89,Sheet1!A:AD,30,0)</f>
        <v>79.510250569476085</v>
      </c>
    </row>
    <row r="90" spans="1:12" x14ac:dyDescent="0.3">
      <c r="A90" s="14" t="s">
        <v>769</v>
      </c>
      <c r="B90" s="19" t="str">
        <f>VLOOKUP(A90,Sheet1!A:E,5,0)</f>
        <v>Lori Miller</v>
      </c>
      <c r="C90" s="19" t="str">
        <f>VLOOKUP(A90,Sheet1!A:I,9,0)</f>
        <v>Female</v>
      </c>
      <c r="D90" s="19">
        <f>VLOOKUP(A90,Sheet1!A:K,11,0)</f>
        <v>57</v>
      </c>
      <c r="E90" s="19" t="str">
        <f>VLOOKUP(A90,Sheet1!A:M,13,0)</f>
        <v>Turkey</v>
      </c>
      <c r="F90" s="19" t="str">
        <f>VLOOKUP(A90,Sheet1!A:N,14,0)</f>
        <v>Turkish</v>
      </c>
      <c r="G90" s="19" t="str">
        <f>VLOOKUP(A90,Sheet1!A:O,15,0)</f>
        <v>Data Analysis</v>
      </c>
      <c r="H90" s="19">
        <f>VLOOKUP(A90,Sheet1!A:Q,17,0)</f>
        <v>2</v>
      </c>
      <c r="I90" s="20">
        <f>VLOOKUP(A90,Sheet1!A:V,22,0)</f>
        <v>40</v>
      </c>
      <c r="J90" s="21">
        <f>VLOOKUP(A90,Sheet1!A:X,24,0)</f>
        <v>0</v>
      </c>
      <c r="K90" s="19" t="str">
        <f>VLOOKUP(A90,Sheet1!A:AB,28,0)</f>
        <v>No</v>
      </c>
      <c r="L90" s="27">
        <f>VLOOKUP(A90,Sheet1!A:AD,30,0)</f>
        <v>60</v>
      </c>
    </row>
    <row r="91" spans="1:12" x14ac:dyDescent="0.3">
      <c r="A91" s="14" t="s">
        <v>968</v>
      </c>
      <c r="B91" s="19" t="str">
        <f>VLOOKUP(A91,Sheet1!A:E,5,0)</f>
        <v>Marvin Moore</v>
      </c>
      <c r="C91" s="19" t="str">
        <f>VLOOKUP(A91,Sheet1!A:I,9,0)</f>
        <v>Male</v>
      </c>
      <c r="D91" s="19">
        <f>VLOOKUP(A91,Sheet1!A:K,11,0)</f>
        <v>57</v>
      </c>
      <c r="E91" s="19" t="str">
        <f>VLOOKUP(A91,Sheet1!A:M,13,0)</f>
        <v>United States</v>
      </c>
      <c r="F91" s="19" t="str">
        <f>VLOOKUP(A91,Sheet1!A:N,14,0)</f>
        <v>English</v>
      </c>
      <c r="G91" s="19" t="str">
        <f>VLOOKUP(A91,Sheet1!A:O,15,0)</f>
        <v>UI/UX Design</v>
      </c>
      <c r="H91" s="19">
        <f>VLOOKUP(A91,Sheet1!A:Q,17,0)</f>
        <v>13</v>
      </c>
      <c r="I91" s="20">
        <f>VLOOKUP(A91,Sheet1!A:V,22,0)</f>
        <v>100</v>
      </c>
      <c r="J91" s="21">
        <f>VLOOKUP(A91,Sheet1!A:X,24,0)</f>
        <v>3.5</v>
      </c>
      <c r="K91" s="19" t="str">
        <f>VLOOKUP(A91,Sheet1!A:AB,28,0)</f>
        <v>No</v>
      </c>
      <c r="L91" s="27">
        <f>VLOOKUP(A91,Sheet1!A:AD,30,0)</f>
        <v>95</v>
      </c>
    </row>
    <row r="92" spans="1:12" x14ac:dyDescent="0.3">
      <c r="A92" s="14" t="s">
        <v>109</v>
      </c>
      <c r="B92" s="19" t="str">
        <f>VLOOKUP(A92,Sheet1!A:E,5,0)</f>
        <v>Matthew Lawson</v>
      </c>
      <c r="C92" s="19" t="str">
        <f>VLOOKUP(A92,Sheet1!A:I,9,0)</f>
        <v>Male</v>
      </c>
      <c r="D92" s="19">
        <f>VLOOKUP(A92,Sheet1!A:K,11,0)</f>
        <v>57</v>
      </c>
      <c r="E92" s="19" t="str">
        <f>VLOOKUP(A92,Sheet1!A:M,13,0)</f>
        <v>Italy</v>
      </c>
      <c r="F92" s="19" t="str">
        <f>VLOOKUP(A92,Sheet1!A:N,14,0)</f>
        <v>Italian</v>
      </c>
      <c r="G92" s="19" t="str">
        <f>VLOOKUP(A92,Sheet1!A:O,15,0)</f>
        <v>Web Development</v>
      </c>
      <c r="H92" s="19">
        <f>VLOOKUP(A92,Sheet1!A:Q,17,0)</f>
        <v>3</v>
      </c>
      <c r="I92" s="20">
        <f>VLOOKUP(A92,Sheet1!A:V,22,0)</f>
        <v>100</v>
      </c>
      <c r="J92" s="21">
        <f>VLOOKUP(A92,Sheet1!A:X,24,0)</f>
        <v>1.8</v>
      </c>
      <c r="K92" s="19" t="str">
        <f>VLOOKUP(A92,Sheet1!A:AB,28,0)</f>
        <v>Yes</v>
      </c>
      <c r="L92" s="27">
        <f>VLOOKUP(A92,Sheet1!A:AD,30,0)</f>
        <v>68</v>
      </c>
    </row>
    <row r="93" spans="1:12" x14ac:dyDescent="0.3">
      <c r="A93" s="14" t="s">
        <v>277</v>
      </c>
      <c r="B93" s="19" t="str">
        <f>VLOOKUP(A93,Sheet1!A:E,5,0)</f>
        <v>Miranda Hutchinson</v>
      </c>
      <c r="C93" s="19" t="str">
        <f>VLOOKUP(A93,Sheet1!A:I,9,0)</f>
        <v>Female</v>
      </c>
      <c r="D93" s="19">
        <f>VLOOKUP(A93,Sheet1!A:K,11,0)</f>
        <v>57</v>
      </c>
      <c r="E93" s="19" t="str">
        <f>VLOOKUP(A93,Sheet1!A:M,13,0)</f>
        <v>Canada</v>
      </c>
      <c r="F93" s="19" t="str">
        <f>VLOOKUP(A93,Sheet1!A:N,14,0)</f>
        <v>English</v>
      </c>
      <c r="G93" s="19" t="str">
        <f>VLOOKUP(A93,Sheet1!A:O,15,0)</f>
        <v>Cybersecurity</v>
      </c>
      <c r="H93" s="19">
        <f>VLOOKUP(A93,Sheet1!A:Q,17,0)</f>
        <v>18</v>
      </c>
      <c r="I93" s="20">
        <f>VLOOKUP(A93,Sheet1!A:V,22,0)</f>
        <v>50</v>
      </c>
      <c r="J93" s="21">
        <f>VLOOKUP(A93,Sheet1!A:X,24,0)</f>
        <v>2.4</v>
      </c>
      <c r="K93" s="19" t="str">
        <f>VLOOKUP(A93,Sheet1!A:AB,28,0)</f>
        <v>Yes</v>
      </c>
      <c r="L93" s="27">
        <f>VLOOKUP(A93,Sheet1!A:AD,30,0)</f>
        <v>63</v>
      </c>
    </row>
    <row r="94" spans="1:12" x14ac:dyDescent="0.3">
      <c r="A94" s="14" t="s">
        <v>2000</v>
      </c>
      <c r="B94" s="19" t="str">
        <f>VLOOKUP(A94,Sheet1!A:E,5,0)</f>
        <v>Rhonda Hines</v>
      </c>
      <c r="C94" s="19" t="str">
        <f>VLOOKUP(A94,Sheet1!A:I,9,0)</f>
        <v>Female</v>
      </c>
      <c r="D94" s="19">
        <f>VLOOKUP(A94,Sheet1!A:K,11,0)</f>
        <v>57</v>
      </c>
      <c r="E94" s="19" t="str">
        <f>VLOOKUP(A94,Sheet1!A:M,13,0)</f>
        <v>Australia</v>
      </c>
      <c r="F94" s="19" t="str">
        <f>VLOOKUP(A94,Sheet1!A:N,14,0)</f>
        <v>English</v>
      </c>
      <c r="G94" s="19" t="str">
        <f>VLOOKUP(A94,Sheet1!A:O,15,0)</f>
        <v>AI</v>
      </c>
      <c r="H94" s="19">
        <f>VLOOKUP(A94,Sheet1!A:Q,17,0)</f>
        <v>5</v>
      </c>
      <c r="I94" s="20">
        <f>VLOOKUP(A94,Sheet1!A:V,22,0)</f>
        <v>100</v>
      </c>
      <c r="J94" s="21">
        <f>VLOOKUP(A94,Sheet1!A:X,24,0)</f>
        <v>0</v>
      </c>
      <c r="K94" s="19" t="str">
        <f>VLOOKUP(A94,Sheet1!A:AB,28,0)</f>
        <v>Yes</v>
      </c>
      <c r="L94" s="27">
        <f>VLOOKUP(A94,Sheet1!A:AD,30,0)</f>
        <v>80</v>
      </c>
    </row>
    <row r="95" spans="1:12" x14ac:dyDescent="0.3">
      <c r="A95" s="14" t="s">
        <v>271</v>
      </c>
      <c r="B95" s="19" t="str">
        <f>VLOOKUP(A95,Sheet1!A:E,5,0)</f>
        <v>Ronald Barrett</v>
      </c>
      <c r="C95" s="19" t="str">
        <f>VLOOKUP(A95,Sheet1!A:I,9,0)</f>
        <v>Male</v>
      </c>
      <c r="D95" s="19">
        <f>VLOOKUP(A95,Sheet1!A:K,11,0)</f>
        <v>57</v>
      </c>
      <c r="E95" s="19" t="str">
        <f>VLOOKUP(A95,Sheet1!A:M,13,0)</f>
        <v>Russia</v>
      </c>
      <c r="F95" s="19" t="str">
        <f>VLOOKUP(A95,Sheet1!A:N,14,0)</f>
        <v>Russian</v>
      </c>
      <c r="G95" s="19" t="str">
        <f>VLOOKUP(A95,Sheet1!A:O,15,0)</f>
        <v>AI</v>
      </c>
      <c r="H95" s="19">
        <f>VLOOKUP(A95,Sheet1!A:Q,17,0)</f>
        <v>16</v>
      </c>
      <c r="I95" s="20">
        <f>VLOOKUP(A95,Sheet1!A:V,22,0)</f>
        <v>100</v>
      </c>
      <c r="J95" s="21">
        <f>VLOOKUP(A95,Sheet1!A:X,24,0)</f>
        <v>3.1</v>
      </c>
      <c r="K95" s="19" t="str">
        <f>VLOOKUP(A95,Sheet1!A:AB,28,0)</f>
        <v>No</v>
      </c>
      <c r="L95" s="27">
        <f>VLOOKUP(A95,Sheet1!A:AD,30,0)</f>
        <v>79.411609498680733</v>
      </c>
    </row>
    <row r="96" spans="1:12" x14ac:dyDescent="0.3">
      <c r="A96" s="14" t="s">
        <v>1335</v>
      </c>
      <c r="B96" s="19" t="str">
        <f>VLOOKUP(A96,Sheet1!A:E,5,0)</f>
        <v>Samuel Patterson</v>
      </c>
      <c r="C96" s="19" t="str">
        <f>VLOOKUP(A96,Sheet1!A:I,9,0)</f>
        <v>Male</v>
      </c>
      <c r="D96" s="19">
        <f>VLOOKUP(A96,Sheet1!A:K,11,0)</f>
        <v>57</v>
      </c>
      <c r="E96" s="19" t="str">
        <f>VLOOKUP(A96,Sheet1!A:M,13,0)</f>
        <v>Mexico</v>
      </c>
      <c r="F96" s="19" t="str">
        <f>VLOOKUP(A96,Sheet1!A:N,14,0)</f>
        <v>Spanish</v>
      </c>
      <c r="G96" s="19" t="str">
        <f>VLOOKUP(A96,Sheet1!A:O,15,0)</f>
        <v>Machine Learning</v>
      </c>
      <c r="H96" s="19">
        <f>VLOOKUP(A96,Sheet1!A:Q,17,0)</f>
        <v>37</v>
      </c>
      <c r="I96" s="20">
        <f>VLOOKUP(A96,Sheet1!A:V,22,0)</f>
        <v>30</v>
      </c>
      <c r="J96" s="21">
        <f>VLOOKUP(A96,Sheet1!A:X,24,0)</f>
        <v>4.8</v>
      </c>
      <c r="K96" s="19" t="str">
        <f>VLOOKUP(A96,Sheet1!A:AB,28,0)</f>
        <v>No</v>
      </c>
      <c r="L96" s="27">
        <f>VLOOKUP(A96,Sheet1!A:AD,30,0)</f>
        <v>79.861635220125791</v>
      </c>
    </row>
    <row r="97" spans="1:12" x14ac:dyDescent="0.3">
      <c r="A97" s="14" t="s">
        <v>328</v>
      </c>
      <c r="B97" s="19" t="str">
        <f>VLOOKUP(A97,Sheet1!A:E,5,0)</f>
        <v>Teresa Kim</v>
      </c>
      <c r="C97" s="19" t="str">
        <f>VLOOKUP(A97,Sheet1!A:I,9,0)</f>
        <v>Female</v>
      </c>
      <c r="D97" s="19">
        <f>VLOOKUP(A97,Sheet1!A:K,11,0)</f>
        <v>57</v>
      </c>
      <c r="E97" s="19" t="str">
        <f>VLOOKUP(A97,Sheet1!A:M,13,0)</f>
        <v>Egypt</v>
      </c>
      <c r="F97" s="19" t="str">
        <f>VLOOKUP(A97,Sheet1!A:N,14,0)</f>
        <v>Arabic</v>
      </c>
      <c r="G97" s="19" t="str">
        <f>VLOOKUP(A97,Sheet1!A:O,15,0)</f>
        <v>UI/UX Design</v>
      </c>
      <c r="H97" s="19">
        <f>VLOOKUP(A97,Sheet1!A:Q,17,0)</f>
        <v>4</v>
      </c>
      <c r="I97" s="20">
        <f>VLOOKUP(A97,Sheet1!A:V,22,0)</f>
        <v>40</v>
      </c>
      <c r="J97" s="21">
        <f>VLOOKUP(A97,Sheet1!A:X,24,0)</f>
        <v>3.4</v>
      </c>
      <c r="K97" s="19" t="str">
        <f>VLOOKUP(A97,Sheet1!A:AB,28,0)</f>
        <v>Yes</v>
      </c>
      <c r="L97" s="27">
        <f>VLOOKUP(A97,Sheet1!A:AD,30,0)</f>
        <v>68</v>
      </c>
    </row>
    <row r="98" spans="1:12" x14ac:dyDescent="0.3">
      <c r="A98" s="14" t="s">
        <v>1760</v>
      </c>
      <c r="B98" s="19" t="str">
        <f>VLOOKUP(A98,Sheet1!A:E,5,0)</f>
        <v>Toni Hinton</v>
      </c>
      <c r="C98" s="19" t="str">
        <f>VLOOKUP(A98,Sheet1!A:I,9,0)</f>
        <v>Female</v>
      </c>
      <c r="D98" s="19">
        <f>VLOOKUP(A98,Sheet1!A:K,11,0)</f>
        <v>57</v>
      </c>
      <c r="E98" s="19" t="str">
        <f>VLOOKUP(A98,Sheet1!A:M,13,0)</f>
        <v>United Kingdom</v>
      </c>
      <c r="F98" s="19" t="str">
        <f>VLOOKUP(A98,Sheet1!A:N,14,0)</f>
        <v>English</v>
      </c>
      <c r="G98" s="19" t="str">
        <f>VLOOKUP(A98,Sheet1!A:O,15,0)</f>
        <v>DevOps</v>
      </c>
      <c r="H98" s="19">
        <f>VLOOKUP(A98,Sheet1!A:Q,17,0)</f>
        <v>11</v>
      </c>
      <c r="I98" s="20">
        <f>VLOOKUP(A98,Sheet1!A:V,22,0)</f>
        <v>75</v>
      </c>
      <c r="J98" s="21">
        <f>VLOOKUP(A98,Sheet1!A:X,24,0)</f>
        <v>2.2999999999999998</v>
      </c>
      <c r="K98" s="19" t="str">
        <f>VLOOKUP(A98,Sheet1!A:AB,28,0)</f>
        <v>No</v>
      </c>
      <c r="L98" s="27">
        <f>VLOOKUP(A98,Sheet1!A:AD,30,0)</f>
        <v>80.095588235294116</v>
      </c>
    </row>
    <row r="99" spans="1:12" x14ac:dyDescent="0.3">
      <c r="A99" s="14" t="s">
        <v>1532</v>
      </c>
      <c r="B99" s="19" t="str">
        <f>VLOOKUP(A99,Sheet1!A:E,5,0)</f>
        <v>Travis Braun</v>
      </c>
      <c r="C99" s="19" t="str">
        <f>VLOOKUP(A99,Sheet1!A:I,9,0)</f>
        <v>Male</v>
      </c>
      <c r="D99" s="19">
        <f>VLOOKUP(A99,Sheet1!A:K,11,0)</f>
        <v>57</v>
      </c>
      <c r="E99" s="19" t="str">
        <f>VLOOKUP(A99,Sheet1!A:M,13,0)</f>
        <v>Spain</v>
      </c>
      <c r="F99" s="19" t="str">
        <f>VLOOKUP(A99,Sheet1!A:N,14,0)</f>
        <v>Spanish</v>
      </c>
      <c r="G99" s="19" t="str">
        <f>VLOOKUP(A99,Sheet1!A:O,15,0)</f>
        <v>Blockchain Development</v>
      </c>
      <c r="H99" s="19">
        <f>VLOOKUP(A99,Sheet1!A:Q,17,0)</f>
        <v>11</v>
      </c>
      <c r="I99" s="20">
        <f>VLOOKUP(A99,Sheet1!A:V,22,0)</f>
        <v>20</v>
      </c>
      <c r="J99" s="21">
        <f>VLOOKUP(A99,Sheet1!A:X,24,0)</f>
        <v>4.9000000000000004</v>
      </c>
      <c r="K99" s="19" t="str">
        <f>VLOOKUP(A99,Sheet1!A:AB,28,0)</f>
        <v>Yes</v>
      </c>
      <c r="L99" s="27">
        <f>VLOOKUP(A99,Sheet1!A:AD,30,0)</f>
        <v>79.857740585774053</v>
      </c>
    </row>
    <row r="100" spans="1:12" x14ac:dyDescent="0.3">
      <c r="A100" s="14" t="s">
        <v>1199</v>
      </c>
      <c r="B100" s="19" t="str">
        <f>VLOOKUP(A100,Sheet1!A:E,5,0)</f>
        <v>Wayne Barnes</v>
      </c>
      <c r="C100" s="19" t="str">
        <f>VLOOKUP(A100,Sheet1!A:I,9,0)</f>
        <v>Male</v>
      </c>
      <c r="D100" s="19">
        <f>VLOOKUP(A100,Sheet1!A:K,11,0)</f>
        <v>57</v>
      </c>
      <c r="E100" s="19" t="str">
        <f>VLOOKUP(A100,Sheet1!A:M,13,0)</f>
        <v>Italy</v>
      </c>
      <c r="F100" s="19" t="str">
        <f>VLOOKUP(A100,Sheet1!A:N,14,0)</f>
        <v>Italian</v>
      </c>
      <c r="G100" s="19" t="str">
        <f>VLOOKUP(A100,Sheet1!A:O,15,0)</f>
        <v>Blockchain Development</v>
      </c>
      <c r="H100" s="19">
        <f>VLOOKUP(A100,Sheet1!A:Q,17,0)</f>
        <v>7</v>
      </c>
      <c r="I100" s="20">
        <f>VLOOKUP(A100,Sheet1!A:V,22,0)</f>
        <v>30</v>
      </c>
      <c r="J100" s="21">
        <f>VLOOKUP(A100,Sheet1!A:X,24,0)</f>
        <v>1.6</v>
      </c>
      <c r="K100" s="19" t="str">
        <f>VLOOKUP(A100,Sheet1!A:AB,28,0)</f>
        <v>No</v>
      </c>
      <c r="L100" s="27">
        <f>VLOOKUP(A100,Sheet1!A:AD,30,0)</f>
        <v>79.946236559139791</v>
      </c>
    </row>
    <row r="101" spans="1:12" x14ac:dyDescent="0.3">
      <c r="A101" s="14" t="s">
        <v>2078</v>
      </c>
      <c r="B101" s="19" t="str">
        <f>VLOOKUP(A101,Sheet1!A:E,5,0)</f>
        <v>Albert Wilcox</v>
      </c>
      <c r="C101" s="19" t="str">
        <f>VLOOKUP(A101,Sheet1!A:I,9,0)</f>
        <v>Male</v>
      </c>
      <c r="D101" s="19">
        <f>VLOOKUP(A101,Sheet1!A:K,11,0)</f>
        <v>56</v>
      </c>
      <c r="E101" s="19" t="str">
        <f>VLOOKUP(A101,Sheet1!A:M,13,0)</f>
        <v>Turkey</v>
      </c>
      <c r="F101" s="19" t="str">
        <f>VLOOKUP(A101,Sheet1!A:N,14,0)</f>
        <v>Turkish</v>
      </c>
      <c r="G101" s="19" t="str">
        <f>VLOOKUP(A101,Sheet1!A:O,15,0)</f>
        <v>DevOps</v>
      </c>
      <c r="H101" s="19">
        <f>VLOOKUP(A101,Sheet1!A:Q,17,0)</f>
        <v>13</v>
      </c>
      <c r="I101" s="20">
        <f>VLOOKUP(A101,Sheet1!A:V,22,0)</f>
        <v>100</v>
      </c>
      <c r="J101" s="21">
        <f>VLOOKUP(A101,Sheet1!A:X,24,0)</f>
        <v>0</v>
      </c>
      <c r="K101" s="19" t="str">
        <f>VLOOKUP(A101,Sheet1!A:AB,28,0)</f>
        <v>No</v>
      </c>
      <c r="L101" s="27">
        <f>VLOOKUP(A101,Sheet1!A:AD,30,0)</f>
        <v>68</v>
      </c>
    </row>
    <row r="102" spans="1:12" x14ac:dyDescent="0.3">
      <c r="A102" s="14" t="s">
        <v>803</v>
      </c>
      <c r="B102" s="19" t="str">
        <f>VLOOKUP(A102,Sheet1!A:E,5,0)</f>
        <v>Alexa Gallegos</v>
      </c>
      <c r="C102" s="19" t="str">
        <f>VLOOKUP(A102,Sheet1!A:I,9,0)</f>
        <v>Female</v>
      </c>
      <c r="D102" s="19">
        <f>VLOOKUP(A102,Sheet1!A:K,11,0)</f>
        <v>56</v>
      </c>
      <c r="E102" s="19" t="str">
        <f>VLOOKUP(A102,Sheet1!A:M,13,0)</f>
        <v>Japan</v>
      </c>
      <c r="F102" s="19" t="str">
        <f>VLOOKUP(A102,Sheet1!A:N,14,0)</f>
        <v>Japanese</v>
      </c>
      <c r="G102" s="19" t="str">
        <f>VLOOKUP(A102,Sheet1!A:O,15,0)</f>
        <v>Graphic Design</v>
      </c>
      <c r="H102" s="19">
        <f>VLOOKUP(A102,Sheet1!A:Q,17,0)</f>
        <v>32</v>
      </c>
      <c r="I102" s="20">
        <f>VLOOKUP(A102,Sheet1!A:V,22,0)</f>
        <v>40</v>
      </c>
      <c r="J102" s="21">
        <f>VLOOKUP(A102,Sheet1!A:X,24,0)</f>
        <v>0</v>
      </c>
      <c r="K102" s="19" t="str">
        <f>VLOOKUP(A102,Sheet1!A:AB,28,0)</f>
        <v>Yes</v>
      </c>
      <c r="L102" s="27">
        <f>VLOOKUP(A102,Sheet1!A:AD,30,0)</f>
        <v>86</v>
      </c>
    </row>
    <row r="103" spans="1:12" x14ac:dyDescent="0.3">
      <c r="A103" s="14" t="s">
        <v>685</v>
      </c>
      <c r="B103" s="19" t="str">
        <f>VLOOKUP(A103,Sheet1!A:E,5,0)</f>
        <v>Amy Lee</v>
      </c>
      <c r="C103" s="19" t="str">
        <f>VLOOKUP(A103,Sheet1!A:I,9,0)</f>
        <v>Female</v>
      </c>
      <c r="D103" s="19">
        <f>VLOOKUP(A103,Sheet1!A:K,11,0)</f>
        <v>56</v>
      </c>
      <c r="E103" s="19" t="str">
        <f>VLOOKUP(A103,Sheet1!A:M,13,0)</f>
        <v>United Kingdom</v>
      </c>
      <c r="F103" s="19" t="str">
        <f>VLOOKUP(A103,Sheet1!A:N,14,0)</f>
        <v>English</v>
      </c>
      <c r="G103" s="19" t="str">
        <f>VLOOKUP(A103,Sheet1!A:O,15,0)</f>
        <v>DevOps</v>
      </c>
      <c r="H103" s="19">
        <f>VLOOKUP(A103,Sheet1!A:Q,17,0)</f>
        <v>34</v>
      </c>
      <c r="I103" s="20">
        <f>VLOOKUP(A103,Sheet1!A:V,22,0)</f>
        <v>52.515576323987538</v>
      </c>
      <c r="J103" s="21">
        <f>VLOOKUP(A103,Sheet1!A:X,24,0)</f>
        <v>2.1</v>
      </c>
      <c r="K103" s="19" t="str">
        <f>VLOOKUP(A103,Sheet1!A:AB,28,0)</f>
        <v>Yes</v>
      </c>
      <c r="L103" s="27">
        <f>VLOOKUP(A103,Sheet1!A:AD,30,0)</f>
        <v>84</v>
      </c>
    </row>
    <row r="104" spans="1:12" x14ac:dyDescent="0.3">
      <c r="A104" s="14" t="s">
        <v>1239</v>
      </c>
      <c r="B104" s="19" t="str">
        <f>VLOOKUP(A104,Sheet1!A:E,5,0)</f>
        <v>Ariana Pittman</v>
      </c>
      <c r="C104" s="19" t="str">
        <f>VLOOKUP(A104,Sheet1!A:I,9,0)</f>
        <v>Female</v>
      </c>
      <c r="D104" s="19">
        <f>VLOOKUP(A104,Sheet1!A:K,11,0)</f>
        <v>56</v>
      </c>
      <c r="E104" s="19" t="str">
        <f>VLOOKUP(A104,Sheet1!A:M,13,0)</f>
        <v>Mexico</v>
      </c>
      <c r="F104" s="19" t="str">
        <f>VLOOKUP(A104,Sheet1!A:N,14,0)</f>
        <v>Spanish</v>
      </c>
      <c r="G104" s="19" t="str">
        <f>VLOOKUP(A104,Sheet1!A:O,15,0)</f>
        <v>AI</v>
      </c>
      <c r="H104" s="19">
        <f>VLOOKUP(A104,Sheet1!A:Q,17,0)</f>
        <v>3</v>
      </c>
      <c r="I104" s="20">
        <f>VLOOKUP(A104,Sheet1!A:V,22,0)</f>
        <v>30</v>
      </c>
      <c r="J104" s="21">
        <f>VLOOKUP(A104,Sheet1!A:X,24,0)</f>
        <v>3.7</v>
      </c>
      <c r="K104" s="19" t="str">
        <f>VLOOKUP(A104,Sheet1!A:AB,28,0)</f>
        <v>Unknown</v>
      </c>
      <c r="L104" s="27">
        <f>VLOOKUP(A104,Sheet1!A:AD,30,0)</f>
        <v>83</v>
      </c>
    </row>
    <row r="105" spans="1:12" x14ac:dyDescent="0.3">
      <c r="A105" s="14" t="s">
        <v>567</v>
      </c>
      <c r="B105" s="19" t="str">
        <f>VLOOKUP(A105,Sheet1!A:E,5,0)</f>
        <v>Brenda Fleming</v>
      </c>
      <c r="C105" s="19" t="str">
        <f>VLOOKUP(A105,Sheet1!A:I,9,0)</f>
        <v>Female</v>
      </c>
      <c r="D105" s="19">
        <f>VLOOKUP(A105,Sheet1!A:K,11,0)</f>
        <v>56</v>
      </c>
      <c r="E105" s="19" t="str">
        <f>VLOOKUP(A105,Sheet1!A:M,13,0)</f>
        <v>South Korea</v>
      </c>
      <c r="F105" s="19" t="str">
        <f>VLOOKUP(A105,Sheet1!A:N,14,0)</f>
        <v>Korean</v>
      </c>
      <c r="G105" s="19" t="str">
        <f>VLOOKUP(A105,Sheet1!A:O,15,0)</f>
        <v>Graphic Design</v>
      </c>
      <c r="H105" s="19">
        <f>VLOOKUP(A105,Sheet1!A:Q,17,0)</f>
        <v>27</v>
      </c>
      <c r="I105" s="20">
        <f>VLOOKUP(A105,Sheet1!A:V,22,0)</f>
        <v>100</v>
      </c>
      <c r="J105" s="21">
        <f>VLOOKUP(A105,Sheet1!A:X,24,0)</f>
        <v>4.7</v>
      </c>
      <c r="K105" s="19" t="str">
        <f>VLOOKUP(A105,Sheet1!A:AB,28,0)</f>
        <v>Yes</v>
      </c>
      <c r="L105" s="27">
        <f>VLOOKUP(A105,Sheet1!A:AD,30,0)</f>
        <v>69</v>
      </c>
    </row>
    <row r="106" spans="1:12" x14ac:dyDescent="0.3">
      <c r="A106" s="14" t="s">
        <v>1666</v>
      </c>
      <c r="B106" s="19" t="str">
        <f>VLOOKUP(A106,Sheet1!A:E,5,0)</f>
        <v>Brittany Lambert</v>
      </c>
      <c r="C106" s="19" t="str">
        <f>VLOOKUP(A106,Sheet1!A:I,9,0)</f>
        <v>Female</v>
      </c>
      <c r="D106" s="19">
        <f>VLOOKUP(A106,Sheet1!A:K,11,0)</f>
        <v>56</v>
      </c>
      <c r="E106" s="19" t="str">
        <f>VLOOKUP(A106,Sheet1!A:M,13,0)</f>
        <v>Egypt</v>
      </c>
      <c r="F106" s="19" t="str">
        <f>VLOOKUP(A106,Sheet1!A:N,14,0)</f>
        <v>Arabic</v>
      </c>
      <c r="G106" s="19" t="str">
        <f>VLOOKUP(A106,Sheet1!A:O,15,0)</f>
        <v>Graphic Design</v>
      </c>
      <c r="H106" s="19">
        <f>VLOOKUP(A106,Sheet1!A:Q,17,0)</f>
        <v>13</v>
      </c>
      <c r="I106" s="20">
        <f>VLOOKUP(A106,Sheet1!A:V,22,0)</f>
        <v>30</v>
      </c>
      <c r="J106" s="21">
        <f>VLOOKUP(A106,Sheet1!A:X,24,0)</f>
        <v>0</v>
      </c>
      <c r="K106" s="19" t="str">
        <f>VLOOKUP(A106,Sheet1!A:AB,28,0)</f>
        <v>Unknown</v>
      </c>
      <c r="L106" s="27">
        <f>VLOOKUP(A106,Sheet1!A:AD,30,0)</f>
        <v>77</v>
      </c>
    </row>
    <row r="107" spans="1:12" x14ac:dyDescent="0.3">
      <c r="A107" s="14" t="s">
        <v>410</v>
      </c>
      <c r="B107" s="19" t="str">
        <f>VLOOKUP(A107,Sheet1!A:E,5,0)</f>
        <v>Christian Lopez</v>
      </c>
      <c r="C107" s="19" t="str">
        <f>VLOOKUP(A107,Sheet1!A:I,9,0)</f>
        <v>Male</v>
      </c>
      <c r="D107" s="19">
        <f>VLOOKUP(A107,Sheet1!A:K,11,0)</f>
        <v>56</v>
      </c>
      <c r="E107" s="19" t="str">
        <f>VLOOKUP(A107,Sheet1!A:M,13,0)</f>
        <v>South Africa</v>
      </c>
      <c r="F107" s="19" t="str">
        <f>VLOOKUP(A107,Sheet1!A:N,14,0)</f>
        <v>Afrikaans</v>
      </c>
      <c r="G107" s="19" t="str">
        <f>VLOOKUP(A107,Sheet1!A:O,15,0)</f>
        <v>Data Analysis</v>
      </c>
      <c r="H107" s="19">
        <f>VLOOKUP(A107,Sheet1!A:Q,17,0)</f>
        <v>19</v>
      </c>
      <c r="I107" s="20">
        <f>VLOOKUP(A107,Sheet1!A:V,22,0)</f>
        <v>100</v>
      </c>
      <c r="J107" s="21">
        <f>VLOOKUP(A107,Sheet1!A:X,24,0)</f>
        <v>3.2</v>
      </c>
      <c r="K107" s="19" t="str">
        <f>VLOOKUP(A107,Sheet1!A:AB,28,0)</f>
        <v>No</v>
      </c>
      <c r="L107" s="27">
        <f>VLOOKUP(A107,Sheet1!A:AD,30,0)</f>
        <v>62</v>
      </c>
    </row>
    <row r="108" spans="1:12" x14ac:dyDescent="0.3">
      <c r="A108" s="14" t="s">
        <v>815</v>
      </c>
      <c r="B108" s="19" t="str">
        <f>VLOOKUP(A108,Sheet1!A:E,5,0)</f>
        <v>Christopher Burton</v>
      </c>
      <c r="C108" s="19" t="str">
        <f>VLOOKUP(A108,Sheet1!A:I,9,0)</f>
        <v>Male</v>
      </c>
      <c r="D108" s="19">
        <f>VLOOKUP(A108,Sheet1!A:K,11,0)</f>
        <v>56</v>
      </c>
      <c r="E108" s="19" t="str">
        <f>VLOOKUP(A108,Sheet1!A:M,13,0)</f>
        <v>Netherlands</v>
      </c>
      <c r="F108" s="19" t="str">
        <f>VLOOKUP(A108,Sheet1!A:N,14,0)</f>
        <v>Dutch</v>
      </c>
      <c r="G108" s="19" t="str">
        <f>VLOOKUP(A108,Sheet1!A:O,15,0)</f>
        <v>Data Analysis</v>
      </c>
      <c r="H108" s="19">
        <f>VLOOKUP(A108,Sheet1!A:Q,17,0)</f>
        <v>9</v>
      </c>
      <c r="I108" s="20">
        <f>VLOOKUP(A108,Sheet1!A:V,22,0)</f>
        <v>40</v>
      </c>
      <c r="J108" s="21">
        <f>VLOOKUP(A108,Sheet1!A:X,24,0)</f>
        <v>2.6</v>
      </c>
      <c r="K108" s="19" t="str">
        <f>VLOOKUP(A108,Sheet1!A:AB,28,0)</f>
        <v>No</v>
      </c>
      <c r="L108" s="27">
        <f>VLOOKUP(A108,Sheet1!A:AD,30,0)</f>
        <v>61</v>
      </c>
    </row>
    <row r="109" spans="1:12" x14ac:dyDescent="0.3">
      <c r="A109" s="14" t="s">
        <v>1445</v>
      </c>
      <c r="B109" s="19" t="str">
        <f>VLOOKUP(A109,Sheet1!A:E,5,0)</f>
        <v>Dawn Mitchell</v>
      </c>
      <c r="C109" s="19" t="str">
        <f>VLOOKUP(A109,Sheet1!A:I,9,0)</f>
        <v>Female</v>
      </c>
      <c r="D109" s="19">
        <f>VLOOKUP(A109,Sheet1!A:K,11,0)</f>
        <v>56</v>
      </c>
      <c r="E109" s="19" t="str">
        <f>VLOOKUP(A109,Sheet1!A:M,13,0)</f>
        <v>Spain</v>
      </c>
      <c r="F109" s="19" t="str">
        <f>VLOOKUP(A109,Sheet1!A:N,14,0)</f>
        <v>Spanish</v>
      </c>
      <c r="G109" s="19" t="str">
        <f>VLOOKUP(A109,Sheet1!A:O,15,0)</f>
        <v>Cybersecurity</v>
      </c>
      <c r="H109" s="19">
        <f>VLOOKUP(A109,Sheet1!A:Q,17,0)</f>
        <v>27</v>
      </c>
      <c r="I109" s="20">
        <f>VLOOKUP(A109,Sheet1!A:V,22,0)</f>
        <v>20</v>
      </c>
      <c r="J109" s="21">
        <f>VLOOKUP(A109,Sheet1!A:X,24,0)</f>
        <v>2.2000000000000002</v>
      </c>
      <c r="K109" s="19" t="str">
        <f>VLOOKUP(A109,Sheet1!A:AB,28,0)</f>
        <v>No</v>
      </c>
      <c r="L109" s="27">
        <f>VLOOKUP(A109,Sheet1!A:AD,30,0)</f>
        <v>70</v>
      </c>
    </row>
    <row r="110" spans="1:12" x14ac:dyDescent="0.3">
      <c r="A110" s="14" t="s">
        <v>1704</v>
      </c>
      <c r="B110" s="19" t="str">
        <f>VLOOKUP(A110,Sheet1!A:E,5,0)</f>
        <v>Dwayne Cardenas</v>
      </c>
      <c r="C110" s="19" t="str">
        <f>VLOOKUP(A110,Sheet1!A:I,9,0)</f>
        <v>Male</v>
      </c>
      <c r="D110" s="19">
        <f>VLOOKUP(A110,Sheet1!A:K,11,0)</f>
        <v>56</v>
      </c>
      <c r="E110" s="19" t="str">
        <f>VLOOKUP(A110,Sheet1!A:M,13,0)</f>
        <v>Germany</v>
      </c>
      <c r="F110" s="19" t="str">
        <f>VLOOKUP(A110,Sheet1!A:N,14,0)</f>
        <v>German</v>
      </c>
      <c r="G110" s="19" t="str">
        <f>VLOOKUP(A110,Sheet1!A:O,15,0)</f>
        <v>Mobile Apps</v>
      </c>
      <c r="H110" s="19">
        <f>VLOOKUP(A110,Sheet1!A:Q,17,0)</f>
        <v>23</v>
      </c>
      <c r="I110" s="20">
        <f>VLOOKUP(A110,Sheet1!A:V,22,0)</f>
        <v>75</v>
      </c>
      <c r="J110" s="21">
        <f>VLOOKUP(A110,Sheet1!A:X,24,0)</f>
        <v>3.9</v>
      </c>
      <c r="K110" s="19" t="str">
        <f>VLOOKUP(A110,Sheet1!A:AB,28,0)</f>
        <v>Yes</v>
      </c>
      <c r="L110" s="27">
        <f>VLOOKUP(A110,Sheet1!A:AD,30,0)</f>
        <v>79.618750000000006</v>
      </c>
    </row>
    <row r="111" spans="1:12" x14ac:dyDescent="0.3">
      <c r="A111" s="14" t="s">
        <v>1867</v>
      </c>
      <c r="B111" s="19" t="str">
        <f>VLOOKUP(A111,Sheet1!A:E,5,0)</f>
        <v>Isaac Hebert</v>
      </c>
      <c r="C111" s="19" t="str">
        <f>VLOOKUP(A111,Sheet1!A:I,9,0)</f>
        <v>Male</v>
      </c>
      <c r="D111" s="19">
        <f>VLOOKUP(A111,Sheet1!A:K,11,0)</f>
        <v>56</v>
      </c>
      <c r="E111" s="19" t="str">
        <f>VLOOKUP(A111,Sheet1!A:M,13,0)</f>
        <v>Japan</v>
      </c>
      <c r="F111" s="19" t="str">
        <f>VLOOKUP(A111,Sheet1!A:N,14,0)</f>
        <v>Japanese</v>
      </c>
      <c r="G111" s="19" t="str">
        <f>VLOOKUP(A111,Sheet1!A:O,15,0)</f>
        <v>DevOps</v>
      </c>
      <c r="H111" s="19">
        <f>VLOOKUP(A111,Sheet1!A:Q,17,0)</f>
        <v>2</v>
      </c>
      <c r="I111" s="20">
        <f>VLOOKUP(A111,Sheet1!A:V,22,0)</f>
        <v>75</v>
      </c>
      <c r="J111" s="21">
        <f>VLOOKUP(A111,Sheet1!A:X,24,0)</f>
        <v>2.4</v>
      </c>
      <c r="K111" s="19" t="str">
        <f>VLOOKUP(A111,Sheet1!A:AB,28,0)</f>
        <v>No</v>
      </c>
      <c r="L111" s="27">
        <f>VLOOKUP(A111,Sheet1!A:AD,30,0)</f>
        <v>80.563829787234042</v>
      </c>
    </row>
    <row r="112" spans="1:12" x14ac:dyDescent="0.3">
      <c r="A112" s="14" t="s">
        <v>683</v>
      </c>
      <c r="B112" s="19" t="str">
        <f>VLOOKUP(A112,Sheet1!A:E,5,0)</f>
        <v>Jeffrey Edwards</v>
      </c>
      <c r="C112" s="19" t="str">
        <f>VLOOKUP(A112,Sheet1!A:I,9,0)</f>
        <v>Male</v>
      </c>
      <c r="D112" s="19">
        <f>VLOOKUP(A112,Sheet1!A:K,11,0)</f>
        <v>56</v>
      </c>
      <c r="E112" s="19" t="str">
        <f>VLOOKUP(A112,Sheet1!A:M,13,0)</f>
        <v>Australia</v>
      </c>
      <c r="F112" s="19" t="str">
        <f>VLOOKUP(A112,Sheet1!A:N,14,0)</f>
        <v>English</v>
      </c>
      <c r="G112" s="19" t="str">
        <f>VLOOKUP(A112,Sheet1!A:O,15,0)</f>
        <v>Web Development</v>
      </c>
      <c r="H112" s="19">
        <f>VLOOKUP(A112,Sheet1!A:Q,17,0)</f>
        <v>19</v>
      </c>
      <c r="I112" s="20">
        <f>VLOOKUP(A112,Sheet1!A:V,22,0)</f>
        <v>40</v>
      </c>
      <c r="J112" s="21">
        <f>VLOOKUP(A112,Sheet1!A:X,24,0)</f>
        <v>1.2</v>
      </c>
      <c r="K112" s="19" t="str">
        <f>VLOOKUP(A112,Sheet1!A:AB,28,0)</f>
        <v>Yes</v>
      </c>
      <c r="L112" s="27">
        <f>VLOOKUP(A112,Sheet1!A:AD,30,0)</f>
        <v>82</v>
      </c>
    </row>
    <row r="113" spans="1:12" x14ac:dyDescent="0.3">
      <c r="A113" s="14" t="s">
        <v>753</v>
      </c>
      <c r="B113" s="19" t="str">
        <f>VLOOKUP(A113,Sheet1!A:E,5,0)</f>
        <v>Jose Wilson</v>
      </c>
      <c r="C113" s="19" t="str">
        <f>VLOOKUP(A113,Sheet1!A:I,9,0)</f>
        <v>Male</v>
      </c>
      <c r="D113" s="19">
        <f>VLOOKUP(A113,Sheet1!A:K,11,0)</f>
        <v>56</v>
      </c>
      <c r="E113" s="19" t="str">
        <f>VLOOKUP(A113,Sheet1!A:M,13,0)</f>
        <v>Italy</v>
      </c>
      <c r="F113" s="19" t="str">
        <f>VLOOKUP(A113,Sheet1!A:N,14,0)</f>
        <v>Italian</v>
      </c>
      <c r="G113" s="19" t="str">
        <f>VLOOKUP(A113,Sheet1!A:O,15,0)</f>
        <v>Machine Learning</v>
      </c>
      <c r="H113" s="19">
        <f>VLOOKUP(A113,Sheet1!A:Q,17,0)</f>
        <v>13</v>
      </c>
      <c r="I113" s="20">
        <f>VLOOKUP(A113,Sheet1!A:V,22,0)</f>
        <v>40</v>
      </c>
      <c r="J113" s="21">
        <f>VLOOKUP(A113,Sheet1!A:X,24,0)</f>
        <v>2.565391014975039</v>
      </c>
      <c r="K113" s="19" t="str">
        <f>VLOOKUP(A113,Sheet1!A:AB,28,0)</f>
        <v>Yes</v>
      </c>
      <c r="L113" s="27">
        <f>VLOOKUP(A113,Sheet1!A:AD,30,0)</f>
        <v>87</v>
      </c>
    </row>
    <row r="114" spans="1:12" x14ac:dyDescent="0.3">
      <c r="A114" s="14" t="s">
        <v>671</v>
      </c>
      <c r="B114" s="19" t="str">
        <f>VLOOKUP(A114,Sheet1!A:E,5,0)</f>
        <v>Joyce Humphrey</v>
      </c>
      <c r="C114" s="19" t="str">
        <f>VLOOKUP(A114,Sheet1!A:I,9,0)</f>
        <v>Female</v>
      </c>
      <c r="D114" s="19">
        <f>VLOOKUP(A114,Sheet1!A:K,11,0)</f>
        <v>56</v>
      </c>
      <c r="E114" s="19" t="str">
        <f>VLOOKUP(A114,Sheet1!A:M,13,0)</f>
        <v>India</v>
      </c>
      <c r="F114" s="19" t="str">
        <f>VLOOKUP(A114,Sheet1!A:N,14,0)</f>
        <v>Hindi</v>
      </c>
      <c r="G114" s="19" t="str">
        <f>VLOOKUP(A114,Sheet1!A:O,15,0)</f>
        <v>Machine Learning</v>
      </c>
      <c r="H114" s="19">
        <f>VLOOKUP(A114,Sheet1!A:Q,17,0)</f>
        <v>2</v>
      </c>
      <c r="I114" s="20">
        <f>VLOOKUP(A114,Sheet1!A:V,22,0)</f>
        <v>30</v>
      </c>
      <c r="J114" s="21">
        <f>VLOOKUP(A114,Sheet1!A:X,24,0)</f>
        <v>1.9</v>
      </c>
      <c r="K114" s="19" t="str">
        <f>VLOOKUP(A114,Sheet1!A:AB,28,0)</f>
        <v>Yes</v>
      </c>
      <c r="L114" s="27">
        <f>VLOOKUP(A114,Sheet1!A:AD,30,0)</f>
        <v>81</v>
      </c>
    </row>
    <row r="115" spans="1:12" x14ac:dyDescent="0.3">
      <c r="A115" s="14" t="s">
        <v>1488</v>
      </c>
      <c r="B115" s="19" t="str">
        <f>VLOOKUP(A115,Sheet1!A:E,5,0)</f>
        <v>Juan Hines</v>
      </c>
      <c r="C115" s="19" t="str">
        <f>VLOOKUP(A115,Sheet1!A:I,9,0)</f>
        <v>Male</v>
      </c>
      <c r="D115" s="19">
        <f>VLOOKUP(A115,Sheet1!A:K,11,0)</f>
        <v>56</v>
      </c>
      <c r="E115" s="19" t="str">
        <f>VLOOKUP(A115,Sheet1!A:M,13,0)</f>
        <v>China</v>
      </c>
      <c r="F115" s="19" t="str">
        <f>VLOOKUP(A115,Sheet1!A:N,14,0)</f>
        <v>Mandarin</v>
      </c>
      <c r="G115" s="19" t="str">
        <f>VLOOKUP(A115,Sheet1!A:O,15,0)</f>
        <v>UI/UX Design</v>
      </c>
      <c r="H115" s="19">
        <f>VLOOKUP(A115,Sheet1!A:Q,17,0)</f>
        <v>18</v>
      </c>
      <c r="I115" s="20">
        <f>VLOOKUP(A115,Sheet1!A:V,22,0)</f>
        <v>50</v>
      </c>
      <c r="J115" s="21">
        <f>VLOOKUP(A115,Sheet1!A:X,24,0)</f>
        <v>4.4000000000000004</v>
      </c>
      <c r="K115" s="19" t="str">
        <f>VLOOKUP(A115,Sheet1!A:AB,28,0)</f>
        <v>Yes</v>
      </c>
      <c r="L115" s="27">
        <f>VLOOKUP(A115,Sheet1!A:AD,30,0)</f>
        <v>83</v>
      </c>
    </row>
    <row r="116" spans="1:12" x14ac:dyDescent="0.3">
      <c r="A116" s="14" t="s">
        <v>1642</v>
      </c>
      <c r="B116" s="19" t="str">
        <f>VLOOKUP(A116,Sheet1!A:E,5,0)</f>
        <v>Katherine Carlson</v>
      </c>
      <c r="C116" s="19" t="str">
        <f>VLOOKUP(A116,Sheet1!A:I,9,0)</f>
        <v>Female</v>
      </c>
      <c r="D116" s="19">
        <f>VLOOKUP(A116,Sheet1!A:K,11,0)</f>
        <v>56</v>
      </c>
      <c r="E116" s="19" t="str">
        <f>VLOOKUP(A116,Sheet1!A:M,13,0)</f>
        <v>China</v>
      </c>
      <c r="F116" s="19" t="str">
        <f>VLOOKUP(A116,Sheet1!A:N,14,0)</f>
        <v>Mandarin</v>
      </c>
      <c r="G116" s="19" t="str">
        <f>VLOOKUP(A116,Sheet1!A:O,15,0)</f>
        <v>Blockchain Development</v>
      </c>
      <c r="H116" s="19">
        <f>VLOOKUP(A116,Sheet1!A:Q,17,0)</f>
        <v>3</v>
      </c>
      <c r="I116" s="20">
        <f>VLOOKUP(A116,Sheet1!A:V,22,0)</f>
        <v>40</v>
      </c>
      <c r="J116" s="21">
        <f>VLOOKUP(A116,Sheet1!A:X,24,0)</f>
        <v>4.0999999999999996</v>
      </c>
      <c r="K116" s="19" t="str">
        <f>VLOOKUP(A116,Sheet1!A:AB,28,0)</f>
        <v>Yes</v>
      </c>
      <c r="L116" s="27">
        <f>VLOOKUP(A116,Sheet1!A:AD,30,0)</f>
        <v>89</v>
      </c>
    </row>
    <row r="117" spans="1:12" x14ac:dyDescent="0.3">
      <c r="A117" s="14" t="s">
        <v>1826</v>
      </c>
      <c r="B117" s="19" t="str">
        <f>VLOOKUP(A117,Sheet1!A:E,5,0)</f>
        <v>Kelly Ellis</v>
      </c>
      <c r="C117" s="19" t="str">
        <f>VLOOKUP(A117,Sheet1!A:I,9,0)</f>
        <v>Female</v>
      </c>
      <c r="D117" s="19">
        <f>VLOOKUP(A117,Sheet1!A:K,11,0)</f>
        <v>56</v>
      </c>
      <c r="E117" s="19" t="str">
        <f>VLOOKUP(A117,Sheet1!A:M,13,0)</f>
        <v>China</v>
      </c>
      <c r="F117" s="19" t="str">
        <f>VLOOKUP(A117,Sheet1!A:N,14,0)</f>
        <v>Mandarin</v>
      </c>
      <c r="G117" s="19" t="str">
        <f>VLOOKUP(A117,Sheet1!A:O,15,0)</f>
        <v>UI/UX Design</v>
      </c>
      <c r="H117" s="19">
        <f>VLOOKUP(A117,Sheet1!A:Q,17,0)</f>
        <v>35</v>
      </c>
      <c r="I117" s="20">
        <f>VLOOKUP(A117,Sheet1!A:V,22,0)</f>
        <v>40</v>
      </c>
      <c r="J117" s="21">
        <f>VLOOKUP(A117,Sheet1!A:X,24,0)</f>
        <v>2.7</v>
      </c>
      <c r="K117" s="19" t="str">
        <f>VLOOKUP(A117,Sheet1!A:AB,28,0)</f>
        <v>Yes</v>
      </c>
      <c r="L117" s="27">
        <f>VLOOKUP(A117,Sheet1!A:AD,30,0)</f>
        <v>82</v>
      </c>
    </row>
    <row r="118" spans="1:12" x14ac:dyDescent="0.3">
      <c r="A118" s="14" t="s">
        <v>1048</v>
      </c>
      <c r="B118" s="19" t="str">
        <f>VLOOKUP(A118,Sheet1!A:E,5,0)</f>
        <v>Matthew Gay</v>
      </c>
      <c r="C118" s="19" t="str">
        <f>VLOOKUP(A118,Sheet1!A:I,9,0)</f>
        <v>Male</v>
      </c>
      <c r="D118" s="19">
        <f>VLOOKUP(A118,Sheet1!A:K,11,0)</f>
        <v>56</v>
      </c>
      <c r="E118" s="19" t="str">
        <f>VLOOKUP(A118,Sheet1!A:M,13,0)</f>
        <v>Netherlands</v>
      </c>
      <c r="F118" s="19" t="str">
        <f>VLOOKUP(A118,Sheet1!A:N,14,0)</f>
        <v>Dutch</v>
      </c>
      <c r="G118" s="19" t="str">
        <f>VLOOKUP(A118,Sheet1!A:O,15,0)</f>
        <v>DevOps</v>
      </c>
      <c r="H118" s="19">
        <f>VLOOKUP(A118,Sheet1!A:Q,17,0)</f>
        <v>16</v>
      </c>
      <c r="I118" s="20">
        <f>VLOOKUP(A118,Sheet1!A:V,22,0)</f>
        <v>30</v>
      </c>
      <c r="J118" s="21">
        <f>VLOOKUP(A118,Sheet1!A:X,24,0)</f>
        <v>0</v>
      </c>
      <c r="K118" s="19" t="str">
        <f>VLOOKUP(A118,Sheet1!A:AB,28,0)</f>
        <v>Yes</v>
      </c>
      <c r="L118" s="27">
        <f>VLOOKUP(A118,Sheet1!A:AD,30,0)</f>
        <v>79.517162471395878</v>
      </c>
    </row>
    <row r="119" spans="1:12" x14ac:dyDescent="0.3">
      <c r="A119" s="14" t="s">
        <v>1411</v>
      </c>
      <c r="B119" s="19" t="str">
        <f>VLOOKUP(A119,Sheet1!A:E,5,0)</f>
        <v>Melissa Maldonado</v>
      </c>
      <c r="C119" s="19" t="str">
        <f>VLOOKUP(A119,Sheet1!A:I,9,0)</f>
        <v>Female</v>
      </c>
      <c r="D119" s="19">
        <f>VLOOKUP(A119,Sheet1!A:K,11,0)</f>
        <v>56</v>
      </c>
      <c r="E119" s="19" t="str">
        <f>VLOOKUP(A119,Sheet1!A:M,13,0)</f>
        <v>Canada</v>
      </c>
      <c r="F119" s="19" t="str">
        <f>VLOOKUP(A119,Sheet1!A:N,14,0)</f>
        <v>English</v>
      </c>
      <c r="G119" s="19" t="str">
        <f>VLOOKUP(A119,Sheet1!A:O,15,0)</f>
        <v>Cybersecurity</v>
      </c>
      <c r="H119" s="19">
        <f>VLOOKUP(A119,Sheet1!A:Q,17,0)</f>
        <v>19</v>
      </c>
      <c r="I119" s="20">
        <f>VLOOKUP(A119,Sheet1!A:V,22,0)</f>
        <v>20</v>
      </c>
      <c r="J119" s="21">
        <f>VLOOKUP(A119,Sheet1!A:X,24,0)</f>
        <v>0</v>
      </c>
      <c r="K119" s="19" t="str">
        <f>VLOOKUP(A119,Sheet1!A:AB,28,0)</f>
        <v>No</v>
      </c>
      <c r="L119" s="27">
        <f>VLOOKUP(A119,Sheet1!A:AD,30,0)</f>
        <v>87</v>
      </c>
    </row>
    <row r="120" spans="1:12" x14ac:dyDescent="0.3">
      <c r="A120" s="14" t="s">
        <v>1510</v>
      </c>
      <c r="B120" s="19" t="str">
        <f>VLOOKUP(A120,Sheet1!A:E,5,0)</f>
        <v>Michael Clark</v>
      </c>
      <c r="C120" s="19" t="str">
        <f>VLOOKUP(A120,Sheet1!A:I,9,0)</f>
        <v>Male</v>
      </c>
      <c r="D120" s="19">
        <f>VLOOKUP(A120,Sheet1!A:K,11,0)</f>
        <v>56</v>
      </c>
      <c r="E120" s="19" t="str">
        <f>VLOOKUP(A120,Sheet1!A:M,13,0)</f>
        <v>South Africa</v>
      </c>
      <c r="F120" s="19" t="str">
        <f>VLOOKUP(A120,Sheet1!A:N,14,0)</f>
        <v>Afrikaans</v>
      </c>
      <c r="G120" s="19" t="str">
        <f>VLOOKUP(A120,Sheet1!A:O,15,0)</f>
        <v>Machine Learning</v>
      </c>
      <c r="H120" s="19">
        <f>VLOOKUP(A120,Sheet1!A:Q,17,0)</f>
        <v>30</v>
      </c>
      <c r="I120" s="20">
        <f>VLOOKUP(A120,Sheet1!A:V,22,0)</f>
        <v>40</v>
      </c>
      <c r="J120" s="21">
        <f>VLOOKUP(A120,Sheet1!A:X,24,0)</f>
        <v>3.3</v>
      </c>
      <c r="K120" s="19" t="str">
        <f>VLOOKUP(A120,Sheet1!A:AB,28,0)</f>
        <v>Yes</v>
      </c>
      <c r="L120" s="27">
        <f>VLOOKUP(A120,Sheet1!A:AD,30,0)</f>
        <v>82</v>
      </c>
    </row>
    <row r="121" spans="1:12" x14ac:dyDescent="0.3">
      <c r="A121" s="14" t="s">
        <v>1283</v>
      </c>
      <c r="B121" s="19" t="str">
        <f>VLOOKUP(A121,Sheet1!A:E,5,0)</f>
        <v>Rachel Smith</v>
      </c>
      <c r="C121" s="19" t="str">
        <f>VLOOKUP(A121,Sheet1!A:I,9,0)</f>
        <v>Female</v>
      </c>
      <c r="D121" s="19">
        <f>VLOOKUP(A121,Sheet1!A:K,11,0)</f>
        <v>56</v>
      </c>
      <c r="E121" s="19" t="str">
        <f>VLOOKUP(A121,Sheet1!A:M,13,0)</f>
        <v>Italy</v>
      </c>
      <c r="F121" s="19" t="str">
        <f>VLOOKUP(A121,Sheet1!A:N,14,0)</f>
        <v>Italian</v>
      </c>
      <c r="G121" s="19" t="str">
        <f>VLOOKUP(A121,Sheet1!A:O,15,0)</f>
        <v>Mobile Apps</v>
      </c>
      <c r="H121" s="19">
        <f>VLOOKUP(A121,Sheet1!A:Q,17,0)</f>
        <v>37</v>
      </c>
      <c r="I121" s="20">
        <f>VLOOKUP(A121,Sheet1!A:V,22,0)</f>
        <v>40</v>
      </c>
      <c r="J121" s="21">
        <f>VLOOKUP(A121,Sheet1!A:X,24,0)</f>
        <v>0</v>
      </c>
      <c r="K121" s="19" t="str">
        <f>VLOOKUP(A121,Sheet1!A:AB,28,0)</f>
        <v>No</v>
      </c>
      <c r="L121" s="27">
        <f>VLOOKUP(A121,Sheet1!A:AD,30,0)</f>
        <v>70</v>
      </c>
    </row>
    <row r="122" spans="1:12" x14ac:dyDescent="0.3">
      <c r="A122" s="14" t="s">
        <v>1976</v>
      </c>
      <c r="B122" s="19" t="str">
        <f>VLOOKUP(A122,Sheet1!A:E,5,0)</f>
        <v>Robert Salazar</v>
      </c>
      <c r="C122" s="19" t="str">
        <f>VLOOKUP(A122,Sheet1!A:I,9,0)</f>
        <v>Male</v>
      </c>
      <c r="D122" s="19">
        <f>VLOOKUP(A122,Sheet1!A:K,11,0)</f>
        <v>56</v>
      </c>
      <c r="E122" s="19" t="str">
        <f>VLOOKUP(A122,Sheet1!A:M,13,0)</f>
        <v>Egypt</v>
      </c>
      <c r="F122" s="19" t="str">
        <f>VLOOKUP(A122,Sheet1!A:N,14,0)</f>
        <v>Arabic</v>
      </c>
      <c r="G122" s="19" t="str">
        <f>VLOOKUP(A122,Sheet1!A:O,15,0)</f>
        <v>DevOps</v>
      </c>
      <c r="H122" s="19">
        <f>VLOOKUP(A122,Sheet1!A:Q,17,0)</f>
        <v>22</v>
      </c>
      <c r="I122" s="20">
        <f>VLOOKUP(A122,Sheet1!A:V,22,0)</f>
        <v>30</v>
      </c>
      <c r="J122" s="21">
        <f>VLOOKUP(A122,Sheet1!A:X,24,0)</f>
        <v>2.3897959183673474</v>
      </c>
      <c r="K122" s="19" t="str">
        <f>VLOOKUP(A122,Sheet1!A:AB,28,0)</f>
        <v>No</v>
      </c>
      <c r="L122" s="27">
        <f>VLOOKUP(A122,Sheet1!A:AD,30,0)</f>
        <v>95</v>
      </c>
    </row>
    <row r="123" spans="1:12" x14ac:dyDescent="0.3">
      <c r="A123" s="14" t="s">
        <v>1830</v>
      </c>
      <c r="B123" s="19" t="str">
        <f>VLOOKUP(A123,Sheet1!A:E,5,0)</f>
        <v>Samantha Norman</v>
      </c>
      <c r="C123" s="19" t="str">
        <f>VLOOKUP(A123,Sheet1!A:I,9,0)</f>
        <v>Female</v>
      </c>
      <c r="D123" s="19">
        <f>VLOOKUP(A123,Sheet1!A:K,11,0)</f>
        <v>56</v>
      </c>
      <c r="E123" s="19" t="str">
        <f>VLOOKUP(A123,Sheet1!A:M,13,0)</f>
        <v>Russia</v>
      </c>
      <c r="F123" s="19" t="str">
        <f>VLOOKUP(A123,Sheet1!A:N,14,0)</f>
        <v>Russian</v>
      </c>
      <c r="G123" s="19" t="str">
        <f>VLOOKUP(A123,Sheet1!A:O,15,0)</f>
        <v>DevOps</v>
      </c>
      <c r="H123" s="19">
        <f>VLOOKUP(A123,Sheet1!A:Q,17,0)</f>
        <v>3</v>
      </c>
      <c r="I123" s="20">
        <f>VLOOKUP(A123,Sheet1!A:V,22,0)</f>
        <v>40</v>
      </c>
      <c r="J123" s="21">
        <f>VLOOKUP(A123,Sheet1!A:X,24,0)</f>
        <v>1.7</v>
      </c>
      <c r="K123" s="19" t="str">
        <f>VLOOKUP(A123,Sheet1!A:AB,28,0)</f>
        <v>No</v>
      </c>
      <c r="L123" s="27">
        <f>VLOOKUP(A123,Sheet1!A:AD,30,0)</f>
        <v>71</v>
      </c>
    </row>
    <row r="124" spans="1:12" x14ac:dyDescent="0.3">
      <c r="A124" s="14" t="s">
        <v>100</v>
      </c>
      <c r="B124" s="19" t="str">
        <f>VLOOKUP(A124,Sheet1!A:E,5,0)</f>
        <v>Scott Burns</v>
      </c>
      <c r="C124" s="19" t="str">
        <f>VLOOKUP(A124,Sheet1!A:I,9,0)</f>
        <v>Male</v>
      </c>
      <c r="D124" s="19">
        <f>VLOOKUP(A124,Sheet1!A:K,11,0)</f>
        <v>56</v>
      </c>
      <c r="E124" s="19" t="str">
        <f>VLOOKUP(A124,Sheet1!A:M,13,0)</f>
        <v>India</v>
      </c>
      <c r="F124" s="19" t="str">
        <f>VLOOKUP(A124,Sheet1!A:N,14,0)</f>
        <v>Hindi</v>
      </c>
      <c r="G124" s="19" t="str">
        <f>VLOOKUP(A124,Sheet1!A:O,15,0)</f>
        <v>Blockchain Development</v>
      </c>
      <c r="H124" s="19">
        <f>VLOOKUP(A124,Sheet1!A:Q,17,0)</f>
        <v>19</v>
      </c>
      <c r="I124" s="20">
        <f>VLOOKUP(A124,Sheet1!A:V,22,0)</f>
        <v>52.402015677491605</v>
      </c>
      <c r="J124" s="21">
        <f>VLOOKUP(A124,Sheet1!A:X,24,0)</f>
        <v>2.5075706214689242</v>
      </c>
      <c r="K124" s="19" t="str">
        <f>VLOOKUP(A124,Sheet1!A:AB,28,0)</f>
        <v>Unknown</v>
      </c>
      <c r="L124" s="27">
        <f>VLOOKUP(A124,Sheet1!A:AD,30,0)</f>
        <v>87</v>
      </c>
    </row>
    <row r="125" spans="1:12" x14ac:dyDescent="0.3">
      <c r="A125" s="14" t="s">
        <v>420</v>
      </c>
      <c r="B125" s="19" t="str">
        <f>VLOOKUP(A125,Sheet1!A:E,5,0)</f>
        <v>Sean Gordon</v>
      </c>
      <c r="C125" s="19" t="str">
        <f>VLOOKUP(A125,Sheet1!A:I,9,0)</f>
        <v>Male</v>
      </c>
      <c r="D125" s="19">
        <f>VLOOKUP(A125,Sheet1!A:K,11,0)</f>
        <v>56</v>
      </c>
      <c r="E125" s="19" t="str">
        <f>VLOOKUP(A125,Sheet1!A:M,13,0)</f>
        <v>Indonesia</v>
      </c>
      <c r="F125" s="19" t="str">
        <f>VLOOKUP(A125,Sheet1!A:N,14,0)</f>
        <v>Indonesian</v>
      </c>
      <c r="G125" s="19" t="str">
        <f>VLOOKUP(A125,Sheet1!A:O,15,0)</f>
        <v>DevOps</v>
      </c>
      <c r="H125" s="19">
        <f>VLOOKUP(A125,Sheet1!A:Q,17,0)</f>
        <v>15</v>
      </c>
      <c r="I125" s="20">
        <f>VLOOKUP(A125,Sheet1!A:V,22,0)</f>
        <v>75</v>
      </c>
      <c r="J125" s="21">
        <f>VLOOKUP(A125,Sheet1!A:X,24,0)</f>
        <v>0</v>
      </c>
      <c r="K125" s="19" t="str">
        <f>VLOOKUP(A125,Sheet1!A:AB,28,0)</f>
        <v>No</v>
      </c>
      <c r="L125" s="27">
        <f>VLOOKUP(A125,Sheet1!A:AD,30,0)</f>
        <v>79.581061692969868</v>
      </c>
    </row>
    <row r="126" spans="1:12" x14ac:dyDescent="0.3">
      <c r="A126" s="14" t="s">
        <v>384</v>
      </c>
      <c r="B126" s="19" t="str">
        <f>VLOOKUP(A126,Sheet1!A:E,5,0)</f>
        <v>Steven Jones</v>
      </c>
      <c r="C126" s="19" t="str">
        <f>VLOOKUP(A126,Sheet1!A:I,9,0)</f>
        <v>Male</v>
      </c>
      <c r="D126" s="19">
        <f>VLOOKUP(A126,Sheet1!A:K,11,0)</f>
        <v>56</v>
      </c>
      <c r="E126" s="19" t="str">
        <f>VLOOKUP(A126,Sheet1!A:M,13,0)</f>
        <v>France</v>
      </c>
      <c r="F126" s="19" t="str">
        <f>VLOOKUP(A126,Sheet1!A:N,14,0)</f>
        <v>French</v>
      </c>
      <c r="G126" s="19" t="str">
        <f>VLOOKUP(A126,Sheet1!A:O,15,0)</f>
        <v>UI/UX Design</v>
      </c>
      <c r="H126" s="19">
        <f>VLOOKUP(A126,Sheet1!A:Q,17,0)</f>
        <v>21</v>
      </c>
      <c r="I126" s="20">
        <f>VLOOKUP(A126,Sheet1!A:V,22,0)</f>
        <v>100</v>
      </c>
      <c r="J126" s="21">
        <f>VLOOKUP(A126,Sheet1!A:X,24,0)</f>
        <v>0</v>
      </c>
      <c r="K126" s="19" t="str">
        <f>VLOOKUP(A126,Sheet1!A:AB,28,0)</f>
        <v>Yes</v>
      </c>
      <c r="L126" s="27">
        <f>VLOOKUP(A126,Sheet1!A:AD,30,0)</f>
        <v>78</v>
      </c>
    </row>
    <row r="127" spans="1:12" x14ac:dyDescent="0.3">
      <c r="A127" s="14" t="s">
        <v>424</v>
      </c>
      <c r="B127" s="19" t="str">
        <f>VLOOKUP(A127,Sheet1!A:E,5,0)</f>
        <v>Steven Whitney</v>
      </c>
      <c r="C127" s="19" t="str">
        <f>VLOOKUP(A127,Sheet1!A:I,9,0)</f>
        <v>Male</v>
      </c>
      <c r="D127" s="19">
        <f>VLOOKUP(A127,Sheet1!A:K,11,0)</f>
        <v>56</v>
      </c>
      <c r="E127" s="19" t="str">
        <f>VLOOKUP(A127,Sheet1!A:M,13,0)</f>
        <v>Japan</v>
      </c>
      <c r="F127" s="19" t="str">
        <f>VLOOKUP(A127,Sheet1!A:N,14,0)</f>
        <v>Japanese</v>
      </c>
      <c r="G127" s="19" t="str">
        <f>VLOOKUP(A127,Sheet1!A:O,15,0)</f>
        <v>Cybersecurity</v>
      </c>
      <c r="H127" s="19">
        <f>VLOOKUP(A127,Sheet1!A:Q,17,0)</f>
        <v>15</v>
      </c>
      <c r="I127" s="20">
        <f>VLOOKUP(A127,Sheet1!A:V,22,0)</f>
        <v>40</v>
      </c>
      <c r="J127" s="21">
        <f>VLOOKUP(A127,Sheet1!A:X,24,0)</f>
        <v>3.7</v>
      </c>
      <c r="K127" s="19" t="str">
        <f>VLOOKUP(A127,Sheet1!A:AB,28,0)</f>
        <v>Unknown</v>
      </c>
      <c r="L127" s="27">
        <f>VLOOKUP(A127,Sheet1!A:AD,30,0)</f>
        <v>92</v>
      </c>
    </row>
    <row r="128" spans="1:12" x14ac:dyDescent="0.3">
      <c r="A128" s="14" t="s">
        <v>1291</v>
      </c>
      <c r="B128" s="19" t="str">
        <f>VLOOKUP(A128,Sheet1!A:E,5,0)</f>
        <v>Tina Shelton</v>
      </c>
      <c r="C128" s="19" t="str">
        <f>VLOOKUP(A128,Sheet1!A:I,9,0)</f>
        <v>Female</v>
      </c>
      <c r="D128" s="19">
        <f>VLOOKUP(A128,Sheet1!A:K,11,0)</f>
        <v>56</v>
      </c>
      <c r="E128" s="19" t="str">
        <f>VLOOKUP(A128,Sheet1!A:M,13,0)</f>
        <v>Spain</v>
      </c>
      <c r="F128" s="19" t="str">
        <f>VLOOKUP(A128,Sheet1!A:N,14,0)</f>
        <v>Spanish</v>
      </c>
      <c r="G128" s="19" t="str">
        <f>VLOOKUP(A128,Sheet1!A:O,15,0)</f>
        <v>DevOps</v>
      </c>
      <c r="H128" s="19">
        <f>VLOOKUP(A128,Sheet1!A:Q,17,0)</f>
        <v>17</v>
      </c>
      <c r="I128" s="20">
        <f>VLOOKUP(A128,Sheet1!A:V,22,0)</f>
        <v>54.277929155313352</v>
      </c>
      <c r="J128" s="21">
        <f>VLOOKUP(A128,Sheet1!A:X,24,0)</f>
        <v>1.3</v>
      </c>
      <c r="K128" s="19" t="str">
        <f>VLOOKUP(A128,Sheet1!A:AB,28,0)</f>
        <v>Unknown</v>
      </c>
      <c r="L128" s="27">
        <f>VLOOKUP(A128,Sheet1!A:AD,30,0)</f>
        <v>87</v>
      </c>
    </row>
    <row r="129" spans="1:12" x14ac:dyDescent="0.3">
      <c r="A129" s="14" t="s">
        <v>105</v>
      </c>
      <c r="B129" s="19" t="str">
        <f>VLOOKUP(A129,Sheet1!A:E,5,0)</f>
        <v>Tyler Aguirre</v>
      </c>
      <c r="C129" s="19" t="str">
        <f>VLOOKUP(A129,Sheet1!A:I,9,0)</f>
        <v>Male</v>
      </c>
      <c r="D129" s="19">
        <f>VLOOKUP(A129,Sheet1!A:K,11,0)</f>
        <v>56</v>
      </c>
      <c r="E129" s="19" t="str">
        <f>VLOOKUP(A129,Sheet1!A:M,13,0)</f>
        <v>United States</v>
      </c>
      <c r="F129" s="19" t="str">
        <f>VLOOKUP(A129,Sheet1!A:N,14,0)</f>
        <v>English</v>
      </c>
      <c r="G129" s="19" t="str">
        <f>VLOOKUP(A129,Sheet1!A:O,15,0)</f>
        <v>UI/UX Design</v>
      </c>
      <c r="H129" s="19">
        <f>VLOOKUP(A129,Sheet1!A:Q,17,0)</f>
        <v>31</v>
      </c>
      <c r="I129" s="20">
        <f>VLOOKUP(A129,Sheet1!A:V,22,0)</f>
        <v>50</v>
      </c>
      <c r="J129" s="21">
        <f>VLOOKUP(A129,Sheet1!A:X,24,0)</f>
        <v>1.1000000000000001</v>
      </c>
      <c r="K129" s="19" t="str">
        <f>VLOOKUP(A129,Sheet1!A:AB,28,0)</f>
        <v>No</v>
      </c>
      <c r="L129" s="27">
        <f>VLOOKUP(A129,Sheet1!A:AD,30,0)</f>
        <v>75</v>
      </c>
    </row>
    <row r="130" spans="1:12" x14ac:dyDescent="0.3">
      <c r="A130" s="14" t="s">
        <v>990</v>
      </c>
      <c r="B130" s="19" t="str">
        <f>VLOOKUP(A130,Sheet1!A:E,5,0)</f>
        <v>Amanda Jacobs</v>
      </c>
      <c r="C130" s="19" t="str">
        <f>VLOOKUP(A130,Sheet1!A:I,9,0)</f>
        <v>Female</v>
      </c>
      <c r="D130" s="19">
        <f>VLOOKUP(A130,Sheet1!A:K,11,0)</f>
        <v>55</v>
      </c>
      <c r="E130" s="19" t="str">
        <f>VLOOKUP(A130,Sheet1!A:M,13,0)</f>
        <v>Egypt</v>
      </c>
      <c r="F130" s="19" t="str">
        <f>VLOOKUP(A130,Sheet1!A:N,14,0)</f>
        <v>Arabic</v>
      </c>
      <c r="G130" s="19" t="str">
        <f>VLOOKUP(A130,Sheet1!A:O,15,0)</f>
        <v>AI</v>
      </c>
      <c r="H130" s="19">
        <f>VLOOKUP(A130,Sheet1!A:Q,17,0)</f>
        <v>3</v>
      </c>
      <c r="I130" s="20">
        <f>VLOOKUP(A130,Sheet1!A:V,22,0)</f>
        <v>100</v>
      </c>
      <c r="J130" s="21">
        <f>VLOOKUP(A130,Sheet1!A:X,24,0)</f>
        <v>2.5439271255060723</v>
      </c>
      <c r="K130" s="19" t="str">
        <f>VLOOKUP(A130,Sheet1!A:AB,28,0)</f>
        <v>Yes</v>
      </c>
      <c r="L130" s="27">
        <f>VLOOKUP(A130,Sheet1!A:AD,30,0)</f>
        <v>73</v>
      </c>
    </row>
    <row r="131" spans="1:12" x14ac:dyDescent="0.3">
      <c r="A131" s="14" t="s">
        <v>663</v>
      </c>
      <c r="B131" s="19" t="str">
        <f>VLOOKUP(A131,Sheet1!A:E,5,0)</f>
        <v>Ann Contreras</v>
      </c>
      <c r="C131" s="19" t="str">
        <f>VLOOKUP(A131,Sheet1!A:I,9,0)</f>
        <v>Female</v>
      </c>
      <c r="D131" s="19">
        <f>VLOOKUP(A131,Sheet1!A:K,11,0)</f>
        <v>55</v>
      </c>
      <c r="E131" s="19" t="str">
        <f>VLOOKUP(A131,Sheet1!A:M,13,0)</f>
        <v>Japan</v>
      </c>
      <c r="F131" s="19" t="str">
        <f>VLOOKUP(A131,Sheet1!A:N,14,0)</f>
        <v>Japanese</v>
      </c>
      <c r="G131" s="19" t="str">
        <f>VLOOKUP(A131,Sheet1!A:O,15,0)</f>
        <v>Web Development</v>
      </c>
      <c r="H131" s="19">
        <f>VLOOKUP(A131,Sheet1!A:Q,17,0)</f>
        <v>20</v>
      </c>
      <c r="I131" s="20">
        <f>VLOOKUP(A131,Sheet1!A:V,22,0)</f>
        <v>75</v>
      </c>
      <c r="J131" s="21">
        <f>VLOOKUP(A131,Sheet1!A:X,24,0)</f>
        <v>2.9</v>
      </c>
      <c r="K131" s="19" t="str">
        <f>VLOOKUP(A131,Sheet1!A:AB,28,0)</f>
        <v>No</v>
      </c>
      <c r="L131" s="27">
        <f>VLOOKUP(A131,Sheet1!A:AD,30,0)</f>
        <v>79.505902192242829</v>
      </c>
    </row>
    <row r="132" spans="1:12" x14ac:dyDescent="0.3">
      <c r="A132" s="14" t="s">
        <v>1822</v>
      </c>
      <c r="B132" s="19" t="str">
        <f>VLOOKUP(A132,Sheet1!A:E,5,0)</f>
        <v>Casey Roberts</v>
      </c>
      <c r="C132" s="19" t="str">
        <f>VLOOKUP(A132,Sheet1!A:I,9,0)</f>
        <v>Male</v>
      </c>
      <c r="D132" s="19">
        <f>VLOOKUP(A132,Sheet1!A:K,11,0)</f>
        <v>55</v>
      </c>
      <c r="E132" s="19" t="str">
        <f>VLOOKUP(A132,Sheet1!A:M,13,0)</f>
        <v>Turkey</v>
      </c>
      <c r="F132" s="19" t="str">
        <f>VLOOKUP(A132,Sheet1!A:N,14,0)</f>
        <v>Turkish</v>
      </c>
      <c r="G132" s="19" t="str">
        <f>VLOOKUP(A132,Sheet1!A:O,15,0)</f>
        <v>Cybersecurity</v>
      </c>
      <c r="H132" s="19">
        <f>VLOOKUP(A132,Sheet1!A:Q,17,0)</f>
        <v>19</v>
      </c>
      <c r="I132" s="20">
        <f>VLOOKUP(A132,Sheet1!A:V,22,0)</f>
        <v>100</v>
      </c>
      <c r="J132" s="21">
        <f>VLOOKUP(A132,Sheet1!A:X,24,0)</f>
        <v>1.2</v>
      </c>
      <c r="K132" s="19" t="str">
        <f>VLOOKUP(A132,Sheet1!A:AB,28,0)</f>
        <v>Yes</v>
      </c>
      <c r="L132" s="27">
        <f>VLOOKUP(A132,Sheet1!A:AD,30,0)</f>
        <v>69</v>
      </c>
    </row>
    <row r="133" spans="1:12" x14ac:dyDescent="0.3">
      <c r="A133" s="14" t="s">
        <v>711</v>
      </c>
      <c r="B133" s="19" t="str">
        <f>VLOOKUP(A133,Sheet1!A:E,5,0)</f>
        <v>Christian Campbell</v>
      </c>
      <c r="C133" s="19" t="str">
        <f>VLOOKUP(A133,Sheet1!A:I,9,0)</f>
        <v>Male</v>
      </c>
      <c r="D133" s="19">
        <f>VLOOKUP(A133,Sheet1!A:K,11,0)</f>
        <v>55</v>
      </c>
      <c r="E133" s="19" t="str">
        <f>VLOOKUP(A133,Sheet1!A:M,13,0)</f>
        <v>Brazil</v>
      </c>
      <c r="F133" s="19" t="str">
        <f>VLOOKUP(A133,Sheet1!A:N,14,0)</f>
        <v>Portuguese</v>
      </c>
      <c r="G133" s="19" t="str">
        <f>VLOOKUP(A133,Sheet1!A:O,15,0)</f>
        <v>Machine Learning</v>
      </c>
      <c r="H133" s="19">
        <f>VLOOKUP(A133,Sheet1!A:Q,17,0)</f>
        <v>14</v>
      </c>
      <c r="I133" s="20">
        <f>VLOOKUP(A133,Sheet1!A:V,22,0)</f>
        <v>30</v>
      </c>
      <c r="J133" s="21">
        <f>VLOOKUP(A133,Sheet1!A:X,24,0)</f>
        <v>1.2</v>
      </c>
      <c r="K133" s="19" t="str">
        <f>VLOOKUP(A133,Sheet1!A:AB,28,0)</f>
        <v>Yes</v>
      </c>
      <c r="L133" s="27">
        <f>VLOOKUP(A133,Sheet1!A:AD,30,0)</f>
        <v>91</v>
      </c>
    </row>
    <row r="134" spans="1:12" x14ac:dyDescent="0.3">
      <c r="A134" s="14" t="s">
        <v>400</v>
      </c>
      <c r="B134" s="19" t="str">
        <f>VLOOKUP(A134,Sheet1!A:E,5,0)</f>
        <v>Cindy Martin</v>
      </c>
      <c r="C134" s="19" t="str">
        <f>VLOOKUP(A134,Sheet1!A:I,9,0)</f>
        <v>Female</v>
      </c>
      <c r="D134" s="19">
        <f>VLOOKUP(A134,Sheet1!A:K,11,0)</f>
        <v>55</v>
      </c>
      <c r="E134" s="19" t="str">
        <f>VLOOKUP(A134,Sheet1!A:M,13,0)</f>
        <v>Argentina</v>
      </c>
      <c r="F134" s="19" t="str">
        <f>VLOOKUP(A134,Sheet1!A:N,14,0)</f>
        <v>Spanish</v>
      </c>
      <c r="G134" s="19" t="str">
        <f>VLOOKUP(A134,Sheet1!A:O,15,0)</f>
        <v>Mobile Apps</v>
      </c>
      <c r="H134" s="19">
        <f>VLOOKUP(A134,Sheet1!A:Q,17,0)</f>
        <v>12</v>
      </c>
      <c r="I134" s="20">
        <f>VLOOKUP(A134,Sheet1!A:V,22,0)</f>
        <v>100</v>
      </c>
      <c r="J134" s="21">
        <f>VLOOKUP(A134,Sheet1!A:X,24,0)</f>
        <v>1.8</v>
      </c>
      <c r="K134" s="19" t="str">
        <f>VLOOKUP(A134,Sheet1!A:AB,28,0)</f>
        <v>Yes</v>
      </c>
      <c r="L134" s="27">
        <f>VLOOKUP(A134,Sheet1!A:AD,30,0)</f>
        <v>79.546099290780148</v>
      </c>
    </row>
    <row r="135" spans="1:12" x14ac:dyDescent="0.3">
      <c r="A135" s="14" t="s">
        <v>1281</v>
      </c>
      <c r="B135" s="19" t="str">
        <f>VLOOKUP(A135,Sheet1!A:E,5,0)</f>
        <v>Daniel Martin</v>
      </c>
      <c r="C135" s="19" t="str">
        <f>VLOOKUP(A135,Sheet1!A:I,9,0)</f>
        <v>Male</v>
      </c>
      <c r="D135" s="19">
        <f>VLOOKUP(A135,Sheet1!A:K,11,0)</f>
        <v>55</v>
      </c>
      <c r="E135" s="19" t="str">
        <f>VLOOKUP(A135,Sheet1!A:M,13,0)</f>
        <v>Canada</v>
      </c>
      <c r="F135" s="19" t="str">
        <f>VLOOKUP(A135,Sheet1!A:N,14,0)</f>
        <v>English</v>
      </c>
      <c r="G135" s="19" t="str">
        <f>VLOOKUP(A135,Sheet1!A:O,15,0)</f>
        <v>Cybersecurity</v>
      </c>
      <c r="H135" s="19">
        <f>VLOOKUP(A135,Sheet1!A:Q,17,0)</f>
        <v>24</v>
      </c>
      <c r="I135" s="20">
        <f>VLOOKUP(A135,Sheet1!A:V,22,0)</f>
        <v>40</v>
      </c>
      <c r="J135" s="21">
        <f>VLOOKUP(A135,Sheet1!A:X,24,0)</f>
        <v>2</v>
      </c>
      <c r="K135" s="19" t="str">
        <f>VLOOKUP(A135,Sheet1!A:AB,28,0)</f>
        <v>Yes</v>
      </c>
      <c r="L135" s="27">
        <f>VLOOKUP(A135,Sheet1!A:AD,30,0)</f>
        <v>88</v>
      </c>
    </row>
    <row r="136" spans="1:12" x14ac:dyDescent="0.3">
      <c r="A136" s="14" t="s">
        <v>731</v>
      </c>
      <c r="B136" s="19" t="str">
        <f>VLOOKUP(A136,Sheet1!A:E,5,0)</f>
        <v>Danielle Costa</v>
      </c>
      <c r="C136" s="19" t="str">
        <f>VLOOKUP(A136,Sheet1!A:I,9,0)</f>
        <v>Female</v>
      </c>
      <c r="D136" s="19">
        <f>VLOOKUP(A136,Sheet1!A:K,11,0)</f>
        <v>55</v>
      </c>
      <c r="E136" s="19" t="str">
        <f>VLOOKUP(A136,Sheet1!A:M,13,0)</f>
        <v>Russia</v>
      </c>
      <c r="F136" s="19" t="str">
        <f>VLOOKUP(A136,Sheet1!A:N,14,0)</f>
        <v>Russian</v>
      </c>
      <c r="G136" s="19" t="str">
        <f>VLOOKUP(A136,Sheet1!A:O,15,0)</f>
        <v>Data Analysis</v>
      </c>
      <c r="H136" s="19">
        <f>VLOOKUP(A136,Sheet1!A:Q,17,0)</f>
        <v>17</v>
      </c>
      <c r="I136" s="20">
        <f>VLOOKUP(A136,Sheet1!A:V,22,0)</f>
        <v>30</v>
      </c>
      <c r="J136" s="21">
        <f>VLOOKUP(A136,Sheet1!A:X,24,0)</f>
        <v>2.5578688524590141</v>
      </c>
      <c r="K136" s="19" t="str">
        <f>VLOOKUP(A136,Sheet1!A:AB,28,0)</f>
        <v>Unknown</v>
      </c>
      <c r="L136" s="27">
        <f>VLOOKUP(A136,Sheet1!A:AD,30,0)</f>
        <v>79.408849557522117</v>
      </c>
    </row>
    <row r="137" spans="1:12" x14ac:dyDescent="0.3">
      <c r="A137" s="14" t="s">
        <v>1574</v>
      </c>
      <c r="B137" s="19" t="str">
        <f>VLOOKUP(A137,Sheet1!A:E,5,0)</f>
        <v>Eric Nguyen</v>
      </c>
      <c r="C137" s="19" t="str">
        <f>VLOOKUP(A137,Sheet1!A:I,9,0)</f>
        <v>Male</v>
      </c>
      <c r="D137" s="19">
        <f>VLOOKUP(A137,Sheet1!A:K,11,0)</f>
        <v>55</v>
      </c>
      <c r="E137" s="19" t="str">
        <f>VLOOKUP(A137,Sheet1!A:M,13,0)</f>
        <v>India</v>
      </c>
      <c r="F137" s="19" t="str">
        <f>VLOOKUP(A137,Sheet1!A:N,14,0)</f>
        <v>Hindi</v>
      </c>
      <c r="G137" s="19" t="str">
        <f>VLOOKUP(A137,Sheet1!A:O,15,0)</f>
        <v>AI</v>
      </c>
      <c r="H137" s="19">
        <f>VLOOKUP(A137,Sheet1!A:Q,17,0)</f>
        <v>37</v>
      </c>
      <c r="I137" s="20">
        <f>VLOOKUP(A137,Sheet1!A:V,22,0)</f>
        <v>75</v>
      </c>
      <c r="J137" s="21">
        <f>VLOOKUP(A137,Sheet1!A:X,24,0)</f>
        <v>4.0999999999999996</v>
      </c>
      <c r="K137" s="19" t="str">
        <f>VLOOKUP(A137,Sheet1!A:AB,28,0)</f>
        <v>No</v>
      </c>
      <c r="L137" s="27">
        <f>VLOOKUP(A137,Sheet1!A:AD,30,0)</f>
        <v>80.00454545454545</v>
      </c>
    </row>
    <row r="138" spans="1:12" x14ac:dyDescent="0.3">
      <c r="A138" s="14" t="s">
        <v>497</v>
      </c>
      <c r="B138" s="19" t="str">
        <f>VLOOKUP(A138,Sheet1!A:E,5,0)</f>
        <v>Heidi Miranda</v>
      </c>
      <c r="C138" s="19" t="str">
        <f>VLOOKUP(A138,Sheet1!A:I,9,0)</f>
        <v>Female</v>
      </c>
      <c r="D138" s="19">
        <f>VLOOKUP(A138,Sheet1!A:K,11,0)</f>
        <v>55</v>
      </c>
      <c r="E138" s="19" t="str">
        <f>VLOOKUP(A138,Sheet1!A:M,13,0)</f>
        <v>China</v>
      </c>
      <c r="F138" s="19" t="str">
        <f>VLOOKUP(A138,Sheet1!A:N,14,0)</f>
        <v>Mandarin</v>
      </c>
      <c r="G138" s="19" t="str">
        <f>VLOOKUP(A138,Sheet1!A:O,15,0)</f>
        <v>Machine Learning</v>
      </c>
      <c r="H138" s="19">
        <f>VLOOKUP(A138,Sheet1!A:Q,17,0)</f>
        <v>7</v>
      </c>
      <c r="I138" s="20">
        <f>VLOOKUP(A138,Sheet1!A:V,22,0)</f>
        <v>100</v>
      </c>
      <c r="J138" s="21">
        <f>VLOOKUP(A138,Sheet1!A:X,24,0)</f>
        <v>1.7</v>
      </c>
      <c r="K138" s="19" t="str">
        <f>VLOOKUP(A138,Sheet1!A:AB,28,0)</f>
        <v>Yes</v>
      </c>
      <c r="L138" s="27">
        <f>VLOOKUP(A138,Sheet1!A:AD,30,0)</f>
        <v>80</v>
      </c>
    </row>
    <row r="139" spans="1:12" x14ac:dyDescent="0.3">
      <c r="A139" s="14" t="s">
        <v>1093</v>
      </c>
      <c r="B139" s="19" t="str">
        <f>VLOOKUP(A139,Sheet1!A:E,5,0)</f>
        <v>Jacob Mclaughlin</v>
      </c>
      <c r="C139" s="19" t="str">
        <f>VLOOKUP(A139,Sheet1!A:I,9,0)</f>
        <v>Male</v>
      </c>
      <c r="D139" s="19">
        <f>VLOOKUP(A139,Sheet1!A:K,11,0)</f>
        <v>55</v>
      </c>
      <c r="E139" s="19" t="str">
        <f>VLOOKUP(A139,Sheet1!A:M,13,0)</f>
        <v>Australia</v>
      </c>
      <c r="F139" s="19" t="str">
        <f>VLOOKUP(A139,Sheet1!A:N,14,0)</f>
        <v>English</v>
      </c>
      <c r="G139" s="19" t="str">
        <f>VLOOKUP(A139,Sheet1!A:O,15,0)</f>
        <v>Data Analysis</v>
      </c>
      <c r="H139" s="19">
        <f>VLOOKUP(A139,Sheet1!A:Q,17,0)</f>
        <v>7</v>
      </c>
      <c r="I139" s="20">
        <f>VLOOKUP(A139,Sheet1!A:V,22,0)</f>
        <v>100</v>
      </c>
      <c r="J139" s="21">
        <f>VLOOKUP(A139,Sheet1!A:X,24,0)</f>
        <v>2.1</v>
      </c>
      <c r="K139" s="19" t="str">
        <f>VLOOKUP(A139,Sheet1!A:AB,28,0)</f>
        <v>No</v>
      </c>
      <c r="L139" s="27">
        <f>VLOOKUP(A139,Sheet1!A:AD,30,0)</f>
        <v>66</v>
      </c>
    </row>
    <row r="140" spans="1:12" x14ac:dyDescent="0.3">
      <c r="A140" s="14" t="s">
        <v>791</v>
      </c>
      <c r="B140" s="19" t="str">
        <f>VLOOKUP(A140,Sheet1!A:E,5,0)</f>
        <v>Jeremiah Rodriguez</v>
      </c>
      <c r="C140" s="19" t="str">
        <f>VLOOKUP(A140,Sheet1!A:I,9,0)</f>
        <v>Male</v>
      </c>
      <c r="D140" s="19">
        <f>VLOOKUP(A140,Sheet1!A:K,11,0)</f>
        <v>55</v>
      </c>
      <c r="E140" s="19" t="str">
        <f>VLOOKUP(A140,Sheet1!A:M,13,0)</f>
        <v>Italy</v>
      </c>
      <c r="F140" s="19" t="str">
        <f>VLOOKUP(A140,Sheet1!A:N,14,0)</f>
        <v>Italian</v>
      </c>
      <c r="G140" s="19" t="str">
        <f>VLOOKUP(A140,Sheet1!A:O,15,0)</f>
        <v>DevOps</v>
      </c>
      <c r="H140" s="19">
        <f>VLOOKUP(A140,Sheet1!A:Q,17,0)</f>
        <v>15</v>
      </c>
      <c r="I140" s="20">
        <f>VLOOKUP(A140,Sheet1!A:V,22,0)</f>
        <v>40</v>
      </c>
      <c r="J140" s="21">
        <f>VLOOKUP(A140,Sheet1!A:X,24,0)</f>
        <v>4.5</v>
      </c>
      <c r="K140" s="19" t="str">
        <f>VLOOKUP(A140,Sheet1!A:AB,28,0)</f>
        <v>Unknown</v>
      </c>
      <c r="L140" s="27">
        <f>VLOOKUP(A140,Sheet1!A:AD,30,0)</f>
        <v>79.405156537753228</v>
      </c>
    </row>
    <row r="141" spans="1:12" x14ac:dyDescent="0.3">
      <c r="A141" s="14" t="s">
        <v>1289</v>
      </c>
      <c r="B141" s="19" t="str">
        <f>VLOOKUP(A141,Sheet1!A:E,5,0)</f>
        <v>Jeremy Hernandez</v>
      </c>
      <c r="C141" s="19" t="str">
        <f>VLOOKUP(A141,Sheet1!A:I,9,0)</f>
        <v>Male</v>
      </c>
      <c r="D141" s="19">
        <f>VLOOKUP(A141,Sheet1!A:K,11,0)</f>
        <v>55</v>
      </c>
      <c r="E141" s="19" t="str">
        <f>VLOOKUP(A141,Sheet1!A:M,13,0)</f>
        <v>Egypt</v>
      </c>
      <c r="F141" s="19" t="str">
        <f>VLOOKUP(A141,Sheet1!A:N,14,0)</f>
        <v>Arabic</v>
      </c>
      <c r="G141" s="19" t="str">
        <f>VLOOKUP(A141,Sheet1!A:O,15,0)</f>
        <v>Machine Learning</v>
      </c>
      <c r="H141" s="19">
        <f>VLOOKUP(A141,Sheet1!A:Q,17,0)</f>
        <v>6</v>
      </c>
      <c r="I141" s="20">
        <f>VLOOKUP(A141,Sheet1!A:V,22,0)</f>
        <v>40</v>
      </c>
      <c r="J141" s="21">
        <f>VLOOKUP(A141,Sheet1!A:X,24,0)</f>
        <v>3.6</v>
      </c>
      <c r="K141" s="19" t="str">
        <f>VLOOKUP(A141,Sheet1!A:AB,28,0)</f>
        <v>Yes</v>
      </c>
      <c r="L141" s="27">
        <f>VLOOKUP(A141,Sheet1!A:AD,30,0)</f>
        <v>79.937685459940653</v>
      </c>
    </row>
    <row r="142" spans="1:12" x14ac:dyDescent="0.3">
      <c r="A142" s="14" t="s">
        <v>2004</v>
      </c>
      <c r="B142" s="19" t="str">
        <f>VLOOKUP(A142,Sheet1!A:E,5,0)</f>
        <v>Julian Edwards</v>
      </c>
      <c r="C142" s="19" t="str">
        <f>VLOOKUP(A142,Sheet1!A:I,9,0)</f>
        <v>Male</v>
      </c>
      <c r="D142" s="19">
        <f>VLOOKUP(A142,Sheet1!A:K,11,0)</f>
        <v>55</v>
      </c>
      <c r="E142" s="19" t="str">
        <f>VLOOKUP(A142,Sheet1!A:M,13,0)</f>
        <v>France</v>
      </c>
      <c r="F142" s="19" t="str">
        <f>VLOOKUP(A142,Sheet1!A:N,14,0)</f>
        <v>French</v>
      </c>
      <c r="G142" s="19" t="str">
        <f>VLOOKUP(A142,Sheet1!A:O,15,0)</f>
        <v>UI/UX Design</v>
      </c>
      <c r="H142" s="19">
        <f>VLOOKUP(A142,Sheet1!A:Q,17,0)</f>
        <v>33</v>
      </c>
      <c r="I142" s="20">
        <f>VLOOKUP(A142,Sheet1!A:V,22,0)</f>
        <v>50</v>
      </c>
      <c r="J142" s="21">
        <f>VLOOKUP(A142,Sheet1!A:X,24,0)</f>
        <v>0</v>
      </c>
      <c r="K142" s="19" t="str">
        <f>VLOOKUP(A142,Sheet1!A:AB,28,0)</f>
        <v>No</v>
      </c>
      <c r="L142" s="27">
        <f>VLOOKUP(A142,Sheet1!A:AD,30,0)</f>
        <v>92</v>
      </c>
    </row>
    <row r="143" spans="1:12" x14ac:dyDescent="0.3">
      <c r="A143" s="14" t="s">
        <v>1903</v>
      </c>
      <c r="B143" s="19" t="str">
        <f>VLOOKUP(A143,Sheet1!A:E,5,0)</f>
        <v>Kristen Haney</v>
      </c>
      <c r="C143" s="19" t="str">
        <f>VLOOKUP(A143,Sheet1!A:I,9,0)</f>
        <v>Female</v>
      </c>
      <c r="D143" s="19">
        <f>VLOOKUP(A143,Sheet1!A:K,11,0)</f>
        <v>55</v>
      </c>
      <c r="E143" s="19" t="str">
        <f>VLOOKUP(A143,Sheet1!A:M,13,0)</f>
        <v>South Korea</v>
      </c>
      <c r="F143" s="19" t="str">
        <f>VLOOKUP(A143,Sheet1!A:N,14,0)</f>
        <v>Korean</v>
      </c>
      <c r="G143" s="19" t="str">
        <f>VLOOKUP(A143,Sheet1!A:O,15,0)</f>
        <v>AI</v>
      </c>
      <c r="H143" s="19">
        <f>VLOOKUP(A143,Sheet1!A:Q,17,0)</f>
        <v>2</v>
      </c>
      <c r="I143" s="20">
        <f>VLOOKUP(A143,Sheet1!A:V,22,0)</f>
        <v>30</v>
      </c>
      <c r="J143" s="21">
        <f>VLOOKUP(A143,Sheet1!A:X,24,0)</f>
        <v>3.1</v>
      </c>
      <c r="K143" s="19" t="str">
        <f>VLOOKUP(A143,Sheet1!A:AB,28,0)</f>
        <v>Yes</v>
      </c>
      <c r="L143" s="27">
        <f>VLOOKUP(A143,Sheet1!A:AD,30,0)</f>
        <v>91</v>
      </c>
    </row>
    <row r="144" spans="1:12" x14ac:dyDescent="0.3">
      <c r="A144" s="14" t="s">
        <v>1820</v>
      </c>
      <c r="B144" s="19" t="str">
        <f>VLOOKUP(A144,Sheet1!A:E,5,0)</f>
        <v>Logan Zamora</v>
      </c>
      <c r="C144" s="19" t="str">
        <f>VLOOKUP(A144,Sheet1!A:I,9,0)</f>
        <v>Male</v>
      </c>
      <c r="D144" s="19">
        <f>VLOOKUP(A144,Sheet1!A:K,11,0)</f>
        <v>55</v>
      </c>
      <c r="E144" s="19" t="str">
        <f>VLOOKUP(A144,Sheet1!A:M,13,0)</f>
        <v>Russia</v>
      </c>
      <c r="F144" s="19" t="str">
        <f>VLOOKUP(A144,Sheet1!A:N,14,0)</f>
        <v>Russian</v>
      </c>
      <c r="G144" s="19" t="str">
        <f>VLOOKUP(A144,Sheet1!A:O,15,0)</f>
        <v>Mobile Apps</v>
      </c>
      <c r="H144" s="19">
        <f>VLOOKUP(A144,Sheet1!A:Q,17,0)</f>
        <v>2</v>
      </c>
      <c r="I144" s="20">
        <f>VLOOKUP(A144,Sheet1!A:V,22,0)</f>
        <v>50</v>
      </c>
      <c r="J144" s="21">
        <f>VLOOKUP(A144,Sheet1!A:X,24,0)</f>
        <v>3.9</v>
      </c>
      <c r="K144" s="19" t="str">
        <f>VLOOKUP(A144,Sheet1!A:AB,28,0)</f>
        <v>Yes</v>
      </c>
      <c r="L144" s="27">
        <f>VLOOKUP(A144,Sheet1!A:AD,30,0)</f>
        <v>88</v>
      </c>
    </row>
    <row r="145" spans="1:12" x14ac:dyDescent="0.3">
      <c r="A145" s="14" t="s">
        <v>553</v>
      </c>
      <c r="B145" s="19" t="str">
        <f>VLOOKUP(A145,Sheet1!A:E,5,0)</f>
        <v>Megan Welch</v>
      </c>
      <c r="C145" s="19" t="str">
        <f>VLOOKUP(A145,Sheet1!A:I,9,0)</f>
        <v>Female</v>
      </c>
      <c r="D145" s="19">
        <f>VLOOKUP(A145,Sheet1!A:K,11,0)</f>
        <v>55</v>
      </c>
      <c r="E145" s="19" t="str">
        <f>VLOOKUP(A145,Sheet1!A:M,13,0)</f>
        <v>Indonesia</v>
      </c>
      <c r="F145" s="19" t="str">
        <f>VLOOKUP(A145,Sheet1!A:N,14,0)</f>
        <v>Indonesian</v>
      </c>
      <c r="G145" s="19" t="str">
        <f>VLOOKUP(A145,Sheet1!A:O,15,0)</f>
        <v>Blockchain Development</v>
      </c>
      <c r="H145" s="19">
        <f>VLOOKUP(A145,Sheet1!A:Q,17,0)</f>
        <v>18</v>
      </c>
      <c r="I145" s="20">
        <f>VLOOKUP(A145,Sheet1!A:V,22,0)</f>
        <v>100</v>
      </c>
      <c r="J145" s="21">
        <f>VLOOKUP(A145,Sheet1!A:X,24,0)</f>
        <v>2.9</v>
      </c>
      <c r="K145" s="19" t="str">
        <f>VLOOKUP(A145,Sheet1!A:AB,28,0)</f>
        <v>No</v>
      </c>
      <c r="L145" s="27">
        <f>VLOOKUP(A145,Sheet1!A:AD,30,0)</f>
        <v>97</v>
      </c>
    </row>
    <row r="146" spans="1:12" x14ac:dyDescent="0.3">
      <c r="A146" s="14" t="s">
        <v>78</v>
      </c>
      <c r="B146" s="19" t="str">
        <f>VLOOKUP(A146,Sheet1!A:E,5,0)</f>
        <v>Michelle Curtis</v>
      </c>
      <c r="C146" s="19" t="str">
        <f>VLOOKUP(A146,Sheet1!A:I,9,0)</f>
        <v>Female</v>
      </c>
      <c r="D146" s="19">
        <f>VLOOKUP(A146,Sheet1!A:K,11,0)</f>
        <v>55</v>
      </c>
      <c r="E146" s="19" t="str">
        <f>VLOOKUP(A146,Sheet1!A:M,13,0)</f>
        <v>Argentina</v>
      </c>
      <c r="F146" s="19" t="str">
        <f>VLOOKUP(A146,Sheet1!A:N,14,0)</f>
        <v>Spanish</v>
      </c>
      <c r="G146" s="19" t="str">
        <f>VLOOKUP(A146,Sheet1!A:O,15,0)</f>
        <v>UI/UX Design</v>
      </c>
      <c r="H146" s="19">
        <f>VLOOKUP(A146,Sheet1!A:Q,17,0)</f>
        <v>15</v>
      </c>
      <c r="I146" s="20">
        <f>VLOOKUP(A146,Sheet1!A:V,22,0)</f>
        <v>52.413600891861762</v>
      </c>
      <c r="J146" s="21">
        <f>VLOOKUP(A146,Sheet1!A:X,24,0)</f>
        <v>2.5073033707865142</v>
      </c>
      <c r="K146" s="19" t="str">
        <f>VLOOKUP(A146,Sheet1!A:AB,28,0)</f>
        <v>Yes</v>
      </c>
      <c r="L146" s="27">
        <f>VLOOKUP(A146,Sheet1!A:AD,30,0)</f>
        <v>86</v>
      </c>
    </row>
    <row r="147" spans="1:12" x14ac:dyDescent="0.3">
      <c r="A147" s="14" t="s">
        <v>781</v>
      </c>
      <c r="B147" s="19" t="str">
        <f>VLOOKUP(A147,Sheet1!A:E,5,0)</f>
        <v>Nicole Rocha</v>
      </c>
      <c r="C147" s="19" t="str">
        <f>VLOOKUP(A147,Sheet1!A:I,9,0)</f>
        <v>Female</v>
      </c>
      <c r="D147" s="19">
        <f>VLOOKUP(A147,Sheet1!A:K,11,0)</f>
        <v>55</v>
      </c>
      <c r="E147" s="19" t="str">
        <f>VLOOKUP(A147,Sheet1!A:M,13,0)</f>
        <v>Netherlands</v>
      </c>
      <c r="F147" s="19" t="str">
        <f>VLOOKUP(A147,Sheet1!A:N,14,0)</f>
        <v>Dutch</v>
      </c>
      <c r="G147" s="19" t="str">
        <f>VLOOKUP(A147,Sheet1!A:O,15,0)</f>
        <v>Mobile Apps</v>
      </c>
      <c r="H147" s="19">
        <f>VLOOKUP(A147,Sheet1!A:Q,17,0)</f>
        <v>33</v>
      </c>
      <c r="I147" s="20">
        <f>VLOOKUP(A147,Sheet1!A:V,22,0)</f>
        <v>40</v>
      </c>
      <c r="J147" s="21">
        <f>VLOOKUP(A147,Sheet1!A:X,24,0)</f>
        <v>1.5</v>
      </c>
      <c r="K147" s="19" t="str">
        <f>VLOOKUP(A147,Sheet1!A:AB,28,0)</f>
        <v>Yes</v>
      </c>
      <c r="L147" s="27">
        <f>VLOOKUP(A147,Sheet1!A:AD,30,0)</f>
        <v>71</v>
      </c>
    </row>
    <row r="148" spans="1:12" x14ac:dyDescent="0.3">
      <c r="A148" s="14" t="s">
        <v>1423</v>
      </c>
      <c r="B148" s="19" t="str">
        <f>VLOOKUP(A148,Sheet1!A:E,5,0)</f>
        <v>Samantha Porter</v>
      </c>
      <c r="C148" s="19" t="str">
        <f>VLOOKUP(A148,Sheet1!A:I,9,0)</f>
        <v>Female</v>
      </c>
      <c r="D148" s="19">
        <f>VLOOKUP(A148,Sheet1!A:K,11,0)</f>
        <v>55</v>
      </c>
      <c r="E148" s="19" t="str">
        <f>VLOOKUP(A148,Sheet1!A:M,13,0)</f>
        <v>Canada</v>
      </c>
      <c r="F148" s="19" t="str">
        <f>VLOOKUP(A148,Sheet1!A:N,14,0)</f>
        <v>English</v>
      </c>
      <c r="G148" s="19" t="str">
        <f>VLOOKUP(A148,Sheet1!A:O,15,0)</f>
        <v>Web Development</v>
      </c>
      <c r="H148" s="19">
        <f>VLOOKUP(A148,Sheet1!A:Q,17,0)</f>
        <v>14</v>
      </c>
      <c r="I148" s="20">
        <f>VLOOKUP(A148,Sheet1!A:V,22,0)</f>
        <v>50</v>
      </c>
      <c r="J148" s="21">
        <f>VLOOKUP(A148,Sheet1!A:X,24,0)</f>
        <v>3.6</v>
      </c>
      <c r="K148" s="19" t="str">
        <f>VLOOKUP(A148,Sheet1!A:AB,28,0)</f>
        <v>Yes</v>
      </c>
      <c r="L148" s="27">
        <f>VLOOKUP(A148,Sheet1!A:AD,30,0)</f>
        <v>81</v>
      </c>
    </row>
    <row r="149" spans="1:12" x14ac:dyDescent="0.3">
      <c r="A149" s="14" t="s">
        <v>1079</v>
      </c>
      <c r="B149" s="19" t="str">
        <f>VLOOKUP(A149,Sheet1!A:E,5,0)</f>
        <v>Todd Williams</v>
      </c>
      <c r="C149" s="19" t="str">
        <f>VLOOKUP(A149,Sheet1!A:I,9,0)</f>
        <v>Male</v>
      </c>
      <c r="D149" s="19">
        <f>VLOOKUP(A149,Sheet1!A:K,11,0)</f>
        <v>55</v>
      </c>
      <c r="E149" s="19" t="str">
        <f>VLOOKUP(A149,Sheet1!A:M,13,0)</f>
        <v>Canada</v>
      </c>
      <c r="F149" s="19" t="str">
        <f>VLOOKUP(A149,Sheet1!A:N,14,0)</f>
        <v>English</v>
      </c>
      <c r="G149" s="19" t="str">
        <f>VLOOKUP(A149,Sheet1!A:O,15,0)</f>
        <v>UI/UX Design</v>
      </c>
      <c r="H149" s="19">
        <f>VLOOKUP(A149,Sheet1!A:Q,17,0)</f>
        <v>10</v>
      </c>
      <c r="I149" s="20">
        <f>VLOOKUP(A149,Sheet1!A:V,22,0)</f>
        <v>40</v>
      </c>
      <c r="J149" s="21">
        <f>VLOOKUP(A149,Sheet1!A:X,24,0)</f>
        <v>2</v>
      </c>
      <c r="K149" s="19" t="str">
        <f>VLOOKUP(A149,Sheet1!A:AB,28,0)</f>
        <v>No</v>
      </c>
      <c r="L149" s="27">
        <f>VLOOKUP(A149,Sheet1!A:AD,30,0)</f>
        <v>85</v>
      </c>
    </row>
    <row r="150" spans="1:12" x14ac:dyDescent="0.3">
      <c r="A150" s="14" t="s">
        <v>228</v>
      </c>
      <c r="B150" s="19" t="str">
        <f>VLOOKUP(A150,Sheet1!A:E,5,0)</f>
        <v>Vicki Kelly</v>
      </c>
      <c r="C150" s="19" t="str">
        <f>VLOOKUP(A150,Sheet1!A:I,9,0)</f>
        <v>Female</v>
      </c>
      <c r="D150" s="19">
        <f>VLOOKUP(A150,Sheet1!A:K,11,0)</f>
        <v>55</v>
      </c>
      <c r="E150" s="19" t="str">
        <f>VLOOKUP(A150,Sheet1!A:M,13,0)</f>
        <v>Brazil</v>
      </c>
      <c r="F150" s="19" t="str">
        <f>VLOOKUP(A150,Sheet1!A:N,14,0)</f>
        <v>Portuguese</v>
      </c>
      <c r="G150" s="19" t="str">
        <f>VLOOKUP(A150,Sheet1!A:O,15,0)</f>
        <v>Web Development</v>
      </c>
      <c r="H150" s="19">
        <f>VLOOKUP(A150,Sheet1!A:Q,17,0)</f>
        <v>0</v>
      </c>
      <c r="I150" s="20">
        <f>VLOOKUP(A150,Sheet1!A:V,22,0)</f>
        <v>40</v>
      </c>
      <c r="J150" s="21">
        <f>VLOOKUP(A150,Sheet1!A:X,24,0)</f>
        <v>0</v>
      </c>
      <c r="K150" s="19" t="str">
        <f>VLOOKUP(A150,Sheet1!A:AB,28,0)</f>
        <v>Yes</v>
      </c>
      <c r="L150" s="27">
        <f>VLOOKUP(A150,Sheet1!A:AD,30,0)</f>
        <v>79.407263294422833</v>
      </c>
    </row>
    <row r="151" spans="1:12" x14ac:dyDescent="0.3">
      <c r="A151" s="14" t="s">
        <v>1486</v>
      </c>
      <c r="B151" s="19" t="str">
        <f>VLOOKUP(A151,Sheet1!A:E,5,0)</f>
        <v>Carol Schneider</v>
      </c>
      <c r="C151" s="19" t="str">
        <f>VLOOKUP(A151,Sheet1!A:I,9,0)</f>
        <v>Female</v>
      </c>
      <c r="D151" s="19">
        <f>VLOOKUP(A151,Sheet1!A:K,11,0)</f>
        <v>54</v>
      </c>
      <c r="E151" s="19" t="str">
        <f>VLOOKUP(A151,Sheet1!A:M,13,0)</f>
        <v>United States</v>
      </c>
      <c r="F151" s="19" t="str">
        <f>VLOOKUP(A151,Sheet1!A:N,14,0)</f>
        <v>English</v>
      </c>
      <c r="G151" s="19" t="str">
        <f>VLOOKUP(A151,Sheet1!A:O,15,0)</f>
        <v>Machine Learning</v>
      </c>
      <c r="H151" s="19">
        <f>VLOOKUP(A151,Sheet1!A:Q,17,0)</f>
        <v>9</v>
      </c>
      <c r="I151" s="20">
        <f>VLOOKUP(A151,Sheet1!A:V,22,0)</f>
        <v>100</v>
      </c>
      <c r="J151" s="21">
        <f>VLOOKUP(A151,Sheet1!A:X,24,0)</f>
        <v>2.5886792452830201</v>
      </c>
      <c r="K151" s="19" t="str">
        <f>VLOOKUP(A151,Sheet1!A:AB,28,0)</f>
        <v>No</v>
      </c>
      <c r="L151" s="27">
        <f>VLOOKUP(A151,Sheet1!A:AD,30,0)</f>
        <v>72</v>
      </c>
    </row>
    <row r="152" spans="1:12" x14ac:dyDescent="0.3">
      <c r="A152" s="14" t="s">
        <v>1516</v>
      </c>
      <c r="B152" s="19" t="str">
        <f>VLOOKUP(A152,Sheet1!A:E,5,0)</f>
        <v>Christina Wright</v>
      </c>
      <c r="C152" s="19" t="str">
        <f>VLOOKUP(A152,Sheet1!A:I,9,0)</f>
        <v>Female</v>
      </c>
      <c r="D152" s="19">
        <f>VLOOKUP(A152,Sheet1!A:K,11,0)</f>
        <v>54</v>
      </c>
      <c r="E152" s="19" t="str">
        <f>VLOOKUP(A152,Sheet1!A:M,13,0)</f>
        <v>United Kingdom</v>
      </c>
      <c r="F152" s="19" t="str">
        <f>VLOOKUP(A152,Sheet1!A:N,14,0)</f>
        <v>English</v>
      </c>
      <c r="G152" s="19" t="str">
        <f>VLOOKUP(A152,Sheet1!A:O,15,0)</f>
        <v>AI</v>
      </c>
      <c r="H152" s="19">
        <f>VLOOKUP(A152,Sheet1!A:Q,17,0)</f>
        <v>32</v>
      </c>
      <c r="I152" s="20">
        <f>VLOOKUP(A152,Sheet1!A:V,22,0)</f>
        <v>20</v>
      </c>
      <c r="J152" s="21">
        <f>VLOOKUP(A152,Sheet1!A:X,24,0)</f>
        <v>3.4</v>
      </c>
      <c r="K152" s="19" t="str">
        <f>VLOOKUP(A152,Sheet1!A:AB,28,0)</f>
        <v>No</v>
      </c>
      <c r="L152" s="27">
        <f>VLOOKUP(A152,Sheet1!A:AD,30,0)</f>
        <v>79.883817427385893</v>
      </c>
    </row>
    <row r="153" spans="1:12" x14ac:dyDescent="0.3">
      <c r="A153" s="14" t="s">
        <v>1678</v>
      </c>
      <c r="B153" s="19" t="str">
        <f>VLOOKUP(A153,Sheet1!A:E,5,0)</f>
        <v>Christopher Hunter</v>
      </c>
      <c r="C153" s="19" t="str">
        <f>VLOOKUP(A153,Sheet1!A:I,9,0)</f>
        <v>Male</v>
      </c>
      <c r="D153" s="19">
        <f>VLOOKUP(A153,Sheet1!A:K,11,0)</f>
        <v>54</v>
      </c>
      <c r="E153" s="19" t="str">
        <f>VLOOKUP(A153,Sheet1!A:M,13,0)</f>
        <v>United Kingdom</v>
      </c>
      <c r="F153" s="19" t="str">
        <f>VLOOKUP(A153,Sheet1!A:N,14,0)</f>
        <v>English</v>
      </c>
      <c r="G153" s="19" t="str">
        <f>VLOOKUP(A153,Sheet1!A:O,15,0)</f>
        <v>DevOps</v>
      </c>
      <c r="H153" s="19">
        <f>VLOOKUP(A153,Sheet1!A:Q,17,0)</f>
        <v>29</v>
      </c>
      <c r="I153" s="20">
        <f>VLOOKUP(A153,Sheet1!A:V,22,0)</f>
        <v>40</v>
      </c>
      <c r="J153" s="21">
        <f>VLOOKUP(A153,Sheet1!A:X,24,0)</f>
        <v>3.1</v>
      </c>
      <c r="K153" s="19" t="str">
        <f>VLOOKUP(A153,Sheet1!A:AB,28,0)</f>
        <v>Yes</v>
      </c>
      <c r="L153" s="27">
        <f>VLOOKUP(A153,Sheet1!A:AD,30,0)</f>
        <v>79.668604651162795</v>
      </c>
    </row>
    <row r="154" spans="1:12" x14ac:dyDescent="0.3">
      <c r="A154" s="14" t="s">
        <v>893</v>
      </c>
      <c r="B154" s="19" t="str">
        <f>VLOOKUP(A154,Sheet1!A:E,5,0)</f>
        <v>David Valencia</v>
      </c>
      <c r="C154" s="19" t="str">
        <f>VLOOKUP(A154,Sheet1!A:I,9,0)</f>
        <v>Male</v>
      </c>
      <c r="D154" s="19">
        <f>VLOOKUP(A154,Sheet1!A:K,11,0)</f>
        <v>54</v>
      </c>
      <c r="E154" s="19" t="str">
        <f>VLOOKUP(A154,Sheet1!A:M,13,0)</f>
        <v>United States</v>
      </c>
      <c r="F154" s="19" t="str">
        <f>VLOOKUP(A154,Sheet1!A:N,14,0)</f>
        <v>English</v>
      </c>
      <c r="G154" s="19" t="str">
        <f>VLOOKUP(A154,Sheet1!A:O,15,0)</f>
        <v>UI/UX Design</v>
      </c>
      <c r="H154" s="19">
        <f>VLOOKUP(A154,Sheet1!A:Q,17,0)</f>
        <v>3</v>
      </c>
      <c r="I154" s="20">
        <f>VLOOKUP(A154,Sheet1!A:V,22,0)</f>
        <v>30</v>
      </c>
      <c r="J154" s="21">
        <f>VLOOKUP(A154,Sheet1!A:X,24,0)</f>
        <v>2.4</v>
      </c>
      <c r="K154" s="19" t="str">
        <f>VLOOKUP(A154,Sheet1!A:AB,28,0)</f>
        <v>No</v>
      </c>
      <c r="L154" s="27">
        <f>VLOOKUP(A154,Sheet1!A:AD,30,0)</f>
        <v>81</v>
      </c>
    </row>
    <row r="155" spans="1:12" x14ac:dyDescent="0.3">
      <c r="A155" s="14" t="s">
        <v>283</v>
      </c>
      <c r="B155" s="19" t="str">
        <f>VLOOKUP(A155,Sheet1!A:E,5,0)</f>
        <v>Denise Smith</v>
      </c>
      <c r="C155" s="19" t="str">
        <f>VLOOKUP(A155,Sheet1!A:I,9,0)</f>
        <v>Female</v>
      </c>
      <c r="D155" s="19">
        <f>VLOOKUP(A155,Sheet1!A:K,11,0)</f>
        <v>54</v>
      </c>
      <c r="E155" s="19" t="str">
        <f>VLOOKUP(A155,Sheet1!A:M,13,0)</f>
        <v>China</v>
      </c>
      <c r="F155" s="19" t="str">
        <f>VLOOKUP(A155,Sheet1!A:N,14,0)</f>
        <v>Mandarin</v>
      </c>
      <c r="G155" s="19" t="str">
        <f>VLOOKUP(A155,Sheet1!A:O,15,0)</f>
        <v>Machine Learning</v>
      </c>
      <c r="H155" s="19">
        <f>VLOOKUP(A155,Sheet1!A:Q,17,0)</f>
        <v>17</v>
      </c>
      <c r="I155" s="20">
        <f>VLOOKUP(A155,Sheet1!A:V,22,0)</f>
        <v>20</v>
      </c>
      <c r="J155" s="21">
        <f>VLOOKUP(A155,Sheet1!A:X,24,0)</f>
        <v>1.7</v>
      </c>
      <c r="K155" s="19" t="str">
        <f>VLOOKUP(A155,Sheet1!A:AB,28,0)</f>
        <v>No</v>
      </c>
      <c r="L155" s="27">
        <f>VLOOKUP(A155,Sheet1!A:AD,30,0)</f>
        <v>69</v>
      </c>
    </row>
    <row r="156" spans="1:12" x14ac:dyDescent="0.3">
      <c r="A156" s="14" t="s">
        <v>249</v>
      </c>
      <c r="B156" s="19" t="str">
        <f>VLOOKUP(A156,Sheet1!A:E,5,0)</f>
        <v>Diana Bautista</v>
      </c>
      <c r="C156" s="19" t="str">
        <f>VLOOKUP(A156,Sheet1!A:I,9,0)</f>
        <v>Female</v>
      </c>
      <c r="D156" s="19">
        <f>VLOOKUP(A156,Sheet1!A:K,11,0)</f>
        <v>54</v>
      </c>
      <c r="E156" s="19" t="str">
        <f>VLOOKUP(A156,Sheet1!A:M,13,0)</f>
        <v>Spain</v>
      </c>
      <c r="F156" s="19" t="str">
        <f>VLOOKUP(A156,Sheet1!A:N,14,0)</f>
        <v>Spanish</v>
      </c>
      <c r="G156" s="19" t="str">
        <f>VLOOKUP(A156,Sheet1!A:O,15,0)</f>
        <v>DevOps</v>
      </c>
      <c r="H156" s="19">
        <f>VLOOKUP(A156,Sheet1!A:Q,17,0)</f>
        <v>32</v>
      </c>
      <c r="I156" s="20">
        <f>VLOOKUP(A156,Sheet1!A:V,22,0)</f>
        <v>40</v>
      </c>
      <c r="J156" s="21">
        <f>VLOOKUP(A156,Sheet1!A:X,24,0)</f>
        <v>1.8</v>
      </c>
      <c r="K156" s="19" t="str">
        <f>VLOOKUP(A156,Sheet1!A:AB,28,0)</f>
        <v>No</v>
      </c>
      <c r="L156" s="27">
        <f>VLOOKUP(A156,Sheet1!A:AD,30,0)</f>
        <v>79.371241830065358</v>
      </c>
    </row>
    <row r="157" spans="1:12" x14ac:dyDescent="0.3">
      <c r="A157" s="14" t="s">
        <v>1750</v>
      </c>
      <c r="B157" s="19" t="str">
        <f>VLOOKUP(A157,Sheet1!A:E,5,0)</f>
        <v>Diana Ferguson</v>
      </c>
      <c r="C157" s="19" t="str">
        <f>VLOOKUP(A157,Sheet1!A:I,9,0)</f>
        <v>Female</v>
      </c>
      <c r="D157" s="19">
        <f>VLOOKUP(A157,Sheet1!A:K,11,0)</f>
        <v>54</v>
      </c>
      <c r="E157" s="19" t="str">
        <f>VLOOKUP(A157,Sheet1!A:M,13,0)</f>
        <v>Indonesia</v>
      </c>
      <c r="F157" s="19" t="str">
        <f>VLOOKUP(A157,Sheet1!A:N,14,0)</f>
        <v>Indonesian</v>
      </c>
      <c r="G157" s="19" t="str">
        <f>VLOOKUP(A157,Sheet1!A:O,15,0)</f>
        <v>AI</v>
      </c>
      <c r="H157" s="19">
        <f>VLOOKUP(A157,Sheet1!A:Q,17,0)</f>
        <v>4</v>
      </c>
      <c r="I157" s="20">
        <f>VLOOKUP(A157,Sheet1!A:V,22,0)</f>
        <v>20</v>
      </c>
      <c r="J157" s="21">
        <f>VLOOKUP(A157,Sheet1!A:X,24,0)</f>
        <v>1.1000000000000001</v>
      </c>
      <c r="K157" s="19" t="str">
        <f>VLOOKUP(A157,Sheet1!A:AB,28,0)</f>
        <v>Yes</v>
      </c>
      <c r="L157" s="27">
        <f>VLOOKUP(A157,Sheet1!A:AD,30,0)</f>
        <v>63</v>
      </c>
    </row>
    <row r="158" spans="1:12" x14ac:dyDescent="0.3">
      <c r="A158" s="14" t="s">
        <v>549</v>
      </c>
      <c r="B158" s="19" t="str">
        <f>VLOOKUP(A158,Sheet1!A:E,5,0)</f>
        <v>Elaine Martinez</v>
      </c>
      <c r="C158" s="19" t="str">
        <f>VLOOKUP(A158,Sheet1!A:I,9,0)</f>
        <v>Female</v>
      </c>
      <c r="D158" s="19">
        <f>VLOOKUP(A158,Sheet1!A:K,11,0)</f>
        <v>54</v>
      </c>
      <c r="E158" s="19" t="str">
        <f>VLOOKUP(A158,Sheet1!A:M,13,0)</f>
        <v>Canada</v>
      </c>
      <c r="F158" s="19" t="str">
        <f>VLOOKUP(A158,Sheet1!A:N,14,0)</f>
        <v>English</v>
      </c>
      <c r="G158" s="19" t="str">
        <f>VLOOKUP(A158,Sheet1!A:O,15,0)</f>
        <v>Graphic Design</v>
      </c>
      <c r="H158" s="19">
        <f>VLOOKUP(A158,Sheet1!A:Q,17,0)</f>
        <v>33</v>
      </c>
      <c r="I158" s="20">
        <f>VLOOKUP(A158,Sheet1!A:V,22,0)</f>
        <v>75</v>
      </c>
      <c r="J158" s="21">
        <f>VLOOKUP(A158,Sheet1!A:X,24,0)</f>
        <v>0</v>
      </c>
      <c r="K158" s="19" t="str">
        <f>VLOOKUP(A158,Sheet1!A:AB,28,0)</f>
        <v>Yes</v>
      </c>
      <c r="L158" s="27">
        <f>VLOOKUP(A158,Sheet1!A:AD,30,0)</f>
        <v>62</v>
      </c>
    </row>
    <row r="159" spans="1:12" x14ac:dyDescent="0.3">
      <c r="A159" s="14" t="s">
        <v>388</v>
      </c>
      <c r="B159" s="19" t="str">
        <f>VLOOKUP(A159,Sheet1!A:E,5,0)</f>
        <v>Erica Davis</v>
      </c>
      <c r="C159" s="19" t="str">
        <f>VLOOKUP(A159,Sheet1!A:I,9,0)</f>
        <v>Female</v>
      </c>
      <c r="D159" s="19">
        <f>VLOOKUP(A159,Sheet1!A:K,11,0)</f>
        <v>54</v>
      </c>
      <c r="E159" s="19" t="str">
        <f>VLOOKUP(A159,Sheet1!A:M,13,0)</f>
        <v>Egypt</v>
      </c>
      <c r="F159" s="19" t="str">
        <f>VLOOKUP(A159,Sheet1!A:N,14,0)</f>
        <v>Arabic</v>
      </c>
      <c r="G159" s="19" t="str">
        <f>VLOOKUP(A159,Sheet1!A:O,15,0)</f>
        <v>Blockchain Development</v>
      </c>
      <c r="H159" s="19">
        <f>VLOOKUP(A159,Sheet1!A:Q,17,0)</f>
        <v>4</v>
      </c>
      <c r="I159" s="20">
        <f>VLOOKUP(A159,Sheet1!A:V,22,0)</f>
        <v>52.512853470437015</v>
      </c>
      <c r="J159" s="21">
        <f>VLOOKUP(A159,Sheet1!A:X,24,0)</f>
        <v>1.4</v>
      </c>
      <c r="K159" s="19" t="str">
        <f>VLOOKUP(A159,Sheet1!A:AB,28,0)</f>
        <v>Yes</v>
      </c>
      <c r="L159" s="27">
        <f>VLOOKUP(A159,Sheet1!A:AD,30,0)</f>
        <v>74</v>
      </c>
    </row>
    <row r="160" spans="1:12" x14ac:dyDescent="0.3">
      <c r="A160" s="14" t="s">
        <v>1632</v>
      </c>
      <c r="B160" s="19" t="str">
        <f>VLOOKUP(A160,Sheet1!A:E,5,0)</f>
        <v>Heather Curtis</v>
      </c>
      <c r="C160" s="19" t="str">
        <f>VLOOKUP(A160,Sheet1!A:I,9,0)</f>
        <v>Female</v>
      </c>
      <c r="D160" s="19">
        <f>VLOOKUP(A160,Sheet1!A:K,11,0)</f>
        <v>54</v>
      </c>
      <c r="E160" s="19" t="str">
        <f>VLOOKUP(A160,Sheet1!A:M,13,0)</f>
        <v>Russia</v>
      </c>
      <c r="F160" s="19" t="str">
        <f>VLOOKUP(A160,Sheet1!A:N,14,0)</f>
        <v>Russian</v>
      </c>
      <c r="G160" s="19" t="str">
        <f>VLOOKUP(A160,Sheet1!A:O,15,0)</f>
        <v>Mobile Apps</v>
      </c>
      <c r="H160" s="19">
        <f>VLOOKUP(A160,Sheet1!A:Q,17,0)</f>
        <v>19</v>
      </c>
      <c r="I160" s="20">
        <f>VLOOKUP(A160,Sheet1!A:V,22,0)</f>
        <v>30</v>
      </c>
      <c r="J160" s="21">
        <f>VLOOKUP(A160,Sheet1!A:X,24,0)</f>
        <v>4</v>
      </c>
      <c r="K160" s="19" t="str">
        <f>VLOOKUP(A160,Sheet1!A:AB,28,0)</f>
        <v>Unknown</v>
      </c>
      <c r="L160" s="27">
        <f>VLOOKUP(A160,Sheet1!A:AD,30,0)</f>
        <v>90</v>
      </c>
    </row>
    <row r="161" spans="1:12" x14ac:dyDescent="0.3">
      <c r="A161" s="14" t="s">
        <v>125</v>
      </c>
      <c r="B161" s="19" t="str">
        <f>VLOOKUP(A161,Sheet1!A:E,5,0)</f>
        <v>Jennifer Martin</v>
      </c>
      <c r="C161" s="19" t="str">
        <f>VLOOKUP(A161,Sheet1!A:I,9,0)</f>
        <v>Female</v>
      </c>
      <c r="D161" s="19">
        <f>VLOOKUP(A161,Sheet1!A:K,11,0)</f>
        <v>54</v>
      </c>
      <c r="E161" s="19" t="str">
        <f>VLOOKUP(A161,Sheet1!A:M,13,0)</f>
        <v>Indonesia</v>
      </c>
      <c r="F161" s="19" t="str">
        <f>VLOOKUP(A161,Sheet1!A:N,14,0)</f>
        <v>Indonesian</v>
      </c>
      <c r="G161" s="19" t="str">
        <f>VLOOKUP(A161,Sheet1!A:O,15,0)</f>
        <v>Machine Learning</v>
      </c>
      <c r="H161" s="19">
        <f>VLOOKUP(A161,Sheet1!A:Q,17,0)</f>
        <v>13</v>
      </c>
      <c r="I161" s="20">
        <f>VLOOKUP(A161,Sheet1!A:V,22,0)</f>
        <v>75</v>
      </c>
      <c r="J161" s="21">
        <f>VLOOKUP(A161,Sheet1!A:X,24,0)</f>
        <v>2.9</v>
      </c>
      <c r="K161" s="19" t="str">
        <f>VLOOKUP(A161,Sheet1!A:AB,28,0)</f>
        <v>Unknown</v>
      </c>
      <c r="L161" s="27">
        <f>VLOOKUP(A161,Sheet1!A:AD,30,0)</f>
        <v>92</v>
      </c>
    </row>
    <row r="162" spans="1:12" x14ac:dyDescent="0.3">
      <c r="A162" s="14" t="s">
        <v>1626</v>
      </c>
      <c r="B162" s="19" t="str">
        <f>VLOOKUP(A162,Sheet1!A:E,5,0)</f>
        <v>Jessica Armstrong</v>
      </c>
      <c r="C162" s="19" t="str">
        <f>VLOOKUP(A162,Sheet1!A:I,9,0)</f>
        <v>Female</v>
      </c>
      <c r="D162" s="19">
        <f>VLOOKUP(A162,Sheet1!A:K,11,0)</f>
        <v>54</v>
      </c>
      <c r="E162" s="19" t="str">
        <f>VLOOKUP(A162,Sheet1!A:M,13,0)</f>
        <v>United States</v>
      </c>
      <c r="F162" s="19" t="str">
        <f>VLOOKUP(A162,Sheet1!A:N,14,0)</f>
        <v>English</v>
      </c>
      <c r="G162" s="19" t="str">
        <f>VLOOKUP(A162,Sheet1!A:O,15,0)</f>
        <v>Mobile Apps</v>
      </c>
      <c r="H162" s="19">
        <f>VLOOKUP(A162,Sheet1!A:Q,17,0)</f>
        <v>19</v>
      </c>
      <c r="I162" s="20">
        <f>VLOOKUP(A162,Sheet1!A:V,22,0)</f>
        <v>75</v>
      </c>
      <c r="J162" s="21">
        <f>VLOOKUP(A162,Sheet1!A:X,24,0)</f>
        <v>0</v>
      </c>
      <c r="K162" s="19" t="str">
        <f>VLOOKUP(A162,Sheet1!A:AB,28,0)</f>
        <v>Unknown</v>
      </c>
      <c r="L162" s="27">
        <f>VLOOKUP(A162,Sheet1!A:AD,30,0)</f>
        <v>80.178571428571431</v>
      </c>
    </row>
    <row r="163" spans="1:12" x14ac:dyDescent="0.3">
      <c r="A163" s="14" t="s">
        <v>154</v>
      </c>
      <c r="B163" s="19" t="str">
        <f>VLOOKUP(A163,Sheet1!A:E,5,0)</f>
        <v>Jessica Snyder</v>
      </c>
      <c r="C163" s="19" t="str">
        <f>VLOOKUP(A163,Sheet1!A:I,9,0)</f>
        <v>Female</v>
      </c>
      <c r="D163" s="19">
        <f>VLOOKUP(A163,Sheet1!A:K,11,0)</f>
        <v>54</v>
      </c>
      <c r="E163" s="19" t="str">
        <f>VLOOKUP(A163,Sheet1!A:M,13,0)</f>
        <v>United States</v>
      </c>
      <c r="F163" s="19" t="str">
        <f>VLOOKUP(A163,Sheet1!A:N,14,0)</f>
        <v>English</v>
      </c>
      <c r="G163" s="19" t="str">
        <f>VLOOKUP(A163,Sheet1!A:O,15,0)</f>
        <v>Web Development</v>
      </c>
      <c r="H163" s="19">
        <f>VLOOKUP(A163,Sheet1!A:Q,17,0)</f>
        <v>32</v>
      </c>
      <c r="I163" s="20">
        <f>VLOOKUP(A163,Sheet1!A:V,22,0)</f>
        <v>75</v>
      </c>
      <c r="J163" s="21">
        <f>VLOOKUP(A163,Sheet1!A:X,24,0)</f>
        <v>1</v>
      </c>
      <c r="K163" s="19" t="str">
        <f>VLOOKUP(A163,Sheet1!A:AB,28,0)</f>
        <v>Yes</v>
      </c>
      <c r="L163" s="27">
        <f>VLOOKUP(A163,Sheet1!A:AD,30,0)</f>
        <v>81</v>
      </c>
    </row>
    <row r="164" spans="1:12" x14ac:dyDescent="0.3">
      <c r="A164" s="14" t="s">
        <v>765</v>
      </c>
      <c r="B164" s="19" t="str">
        <f>VLOOKUP(A164,Sheet1!A:E,5,0)</f>
        <v>John Greene</v>
      </c>
      <c r="C164" s="19" t="str">
        <f>VLOOKUP(A164,Sheet1!A:I,9,0)</f>
        <v>Male</v>
      </c>
      <c r="D164" s="19">
        <f>VLOOKUP(A164,Sheet1!A:K,11,0)</f>
        <v>54</v>
      </c>
      <c r="E164" s="19" t="str">
        <f>VLOOKUP(A164,Sheet1!A:M,13,0)</f>
        <v>United Kingdom</v>
      </c>
      <c r="F164" s="19" t="str">
        <f>VLOOKUP(A164,Sheet1!A:N,14,0)</f>
        <v>English</v>
      </c>
      <c r="G164" s="19" t="str">
        <f>VLOOKUP(A164,Sheet1!A:O,15,0)</f>
        <v>UI/UX Design</v>
      </c>
      <c r="H164" s="19">
        <f>VLOOKUP(A164,Sheet1!A:Q,17,0)</f>
        <v>20</v>
      </c>
      <c r="I164" s="20">
        <f>VLOOKUP(A164,Sheet1!A:V,22,0)</f>
        <v>50</v>
      </c>
      <c r="J164" s="21">
        <f>VLOOKUP(A164,Sheet1!A:X,24,0)</f>
        <v>4.4000000000000004</v>
      </c>
      <c r="K164" s="19" t="str">
        <f>VLOOKUP(A164,Sheet1!A:AB,28,0)</f>
        <v>No</v>
      </c>
      <c r="L164" s="27">
        <f>VLOOKUP(A164,Sheet1!A:AD,30,0)</f>
        <v>73</v>
      </c>
    </row>
    <row r="165" spans="1:12" x14ac:dyDescent="0.3">
      <c r="A165" s="14" t="s">
        <v>1752</v>
      </c>
      <c r="B165" s="19" t="str">
        <f>VLOOKUP(A165,Sheet1!A:E,5,0)</f>
        <v>Joseph Miller</v>
      </c>
      <c r="C165" s="19" t="str">
        <f>VLOOKUP(A165,Sheet1!A:I,9,0)</f>
        <v>Male</v>
      </c>
      <c r="D165" s="19">
        <f>VLOOKUP(A165,Sheet1!A:K,11,0)</f>
        <v>54</v>
      </c>
      <c r="E165" s="19" t="str">
        <f>VLOOKUP(A165,Sheet1!A:M,13,0)</f>
        <v>Spain</v>
      </c>
      <c r="F165" s="19" t="str">
        <f>VLOOKUP(A165,Sheet1!A:N,14,0)</f>
        <v>Spanish</v>
      </c>
      <c r="G165" s="19" t="str">
        <f>VLOOKUP(A165,Sheet1!A:O,15,0)</f>
        <v>Blockchain Development</v>
      </c>
      <c r="H165" s="19">
        <f>VLOOKUP(A165,Sheet1!A:Q,17,0)</f>
        <v>3</v>
      </c>
      <c r="I165" s="20">
        <f>VLOOKUP(A165,Sheet1!A:V,22,0)</f>
        <v>20</v>
      </c>
      <c r="J165" s="21">
        <f>VLOOKUP(A165,Sheet1!A:X,24,0)</f>
        <v>1.6</v>
      </c>
      <c r="K165" s="19" t="str">
        <f>VLOOKUP(A165,Sheet1!A:AB,28,0)</f>
        <v>Yes</v>
      </c>
      <c r="L165" s="27">
        <f>VLOOKUP(A165,Sheet1!A:AD,30,0)</f>
        <v>70</v>
      </c>
    </row>
    <row r="166" spans="1:12" x14ac:dyDescent="0.3">
      <c r="A166" s="14" t="s">
        <v>468</v>
      </c>
      <c r="B166" s="19" t="str">
        <f>VLOOKUP(A166,Sheet1!A:E,5,0)</f>
        <v>Justin House</v>
      </c>
      <c r="C166" s="19" t="str">
        <f>VLOOKUP(A166,Sheet1!A:I,9,0)</f>
        <v>Male</v>
      </c>
      <c r="D166" s="19">
        <f>VLOOKUP(A166,Sheet1!A:K,11,0)</f>
        <v>54</v>
      </c>
      <c r="E166" s="19" t="str">
        <f>VLOOKUP(A166,Sheet1!A:M,13,0)</f>
        <v>Turkey</v>
      </c>
      <c r="F166" s="19" t="str">
        <f>VLOOKUP(A166,Sheet1!A:N,14,0)</f>
        <v>Turkish</v>
      </c>
      <c r="G166" s="19" t="str">
        <f>VLOOKUP(A166,Sheet1!A:O,15,0)</f>
        <v>Web Development</v>
      </c>
      <c r="H166" s="19">
        <f>VLOOKUP(A166,Sheet1!A:Q,17,0)</f>
        <v>0</v>
      </c>
      <c r="I166" s="20">
        <f>VLOOKUP(A166,Sheet1!A:V,22,0)</f>
        <v>20</v>
      </c>
      <c r="J166" s="21">
        <f>VLOOKUP(A166,Sheet1!A:X,24,0)</f>
        <v>4.9000000000000004</v>
      </c>
      <c r="K166" s="19" t="str">
        <f>VLOOKUP(A166,Sheet1!A:AB,28,0)</f>
        <v>Unknown</v>
      </c>
      <c r="L166" s="27">
        <f>VLOOKUP(A166,Sheet1!A:AD,30,0)</f>
        <v>79.666666666666671</v>
      </c>
    </row>
    <row r="167" spans="1:12" x14ac:dyDescent="0.3">
      <c r="A167" s="14" t="s">
        <v>1780</v>
      </c>
      <c r="B167" s="19" t="str">
        <f>VLOOKUP(A167,Sheet1!A:E,5,0)</f>
        <v>Justin Jones</v>
      </c>
      <c r="C167" s="19" t="str">
        <f>VLOOKUP(A167,Sheet1!A:I,9,0)</f>
        <v>Male</v>
      </c>
      <c r="D167" s="19">
        <f>VLOOKUP(A167,Sheet1!A:K,11,0)</f>
        <v>54</v>
      </c>
      <c r="E167" s="19" t="str">
        <f>VLOOKUP(A167,Sheet1!A:M,13,0)</f>
        <v>Italy</v>
      </c>
      <c r="F167" s="19" t="str">
        <f>VLOOKUP(A167,Sheet1!A:N,14,0)</f>
        <v>Italian</v>
      </c>
      <c r="G167" s="19" t="str">
        <f>VLOOKUP(A167,Sheet1!A:O,15,0)</f>
        <v>Cybersecurity</v>
      </c>
      <c r="H167" s="19">
        <f>VLOOKUP(A167,Sheet1!A:Q,17,0)</f>
        <v>9</v>
      </c>
      <c r="I167" s="20">
        <f>VLOOKUP(A167,Sheet1!A:V,22,0)</f>
        <v>20</v>
      </c>
      <c r="J167" s="21">
        <f>VLOOKUP(A167,Sheet1!A:X,24,0)</f>
        <v>0</v>
      </c>
      <c r="K167" s="19" t="str">
        <f>VLOOKUP(A167,Sheet1!A:AB,28,0)</f>
        <v>Yes</v>
      </c>
      <c r="L167" s="27">
        <f>VLOOKUP(A167,Sheet1!A:AD,30,0)</f>
        <v>96</v>
      </c>
    </row>
    <row r="168" spans="1:12" x14ac:dyDescent="0.3">
      <c r="A168" s="14" t="s">
        <v>992</v>
      </c>
      <c r="B168" s="19" t="str">
        <f>VLOOKUP(A168,Sheet1!A:E,5,0)</f>
        <v>Karen Mercer</v>
      </c>
      <c r="C168" s="19" t="str">
        <f>VLOOKUP(A168,Sheet1!A:I,9,0)</f>
        <v>Female</v>
      </c>
      <c r="D168" s="19">
        <f>VLOOKUP(A168,Sheet1!A:K,11,0)</f>
        <v>54</v>
      </c>
      <c r="E168" s="19" t="str">
        <f>VLOOKUP(A168,Sheet1!A:M,13,0)</f>
        <v>Argentina</v>
      </c>
      <c r="F168" s="19" t="str">
        <f>VLOOKUP(A168,Sheet1!A:N,14,0)</f>
        <v>Spanish</v>
      </c>
      <c r="G168" s="19" t="str">
        <f>VLOOKUP(A168,Sheet1!A:O,15,0)</f>
        <v>Machine Learning</v>
      </c>
      <c r="H168" s="19">
        <f>VLOOKUP(A168,Sheet1!A:Q,17,0)</f>
        <v>19</v>
      </c>
      <c r="I168" s="20">
        <f>VLOOKUP(A168,Sheet1!A:V,22,0)</f>
        <v>30</v>
      </c>
      <c r="J168" s="21">
        <f>VLOOKUP(A168,Sheet1!A:X,24,0)</f>
        <v>2.9</v>
      </c>
      <c r="K168" s="19" t="str">
        <f>VLOOKUP(A168,Sheet1!A:AB,28,0)</f>
        <v>Yes</v>
      </c>
      <c r="L168" s="27">
        <f>VLOOKUP(A168,Sheet1!A:AD,30,0)</f>
        <v>78</v>
      </c>
    </row>
    <row r="169" spans="1:12" x14ac:dyDescent="0.3">
      <c r="A169" s="14" t="s">
        <v>1119</v>
      </c>
      <c r="B169" s="19" t="str">
        <f>VLOOKUP(A169,Sheet1!A:E,5,0)</f>
        <v>Lorraine Lowery</v>
      </c>
      <c r="C169" s="19" t="str">
        <f>VLOOKUP(A169,Sheet1!A:I,9,0)</f>
        <v>Female</v>
      </c>
      <c r="D169" s="19">
        <f>VLOOKUP(A169,Sheet1!A:K,11,0)</f>
        <v>54</v>
      </c>
      <c r="E169" s="19" t="str">
        <f>VLOOKUP(A169,Sheet1!A:M,13,0)</f>
        <v>United Kingdom</v>
      </c>
      <c r="F169" s="19" t="str">
        <f>VLOOKUP(A169,Sheet1!A:N,14,0)</f>
        <v>English</v>
      </c>
      <c r="G169" s="19" t="str">
        <f>VLOOKUP(A169,Sheet1!A:O,15,0)</f>
        <v>Data Analysis</v>
      </c>
      <c r="H169" s="19">
        <f>VLOOKUP(A169,Sheet1!A:Q,17,0)</f>
        <v>15</v>
      </c>
      <c r="I169" s="20">
        <f>VLOOKUP(A169,Sheet1!A:V,22,0)</f>
        <v>40</v>
      </c>
      <c r="J169" s="21">
        <f>VLOOKUP(A169,Sheet1!A:X,24,0)</f>
        <v>4.0999999999999996</v>
      </c>
      <c r="K169" s="19" t="str">
        <f>VLOOKUP(A169,Sheet1!A:AB,28,0)</f>
        <v>Yes</v>
      </c>
      <c r="L169" s="27">
        <f>VLOOKUP(A169,Sheet1!A:AD,30,0)</f>
        <v>71</v>
      </c>
    </row>
    <row r="170" spans="1:12" x14ac:dyDescent="0.3">
      <c r="A170" s="14" t="s">
        <v>253</v>
      </c>
      <c r="B170" s="19" t="str">
        <f>VLOOKUP(A170,Sheet1!A:E,5,0)</f>
        <v>Noah Wiggins</v>
      </c>
      <c r="C170" s="19" t="str">
        <f>VLOOKUP(A170,Sheet1!A:I,9,0)</f>
        <v>Male</v>
      </c>
      <c r="D170" s="19">
        <f>VLOOKUP(A170,Sheet1!A:K,11,0)</f>
        <v>54</v>
      </c>
      <c r="E170" s="19" t="str">
        <f>VLOOKUP(A170,Sheet1!A:M,13,0)</f>
        <v>India</v>
      </c>
      <c r="F170" s="19" t="str">
        <f>VLOOKUP(A170,Sheet1!A:N,14,0)</f>
        <v>Hindi</v>
      </c>
      <c r="G170" s="19" t="str">
        <f>VLOOKUP(A170,Sheet1!A:O,15,0)</f>
        <v>Machine Learning</v>
      </c>
      <c r="H170" s="19">
        <f>VLOOKUP(A170,Sheet1!A:Q,17,0)</f>
        <v>21</v>
      </c>
      <c r="I170" s="20">
        <f>VLOOKUP(A170,Sheet1!A:V,22,0)</f>
        <v>100</v>
      </c>
      <c r="J170" s="21">
        <f>VLOOKUP(A170,Sheet1!A:X,24,0)</f>
        <v>4.5999999999999996</v>
      </c>
      <c r="K170" s="19" t="str">
        <f>VLOOKUP(A170,Sheet1!A:AB,28,0)</f>
        <v>No</v>
      </c>
      <c r="L170" s="27">
        <f>VLOOKUP(A170,Sheet1!A:AD,30,0)</f>
        <v>79.358638743455501</v>
      </c>
    </row>
    <row r="171" spans="1:12" x14ac:dyDescent="0.3">
      <c r="A171" s="14" t="s">
        <v>1778</v>
      </c>
      <c r="B171" s="19" t="str">
        <f>VLOOKUP(A171,Sheet1!A:E,5,0)</f>
        <v>Reginald Stephens</v>
      </c>
      <c r="C171" s="19" t="str">
        <f>VLOOKUP(A171,Sheet1!A:I,9,0)</f>
        <v>Male</v>
      </c>
      <c r="D171" s="19">
        <f>VLOOKUP(A171,Sheet1!A:K,11,0)</f>
        <v>54</v>
      </c>
      <c r="E171" s="19" t="str">
        <f>VLOOKUP(A171,Sheet1!A:M,13,0)</f>
        <v>Indonesia</v>
      </c>
      <c r="F171" s="19" t="str">
        <f>VLOOKUP(A171,Sheet1!A:N,14,0)</f>
        <v>Indonesian</v>
      </c>
      <c r="G171" s="19" t="str">
        <f>VLOOKUP(A171,Sheet1!A:O,15,0)</f>
        <v>Mobile Apps</v>
      </c>
      <c r="H171" s="19">
        <f>VLOOKUP(A171,Sheet1!A:Q,17,0)</f>
        <v>17</v>
      </c>
      <c r="I171" s="20">
        <f>VLOOKUP(A171,Sheet1!A:V,22,0)</f>
        <v>100</v>
      </c>
      <c r="J171" s="21">
        <f>VLOOKUP(A171,Sheet1!A:X,24,0)</f>
        <v>0</v>
      </c>
      <c r="K171" s="19" t="str">
        <f>VLOOKUP(A171,Sheet1!A:AB,28,0)</f>
        <v>No</v>
      </c>
      <c r="L171" s="27">
        <f>VLOOKUP(A171,Sheet1!A:AD,30,0)</f>
        <v>71</v>
      </c>
    </row>
    <row r="172" spans="1:12" x14ac:dyDescent="0.3">
      <c r="A172" s="14" t="s">
        <v>1315</v>
      </c>
      <c r="B172" s="19" t="str">
        <f>VLOOKUP(A172,Sheet1!A:E,5,0)</f>
        <v>Sarah White</v>
      </c>
      <c r="C172" s="19" t="str">
        <f>VLOOKUP(A172,Sheet1!A:I,9,0)</f>
        <v>Female</v>
      </c>
      <c r="D172" s="19">
        <f>VLOOKUP(A172,Sheet1!A:K,11,0)</f>
        <v>54</v>
      </c>
      <c r="E172" s="19" t="str">
        <f>VLOOKUP(A172,Sheet1!A:M,13,0)</f>
        <v>Italy</v>
      </c>
      <c r="F172" s="19" t="str">
        <f>VLOOKUP(A172,Sheet1!A:N,14,0)</f>
        <v>Italian</v>
      </c>
      <c r="G172" s="19" t="str">
        <f>VLOOKUP(A172,Sheet1!A:O,15,0)</f>
        <v>Mobile Apps</v>
      </c>
      <c r="H172" s="19">
        <f>VLOOKUP(A172,Sheet1!A:Q,17,0)</f>
        <v>28</v>
      </c>
      <c r="I172" s="20">
        <f>VLOOKUP(A172,Sheet1!A:V,22,0)</f>
        <v>40</v>
      </c>
      <c r="J172" s="21">
        <f>VLOOKUP(A172,Sheet1!A:X,24,0)</f>
        <v>1.1000000000000001</v>
      </c>
      <c r="K172" s="19" t="str">
        <f>VLOOKUP(A172,Sheet1!A:AB,28,0)</f>
        <v>No</v>
      </c>
      <c r="L172" s="27">
        <f>VLOOKUP(A172,Sheet1!A:AD,30,0)</f>
        <v>79.972392638036808</v>
      </c>
    </row>
    <row r="173" spans="1:12" x14ac:dyDescent="0.3">
      <c r="A173" s="14" t="s">
        <v>1235</v>
      </c>
      <c r="B173" s="19" t="str">
        <f>VLOOKUP(A173,Sheet1!A:E,5,0)</f>
        <v>Tonya Gonzalez</v>
      </c>
      <c r="C173" s="19" t="str">
        <f>VLOOKUP(A173,Sheet1!A:I,9,0)</f>
        <v>Female</v>
      </c>
      <c r="D173" s="19">
        <f>VLOOKUP(A173,Sheet1!A:K,11,0)</f>
        <v>54</v>
      </c>
      <c r="E173" s="19" t="str">
        <f>VLOOKUP(A173,Sheet1!A:M,13,0)</f>
        <v>Mexico</v>
      </c>
      <c r="F173" s="19" t="str">
        <f>VLOOKUP(A173,Sheet1!A:N,14,0)</f>
        <v>Spanish</v>
      </c>
      <c r="G173" s="19" t="str">
        <f>VLOOKUP(A173,Sheet1!A:O,15,0)</f>
        <v>AI</v>
      </c>
      <c r="H173" s="19">
        <f>VLOOKUP(A173,Sheet1!A:Q,17,0)</f>
        <v>1</v>
      </c>
      <c r="I173" s="20">
        <f>VLOOKUP(A173,Sheet1!A:V,22,0)</f>
        <v>75</v>
      </c>
      <c r="J173" s="21">
        <f>VLOOKUP(A173,Sheet1!A:X,24,0)</f>
        <v>4.4000000000000004</v>
      </c>
      <c r="K173" s="19" t="str">
        <f>VLOOKUP(A173,Sheet1!A:AB,28,0)</f>
        <v>Yes</v>
      </c>
      <c r="L173" s="27">
        <f>VLOOKUP(A173,Sheet1!A:AD,30,0)</f>
        <v>80.106145251396654</v>
      </c>
    </row>
    <row r="174" spans="1:12" x14ac:dyDescent="0.3">
      <c r="A174" s="14" t="s">
        <v>503</v>
      </c>
      <c r="B174" s="19" t="str">
        <f>VLOOKUP(A174,Sheet1!A:E,5,0)</f>
        <v>Walter Williams</v>
      </c>
      <c r="C174" s="19" t="str">
        <f>VLOOKUP(A174,Sheet1!A:I,9,0)</f>
        <v>Male</v>
      </c>
      <c r="D174" s="19">
        <f>VLOOKUP(A174,Sheet1!A:K,11,0)</f>
        <v>54</v>
      </c>
      <c r="E174" s="19" t="str">
        <f>VLOOKUP(A174,Sheet1!A:M,13,0)</f>
        <v>Italy</v>
      </c>
      <c r="F174" s="19" t="str">
        <f>VLOOKUP(A174,Sheet1!A:N,14,0)</f>
        <v>Italian</v>
      </c>
      <c r="G174" s="19" t="str">
        <f>VLOOKUP(A174,Sheet1!A:O,15,0)</f>
        <v>DevOps</v>
      </c>
      <c r="H174" s="19">
        <f>VLOOKUP(A174,Sheet1!A:Q,17,0)</f>
        <v>29</v>
      </c>
      <c r="I174" s="20">
        <f>VLOOKUP(A174,Sheet1!A:V,22,0)</f>
        <v>30</v>
      </c>
      <c r="J174" s="21">
        <f>VLOOKUP(A174,Sheet1!A:X,24,0)</f>
        <v>1.7</v>
      </c>
      <c r="K174" s="19" t="str">
        <f>VLOOKUP(A174,Sheet1!A:AB,28,0)</f>
        <v>No</v>
      </c>
      <c r="L174" s="27">
        <f>VLOOKUP(A174,Sheet1!A:AD,30,0)</f>
        <v>68</v>
      </c>
    </row>
    <row r="175" spans="1:12" x14ac:dyDescent="0.3">
      <c r="A175" s="14" t="s">
        <v>1724</v>
      </c>
      <c r="B175" s="19" t="str">
        <f>VLOOKUP(A175,Sheet1!A:E,5,0)</f>
        <v>Adam Stone</v>
      </c>
      <c r="C175" s="19" t="str">
        <f>VLOOKUP(A175,Sheet1!A:I,9,0)</f>
        <v>Male</v>
      </c>
      <c r="D175" s="19">
        <f>VLOOKUP(A175,Sheet1!A:K,11,0)</f>
        <v>53</v>
      </c>
      <c r="E175" s="19" t="str">
        <f>VLOOKUP(A175,Sheet1!A:M,13,0)</f>
        <v>Indonesia</v>
      </c>
      <c r="F175" s="19" t="str">
        <f>VLOOKUP(A175,Sheet1!A:N,14,0)</f>
        <v>Indonesian</v>
      </c>
      <c r="G175" s="19" t="str">
        <f>VLOOKUP(A175,Sheet1!A:O,15,0)</f>
        <v>Machine Learning</v>
      </c>
      <c r="H175" s="19">
        <f>VLOOKUP(A175,Sheet1!A:Q,17,0)</f>
        <v>21</v>
      </c>
      <c r="I175" s="20">
        <f>VLOOKUP(A175,Sheet1!A:V,22,0)</f>
        <v>100</v>
      </c>
      <c r="J175" s="21">
        <f>VLOOKUP(A175,Sheet1!A:X,24,0)</f>
        <v>3.4</v>
      </c>
      <c r="K175" s="19" t="str">
        <f>VLOOKUP(A175,Sheet1!A:AB,28,0)</f>
        <v>No</v>
      </c>
      <c r="L175" s="27">
        <f>VLOOKUP(A175,Sheet1!A:AD,30,0)</f>
        <v>62</v>
      </c>
    </row>
    <row r="176" spans="1:12" x14ac:dyDescent="0.3">
      <c r="A176" s="14" t="s">
        <v>1926</v>
      </c>
      <c r="B176" s="19" t="str">
        <f>VLOOKUP(A176,Sheet1!A:E,5,0)</f>
        <v>Amy Morrow</v>
      </c>
      <c r="C176" s="19" t="str">
        <f>VLOOKUP(A176,Sheet1!A:I,9,0)</f>
        <v>Female</v>
      </c>
      <c r="D176" s="19">
        <f>VLOOKUP(A176,Sheet1!A:K,11,0)</f>
        <v>53</v>
      </c>
      <c r="E176" s="19" t="str">
        <f>VLOOKUP(A176,Sheet1!A:M,13,0)</f>
        <v>Turkey</v>
      </c>
      <c r="F176" s="19" t="str">
        <f>VLOOKUP(A176,Sheet1!A:N,14,0)</f>
        <v>Turkish</v>
      </c>
      <c r="G176" s="19" t="str">
        <f>VLOOKUP(A176,Sheet1!A:O,15,0)</f>
        <v>Graphic Design</v>
      </c>
      <c r="H176" s="19">
        <f>VLOOKUP(A176,Sheet1!A:Q,17,0)</f>
        <v>14</v>
      </c>
      <c r="I176" s="20">
        <f>VLOOKUP(A176,Sheet1!A:V,22,0)</f>
        <v>30</v>
      </c>
      <c r="J176" s="21">
        <f>VLOOKUP(A176,Sheet1!A:X,24,0)</f>
        <v>0</v>
      </c>
      <c r="K176" s="19" t="str">
        <f>VLOOKUP(A176,Sheet1!A:AB,28,0)</f>
        <v>No</v>
      </c>
      <c r="L176" s="27">
        <f>VLOOKUP(A176,Sheet1!A:AD,30,0)</f>
        <v>83</v>
      </c>
    </row>
    <row r="177" spans="1:12" x14ac:dyDescent="0.3">
      <c r="A177" s="14" t="s">
        <v>565</v>
      </c>
      <c r="B177" s="19" t="str">
        <f>VLOOKUP(A177,Sheet1!A:E,5,0)</f>
        <v>Anna Evans</v>
      </c>
      <c r="C177" s="19" t="str">
        <f>VLOOKUP(A177,Sheet1!A:I,9,0)</f>
        <v>Female</v>
      </c>
      <c r="D177" s="19">
        <f>VLOOKUP(A177,Sheet1!A:K,11,0)</f>
        <v>53</v>
      </c>
      <c r="E177" s="19" t="str">
        <f>VLOOKUP(A177,Sheet1!A:M,13,0)</f>
        <v>South Korea</v>
      </c>
      <c r="F177" s="19" t="str">
        <f>VLOOKUP(A177,Sheet1!A:N,14,0)</f>
        <v>Korean</v>
      </c>
      <c r="G177" s="19" t="str">
        <f>VLOOKUP(A177,Sheet1!A:O,15,0)</f>
        <v>Blockchain Development</v>
      </c>
      <c r="H177" s="19">
        <f>VLOOKUP(A177,Sheet1!A:Q,17,0)</f>
        <v>34</v>
      </c>
      <c r="I177" s="20">
        <f>VLOOKUP(A177,Sheet1!A:V,22,0)</f>
        <v>30</v>
      </c>
      <c r="J177" s="21">
        <f>VLOOKUP(A177,Sheet1!A:X,24,0)</f>
        <v>2.5653508771929814</v>
      </c>
      <c r="K177" s="19" t="str">
        <f>VLOOKUP(A177,Sheet1!A:AB,28,0)</f>
        <v>Yes</v>
      </c>
      <c r="L177" s="27">
        <f>VLOOKUP(A177,Sheet1!A:AD,30,0)</f>
        <v>79.631496062992127</v>
      </c>
    </row>
    <row r="178" spans="1:12" x14ac:dyDescent="0.3">
      <c r="A178" s="14" t="s">
        <v>958</v>
      </c>
      <c r="B178" s="19" t="str">
        <f>VLOOKUP(A178,Sheet1!A:E,5,0)</f>
        <v>Barbara Brown</v>
      </c>
      <c r="C178" s="19" t="str">
        <f>VLOOKUP(A178,Sheet1!A:I,9,0)</f>
        <v>Female</v>
      </c>
      <c r="D178" s="19">
        <f>VLOOKUP(A178,Sheet1!A:K,11,0)</f>
        <v>53</v>
      </c>
      <c r="E178" s="19" t="str">
        <f>VLOOKUP(A178,Sheet1!A:M,13,0)</f>
        <v>Netherlands</v>
      </c>
      <c r="F178" s="19" t="str">
        <f>VLOOKUP(A178,Sheet1!A:N,14,0)</f>
        <v>Dutch</v>
      </c>
      <c r="G178" s="19" t="str">
        <f>VLOOKUP(A178,Sheet1!A:O,15,0)</f>
        <v>Machine Learning</v>
      </c>
      <c r="H178" s="19">
        <f>VLOOKUP(A178,Sheet1!A:Q,17,0)</f>
        <v>13</v>
      </c>
      <c r="I178" s="20">
        <f>VLOOKUP(A178,Sheet1!A:V,22,0)</f>
        <v>50</v>
      </c>
      <c r="J178" s="21">
        <f>VLOOKUP(A178,Sheet1!A:X,24,0)</f>
        <v>3.3</v>
      </c>
      <c r="K178" s="19" t="str">
        <f>VLOOKUP(A178,Sheet1!A:AB,28,0)</f>
        <v>Yes</v>
      </c>
      <c r="L178" s="27">
        <f>VLOOKUP(A178,Sheet1!A:AD,30,0)</f>
        <v>93</v>
      </c>
    </row>
    <row r="179" spans="1:12" x14ac:dyDescent="0.3">
      <c r="A179" s="14" t="s">
        <v>1546</v>
      </c>
      <c r="B179" s="19" t="str">
        <f>VLOOKUP(A179,Sheet1!A:E,5,0)</f>
        <v>Christine Castro</v>
      </c>
      <c r="C179" s="19" t="str">
        <f>VLOOKUP(A179,Sheet1!A:I,9,0)</f>
        <v>Female</v>
      </c>
      <c r="D179" s="19">
        <f>VLOOKUP(A179,Sheet1!A:K,11,0)</f>
        <v>53</v>
      </c>
      <c r="E179" s="19" t="str">
        <f>VLOOKUP(A179,Sheet1!A:M,13,0)</f>
        <v>South Korea</v>
      </c>
      <c r="F179" s="19" t="str">
        <f>VLOOKUP(A179,Sheet1!A:N,14,0)</f>
        <v>Korean</v>
      </c>
      <c r="G179" s="19" t="str">
        <f>VLOOKUP(A179,Sheet1!A:O,15,0)</f>
        <v>UI/UX Design</v>
      </c>
      <c r="H179" s="19">
        <f>VLOOKUP(A179,Sheet1!A:Q,17,0)</f>
        <v>21</v>
      </c>
      <c r="I179" s="20">
        <f>VLOOKUP(A179,Sheet1!A:V,22,0)</f>
        <v>30</v>
      </c>
      <c r="J179" s="21">
        <f>VLOOKUP(A179,Sheet1!A:X,24,0)</f>
        <v>4.2</v>
      </c>
      <c r="K179" s="19" t="str">
        <f>VLOOKUP(A179,Sheet1!A:AB,28,0)</f>
        <v>Yes</v>
      </c>
      <c r="L179" s="27">
        <f>VLOOKUP(A179,Sheet1!A:AD,30,0)</f>
        <v>73</v>
      </c>
    </row>
    <row r="180" spans="1:12" x14ac:dyDescent="0.3">
      <c r="A180" s="14" t="s">
        <v>777</v>
      </c>
      <c r="B180" s="19" t="str">
        <f>VLOOKUP(A180,Sheet1!A:E,5,0)</f>
        <v>Clarence Vega</v>
      </c>
      <c r="C180" s="19" t="str">
        <f>VLOOKUP(A180,Sheet1!A:I,9,0)</f>
        <v>Male</v>
      </c>
      <c r="D180" s="19">
        <f>VLOOKUP(A180,Sheet1!A:K,11,0)</f>
        <v>53</v>
      </c>
      <c r="E180" s="19" t="str">
        <f>VLOOKUP(A180,Sheet1!A:M,13,0)</f>
        <v>Italy</v>
      </c>
      <c r="F180" s="19" t="str">
        <f>VLOOKUP(A180,Sheet1!A:N,14,0)</f>
        <v>Italian</v>
      </c>
      <c r="G180" s="19" t="str">
        <f>VLOOKUP(A180,Sheet1!A:O,15,0)</f>
        <v>AI</v>
      </c>
      <c r="H180" s="19">
        <f>VLOOKUP(A180,Sheet1!A:Q,17,0)</f>
        <v>4</v>
      </c>
      <c r="I180" s="20">
        <f>VLOOKUP(A180,Sheet1!A:V,22,0)</f>
        <v>30</v>
      </c>
      <c r="J180" s="21">
        <f>VLOOKUP(A180,Sheet1!A:X,24,0)</f>
        <v>4.7</v>
      </c>
      <c r="K180" s="19" t="str">
        <f>VLOOKUP(A180,Sheet1!A:AB,28,0)</f>
        <v>No</v>
      </c>
      <c r="L180" s="27">
        <f>VLOOKUP(A180,Sheet1!A:AD,30,0)</f>
        <v>99</v>
      </c>
    </row>
    <row r="181" spans="1:12" x14ac:dyDescent="0.3">
      <c r="A181" s="14" t="s">
        <v>2008</v>
      </c>
      <c r="B181" s="19" t="str">
        <f>VLOOKUP(A181,Sheet1!A:E,5,0)</f>
        <v>Daniel Green</v>
      </c>
      <c r="C181" s="19" t="str">
        <f>VLOOKUP(A181,Sheet1!A:I,9,0)</f>
        <v>Male</v>
      </c>
      <c r="D181" s="19">
        <f>VLOOKUP(A181,Sheet1!A:K,11,0)</f>
        <v>53</v>
      </c>
      <c r="E181" s="19" t="str">
        <f>VLOOKUP(A181,Sheet1!A:M,13,0)</f>
        <v>Netherlands</v>
      </c>
      <c r="F181" s="19" t="str">
        <f>VLOOKUP(A181,Sheet1!A:N,14,0)</f>
        <v>Dutch</v>
      </c>
      <c r="G181" s="19" t="str">
        <f>VLOOKUP(A181,Sheet1!A:O,15,0)</f>
        <v>DevOps</v>
      </c>
      <c r="H181" s="19">
        <f>VLOOKUP(A181,Sheet1!A:Q,17,0)</f>
        <v>27</v>
      </c>
      <c r="I181" s="20">
        <f>VLOOKUP(A181,Sheet1!A:V,22,0)</f>
        <v>20</v>
      </c>
      <c r="J181" s="21">
        <f>VLOOKUP(A181,Sheet1!A:X,24,0)</f>
        <v>4.7</v>
      </c>
      <c r="K181" s="19" t="str">
        <f>VLOOKUP(A181,Sheet1!A:AB,28,0)</f>
        <v>Yes</v>
      </c>
      <c r="L181" s="27">
        <f>VLOOKUP(A181,Sheet1!A:AD,30,0)</f>
        <v>71</v>
      </c>
    </row>
    <row r="182" spans="1:12" x14ac:dyDescent="0.3">
      <c r="A182" s="14" t="s">
        <v>1313</v>
      </c>
      <c r="B182" s="19" t="str">
        <f>VLOOKUP(A182,Sheet1!A:E,5,0)</f>
        <v>Dustin Smith</v>
      </c>
      <c r="C182" s="19" t="str">
        <f>VLOOKUP(A182,Sheet1!A:I,9,0)</f>
        <v>Male</v>
      </c>
      <c r="D182" s="19">
        <f>VLOOKUP(A182,Sheet1!A:K,11,0)</f>
        <v>53</v>
      </c>
      <c r="E182" s="19" t="str">
        <f>VLOOKUP(A182,Sheet1!A:M,13,0)</f>
        <v>South Korea</v>
      </c>
      <c r="F182" s="19" t="str">
        <f>VLOOKUP(A182,Sheet1!A:N,14,0)</f>
        <v>Korean</v>
      </c>
      <c r="G182" s="19" t="str">
        <f>VLOOKUP(A182,Sheet1!A:O,15,0)</f>
        <v>Web Development</v>
      </c>
      <c r="H182" s="19">
        <f>VLOOKUP(A182,Sheet1!A:Q,17,0)</f>
        <v>21</v>
      </c>
      <c r="I182" s="20">
        <f>VLOOKUP(A182,Sheet1!A:V,22,0)</f>
        <v>40</v>
      </c>
      <c r="J182" s="21">
        <f>VLOOKUP(A182,Sheet1!A:X,24,0)</f>
        <v>4.7</v>
      </c>
      <c r="K182" s="19" t="str">
        <f>VLOOKUP(A182,Sheet1!A:AB,28,0)</f>
        <v>Yes</v>
      </c>
      <c r="L182" s="27">
        <f>VLOOKUP(A182,Sheet1!A:AD,30,0)</f>
        <v>62</v>
      </c>
    </row>
    <row r="183" spans="1:12" x14ac:dyDescent="0.3">
      <c r="A183" s="14" t="s">
        <v>1680</v>
      </c>
      <c r="B183" s="19" t="str">
        <f>VLOOKUP(A183,Sheet1!A:E,5,0)</f>
        <v>Dwayne Parks</v>
      </c>
      <c r="C183" s="19" t="str">
        <f>VLOOKUP(A183,Sheet1!A:I,9,0)</f>
        <v>Male</v>
      </c>
      <c r="D183" s="19">
        <f>VLOOKUP(A183,Sheet1!A:K,11,0)</f>
        <v>53</v>
      </c>
      <c r="E183" s="19" t="str">
        <f>VLOOKUP(A183,Sheet1!A:M,13,0)</f>
        <v>Russia</v>
      </c>
      <c r="F183" s="19" t="str">
        <f>VLOOKUP(A183,Sheet1!A:N,14,0)</f>
        <v>Russian</v>
      </c>
      <c r="G183" s="19" t="str">
        <f>VLOOKUP(A183,Sheet1!A:O,15,0)</f>
        <v>Cybersecurity</v>
      </c>
      <c r="H183" s="19">
        <f>VLOOKUP(A183,Sheet1!A:Q,17,0)</f>
        <v>12</v>
      </c>
      <c r="I183" s="20">
        <f>VLOOKUP(A183,Sheet1!A:V,22,0)</f>
        <v>100</v>
      </c>
      <c r="J183" s="21">
        <f>VLOOKUP(A183,Sheet1!A:X,24,0)</f>
        <v>4.7</v>
      </c>
      <c r="K183" s="19" t="str">
        <f>VLOOKUP(A183,Sheet1!A:AB,28,0)</f>
        <v>Yes</v>
      </c>
      <c r="L183" s="27">
        <f>VLOOKUP(A183,Sheet1!A:AD,30,0)</f>
        <v>87</v>
      </c>
    </row>
    <row r="184" spans="1:12" x14ac:dyDescent="0.3">
      <c r="A184" s="14" t="s">
        <v>1893</v>
      </c>
      <c r="B184" s="19" t="str">
        <f>VLOOKUP(A184,Sheet1!A:E,5,0)</f>
        <v>Jennifer Baker</v>
      </c>
      <c r="C184" s="19" t="str">
        <f>VLOOKUP(A184,Sheet1!A:I,9,0)</f>
        <v>Female</v>
      </c>
      <c r="D184" s="19">
        <f>VLOOKUP(A184,Sheet1!A:K,11,0)</f>
        <v>53</v>
      </c>
      <c r="E184" s="19" t="str">
        <f>VLOOKUP(A184,Sheet1!A:M,13,0)</f>
        <v>Russia</v>
      </c>
      <c r="F184" s="19" t="str">
        <f>VLOOKUP(A184,Sheet1!A:N,14,0)</f>
        <v>Russian</v>
      </c>
      <c r="G184" s="19" t="str">
        <f>VLOOKUP(A184,Sheet1!A:O,15,0)</f>
        <v>Graphic Design</v>
      </c>
      <c r="H184" s="19">
        <f>VLOOKUP(A184,Sheet1!A:Q,17,0)</f>
        <v>32</v>
      </c>
      <c r="I184" s="20">
        <f>VLOOKUP(A184,Sheet1!A:V,22,0)</f>
        <v>20</v>
      </c>
      <c r="J184" s="21">
        <f>VLOOKUP(A184,Sheet1!A:X,24,0)</f>
        <v>0</v>
      </c>
      <c r="K184" s="19" t="str">
        <f>VLOOKUP(A184,Sheet1!A:AB,28,0)</f>
        <v>No</v>
      </c>
      <c r="L184" s="27">
        <f>VLOOKUP(A184,Sheet1!A:AD,30,0)</f>
        <v>80.833333333333329</v>
      </c>
    </row>
    <row r="185" spans="1:12" x14ac:dyDescent="0.3">
      <c r="A185" s="14" t="s">
        <v>1658</v>
      </c>
      <c r="B185" s="19" t="str">
        <f>VLOOKUP(A185,Sheet1!A:E,5,0)</f>
        <v>Jeremy Smith</v>
      </c>
      <c r="C185" s="19" t="str">
        <f>VLOOKUP(A185,Sheet1!A:I,9,0)</f>
        <v>Male</v>
      </c>
      <c r="D185" s="19">
        <f>VLOOKUP(A185,Sheet1!A:K,11,0)</f>
        <v>53</v>
      </c>
      <c r="E185" s="19" t="str">
        <f>VLOOKUP(A185,Sheet1!A:M,13,0)</f>
        <v>United Kingdom</v>
      </c>
      <c r="F185" s="19" t="str">
        <f>VLOOKUP(A185,Sheet1!A:N,14,0)</f>
        <v>English</v>
      </c>
      <c r="G185" s="19" t="str">
        <f>VLOOKUP(A185,Sheet1!A:O,15,0)</f>
        <v>DevOps</v>
      </c>
      <c r="H185" s="19">
        <f>VLOOKUP(A185,Sheet1!A:Q,17,0)</f>
        <v>5</v>
      </c>
      <c r="I185" s="20">
        <f>VLOOKUP(A185,Sheet1!A:V,22,0)</f>
        <v>75</v>
      </c>
      <c r="J185" s="21">
        <f>VLOOKUP(A185,Sheet1!A:X,24,0)</f>
        <v>1.1000000000000001</v>
      </c>
      <c r="K185" s="19" t="str">
        <f>VLOOKUP(A185,Sheet1!A:AB,28,0)</f>
        <v>No</v>
      </c>
      <c r="L185" s="27">
        <f>VLOOKUP(A185,Sheet1!A:AD,30,0)</f>
        <v>92</v>
      </c>
    </row>
    <row r="186" spans="1:12" x14ac:dyDescent="0.3">
      <c r="A186" s="14" t="s">
        <v>1014</v>
      </c>
      <c r="B186" s="19" t="str">
        <f>VLOOKUP(A186,Sheet1!A:E,5,0)</f>
        <v>Jesus Quinn</v>
      </c>
      <c r="C186" s="19" t="str">
        <f>VLOOKUP(A186,Sheet1!A:I,9,0)</f>
        <v>Male</v>
      </c>
      <c r="D186" s="19">
        <f>VLOOKUP(A186,Sheet1!A:K,11,0)</f>
        <v>53</v>
      </c>
      <c r="E186" s="19" t="str">
        <f>VLOOKUP(A186,Sheet1!A:M,13,0)</f>
        <v>France</v>
      </c>
      <c r="F186" s="19" t="str">
        <f>VLOOKUP(A186,Sheet1!A:N,14,0)</f>
        <v>French</v>
      </c>
      <c r="G186" s="19" t="str">
        <f>VLOOKUP(A186,Sheet1!A:O,15,0)</f>
        <v>Mobile Apps</v>
      </c>
      <c r="H186" s="19">
        <f>VLOOKUP(A186,Sheet1!A:Q,17,0)</f>
        <v>35</v>
      </c>
      <c r="I186" s="20">
        <f>VLOOKUP(A186,Sheet1!A:V,22,0)</f>
        <v>53.252032520325201</v>
      </c>
      <c r="J186" s="21">
        <f>VLOOKUP(A186,Sheet1!A:X,24,0)</f>
        <v>5</v>
      </c>
      <c r="K186" s="19" t="str">
        <f>VLOOKUP(A186,Sheet1!A:AB,28,0)</f>
        <v>Yes</v>
      </c>
      <c r="L186" s="27">
        <f>VLOOKUP(A186,Sheet1!A:AD,30,0)</f>
        <v>62</v>
      </c>
    </row>
    <row r="187" spans="1:12" x14ac:dyDescent="0.3">
      <c r="A187" s="14" t="s">
        <v>28</v>
      </c>
      <c r="B187" s="19" t="str">
        <f>VLOOKUP(A187,Sheet1!A:E,5,0)</f>
        <v>Juan Nelson</v>
      </c>
      <c r="C187" s="19" t="str">
        <f>VLOOKUP(A187,Sheet1!A:I,9,0)</f>
        <v>Male</v>
      </c>
      <c r="D187" s="19">
        <f>VLOOKUP(A187,Sheet1!A:K,11,0)</f>
        <v>53</v>
      </c>
      <c r="E187" s="19" t="str">
        <f>VLOOKUP(A187,Sheet1!A:M,13,0)</f>
        <v>Germany</v>
      </c>
      <c r="F187" s="19" t="str">
        <f>VLOOKUP(A187,Sheet1!A:N,14,0)</f>
        <v>German</v>
      </c>
      <c r="G187" s="19" t="str">
        <f>VLOOKUP(A187,Sheet1!A:O,15,0)</f>
        <v>Graphic Design</v>
      </c>
      <c r="H187" s="19">
        <f>VLOOKUP(A187,Sheet1!A:Q,17,0)</f>
        <v>31</v>
      </c>
      <c r="I187" s="20">
        <f>VLOOKUP(A187,Sheet1!A:V,22,0)</f>
        <v>50</v>
      </c>
      <c r="J187" s="21">
        <f>VLOOKUP(A187,Sheet1!A:X,24,0)</f>
        <v>0</v>
      </c>
      <c r="K187" s="19" t="str">
        <f>VLOOKUP(A187,Sheet1!A:AB,28,0)</f>
        <v>No</v>
      </c>
      <c r="L187" s="27">
        <f>VLOOKUP(A187,Sheet1!A:AD,30,0)</f>
        <v>71</v>
      </c>
    </row>
    <row r="188" spans="1:12" x14ac:dyDescent="0.3">
      <c r="A188" s="14" t="s">
        <v>1895</v>
      </c>
      <c r="B188" s="19" t="str">
        <f>VLOOKUP(A188,Sheet1!A:E,5,0)</f>
        <v>Kim Martinez</v>
      </c>
      <c r="C188" s="19" t="str">
        <f>VLOOKUP(A188,Sheet1!A:I,9,0)</f>
        <v>Female</v>
      </c>
      <c r="D188" s="19">
        <f>VLOOKUP(A188,Sheet1!A:K,11,0)</f>
        <v>53</v>
      </c>
      <c r="E188" s="19" t="str">
        <f>VLOOKUP(A188,Sheet1!A:M,13,0)</f>
        <v>Argentina</v>
      </c>
      <c r="F188" s="19" t="str">
        <f>VLOOKUP(A188,Sheet1!A:N,14,0)</f>
        <v>Spanish</v>
      </c>
      <c r="G188" s="19" t="str">
        <f>VLOOKUP(A188,Sheet1!A:O,15,0)</f>
        <v>Mobile Apps</v>
      </c>
      <c r="H188" s="19">
        <f>VLOOKUP(A188,Sheet1!A:Q,17,0)</f>
        <v>19</v>
      </c>
      <c r="I188" s="20">
        <f>VLOOKUP(A188,Sheet1!A:V,22,0)</f>
        <v>20</v>
      </c>
      <c r="J188" s="21">
        <f>VLOOKUP(A188,Sheet1!A:X,24,0)</f>
        <v>1.3</v>
      </c>
      <c r="K188" s="19" t="str">
        <f>VLOOKUP(A188,Sheet1!A:AB,28,0)</f>
        <v>No</v>
      </c>
      <c r="L188" s="27">
        <f>VLOOKUP(A188,Sheet1!A:AD,30,0)</f>
        <v>80.833333333333329</v>
      </c>
    </row>
    <row r="189" spans="1:12" x14ac:dyDescent="0.3">
      <c r="A189" s="14" t="s">
        <v>1782</v>
      </c>
      <c r="B189" s="19" t="str">
        <f>VLOOKUP(A189,Sheet1!A:E,5,0)</f>
        <v>Kristine Garcia</v>
      </c>
      <c r="C189" s="19" t="str">
        <f>VLOOKUP(A189,Sheet1!A:I,9,0)</f>
        <v>Female</v>
      </c>
      <c r="D189" s="19">
        <f>VLOOKUP(A189,Sheet1!A:K,11,0)</f>
        <v>53</v>
      </c>
      <c r="E189" s="19" t="str">
        <f>VLOOKUP(A189,Sheet1!A:M,13,0)</f>
        <v>France</v>
      </c>
      <c r="F189" s="19" t="str">
        <f>VLOOKUP(A189,Sheet1!A:N,14,0)</f>
        <v>French</v>
      </c>
      <c r="G189" s="19" t="str">
        <f>VLOOKUP(A189,Sheet1!A:O,15,0)</f>
        <v>Graphic Design</v>
      </c>
      <c r="H189" s="19">
        <f>VLOOKUP(A189,Sheet1!A:Q,17,0)</f>
        <v>16</v>
      </c>
      <c r="I189" s="20">
        <f>VLOOKUP(A189,Sheet1!A:V,22,0)</f>
        <v>40</v>
      </c>
      <c r="J189" s="21">
        <f>VLOOKUP(A189,Sheet1!A:X,24,0)</f>
        <v>0</v>
      </c>
      <c r="K189" s="19" t="str">
        <f>VLOOKUP(A189,Sheet1!A:AB,28,0)</f>
        <v>No</v>
      </c>
      <c r="L189" s="27">
        <f>VLOOKUP(A189,Sheet1!A:AD,30,0)</f>
        <v>79.960629921259837</v>
      </c>
    </row>
    <row r="190" spans="1:12" x14ac:dyDescent="0.3">
      <c r="A190" s="14" t="s">
        <v>41</v>
      </c>
      <c r="B190" s="19" t="str">
        <f>VLOOKUP(A190,Sheet1!A:E,5,0)</f>
        <v>Lynn Curtis</v>
      </c>
      <c r="C190" s="19" t="str">
        <f>VLOOKUP(A190,Sheet1!A:I,9,0)</f>
        <v>Female</v>
      </c>
      <c r="D190" s="19">
        <f>VLOOKUP(A190,Sheet1!A:K,11,0)</f>
        <v>53</v>
      </c>
      <c r="E190" s="19" t="str">
        <f>VLOOKUP(A190,Sheet1!A:M,13,0)</f>
        <v>Germany</v>
      </c>
      <c r="F190" s="19" t="str">
        <f>VLOOKUP(A190,Sheet1!A:N,14,0)</f>
        <v>German</v>
      </c>
      <c r="G190" s="19" t="str">
        <f>VLOOKUP(A190,Sheet1!A:O,15,0)</f>
        <v>Web Development</v>
      </c>
      <c r="H190" s="19">
        <f>VLOOKUP(A190,Sheet1!A:Q,17,0)</f>
        <v>27</v>
      </c>
      <c r="I190" s="20">
        <f>VLOOKUP(A190,Sheet1!A:V,22,0)</f>
        <v>30</v>
      </c>
      <c r="J190" s="21">
        <f>VLOOKUP(A190,Sheet1!A:X,24,0)</f>
        <v>4.8</v>
      </c>
      <c r="K190" s="19" t="str">
        <f>VLOOKUP(A190,Sheet1!A:AB,28,0)</f>
        <v>No</v>
      </c>
      <c r="L190" s="27">
        <f>VLOOKUP(A190,Sheet1!A:AD,30,0)</f>
        <v>83</v>
      </c>
    </row>
    <row r="191" spans="1:12" x14ac:dyDescent="0.3">
      <c r="A191" s="14" t="s">
        <v>1578</v>
      </c>
      <c r="B191" s="19" t="str">
        <f>VLOOKUP(A191,Sheet1!A:E,5,0)</f>
        <v>Mark Clark</v>
      </c>
      <c r="C191" s="19" t="str">
        <f>VLOOKUP(A191,Sheet1!A:I,9,0)</f>
        <v>Male</v>
      </c>
      <c r="D191" s="19">
        <f>VLOOKUP(A191,Sheet1!A:K,11,0)</f>
        <v>53</v>
      </c>
      <c r="E191" s="19" t="str">
        <f>VLOOKUP(A191,Sheet1!A:M,13,0)</f>
        <v>Indonesia</v>
      </c>
      <c r="F191" s="19" t="str">
        <f>VLOOKUP(A191,Sheet1!A:N,14,0)</f>
        <v>Indonesian</v>
      </c>
      <c r="G191" s="19" t="str">
        <f>VLOOKUP(A191,Sheet1!A:O,15,0)</f>
        <v>AI</v>
      </c>
      <c r="H191" s="19">
        <f>VLOOKUP(A191,Sheet1!A:Q,17,0)</f>
        <v>28</v>
      </c>
      <c r="I191" s="20">
        <f>VLOOKUP(A191,Sheet1!A:V,22,0)</f>
        <v>50</v>
      </c>
      <c r="J191" s="21">
        <f>VLOOKUP(A191,Sheet1!A:X,24,0)</f>
        <v>2.9</v>
      </c>
      <c r="K191" s="19" t="str">
        <f>VLOOKUP(A191,Sheet1!A:AB,28,0)</f>
        <v>Yes</v>
      </c>
      <c r="L191" s="27">
        <f>VLOOKUP(A191,Sheet1!A:AD,30,0)</f>
        <v>82</v>
      </c>
    </row>
    <row r="192" spans="1:12" x14ac:dyDescent="0.3">
      <c r="A192" s="14" t="s">
        <v>1850</v>
      </c>
      <c r="B192" s="19" t="str">
        <f>VLOOKUP(A192,Sheet1!A:E,5,0)</f>
        <v>Martin Moreno</v>
      </c>
      <c r="C192" s="19" t="str">
        <f>VLOOKUP(A192,Sheet1!A:I,9,0)</f>
        <v>Male</v>
      </c>
      <c r="D192" s="19">
        <f>VLOOKUP(A192,Sheet1!A:K,11,0)</f>
        <v>53</v>
      </c>
      <c r="E192" s="19" t="str">
        <f>VLOOKUP(A192,Sheet1!A:M,13,0)</f>
        <v>Netherlands</v>
      </c>
      <c r="F192" s="19" t="str">
        <f>VLOOKUP(A192,Sheet1!A:N,14,0)</f>
        <v>Dutch</v>
      </c>
      <c r="G192" s="19" t="str">
        <f>VLOOKUP(A192,Sheet1!A:O,15,0)</f>
        <v>Web Development</v>
      </c>
      <c r="H192" s="19">
        <f>VLOOKUP(A192,Sheet1!A:Q,17,0)</f>
        <v>32</v>
      </c>
      <c r="I192" s="20">
        <f>VLOOKUP(A192,Sheet1!A:V,22,0)</f>
        <v>50</v>
      </c>
      <c r="J192" s="21">
        <f>VLOOKUP(A192,Sheet1!A:X,24,0)</f>
        <v>2.5148148148148142</v>
      </c>
      <c r="K192" s="19" t="str">
        <f>VLOOKUP(A192,Sheet1!A:AB,28,0)</f>
        <v>Yes</v>
      </c>
      <c r="L192" s="27">
        <f>VLOOKUP(A192,Sheet1!A:AD,30,0)</f>
        <v>80.715686274509807</v>
      </c>
    </row>
    <row r="193" spans="1:12" x14ac:dyDescent="0.3">
      <c r="A193" s="14" t="s">
        <v>1479</v>
      </c>
      <c r="B193" s="19" t="str">
        <f>VLOOKUP(A193,Sheet1!A:E,5,0)</f>
        <v>Mary Brown</v>
      </c>
      <c r="C193" s="19" t="str">
        <f>VLOOKUP(A193,Sheet1!A:I,9,0)</f>
        <v>Female</v>
      </c>
      <c r="D193" s="19">
        <f>VLOOKUP(A193,Sheet1!A:K,11,0)</f>
        <v>53</v>
      </c>
      <c r="E193" s="19" t="str">
        <f>VLOOKUP(A193,Sheet1!A:M,13,0)</f>
        <v>South Africa</v>
      </c>
      <c r="F193" s="19" t="str">
        <f>VLOOKUP(A193,Sheet1!A:N,14,0)</f>
        <v>Afrikaans</v>
      </c>
      <c r="G193" s="19" t="str">
        <f>VLOOKUP(A193,Sheet1!A:O,15,0)</f>
        <v>Graphic Design</v>
      </c>
      <c r="H193" s="19">
        <f>VLOOKUP(A193,Sheet1!A:Q,17,0)</f>
        <v>35</v>
      </c>
      <c r="I193" s="20">
        <f>VLOOKUP(A193,Sheet1!A:V,22,0)</f>
        <v>52.897526501766784</v>
      </c>
      <c r="J193" s="21">
        <f>VLOOKUP(A193,Sheet1!A:X,24,0)</f>
        <v>0</v>
      </c>
      <c r="K193" s="19" t="str">
        <f>VLOOKUP(A193,Sheet1!A:AB,28,0)</f>
        <v>Yes</v>
      </c>
      <c r="L193" s="27">
        <f>VLOOKUP(A193,Sheet1!A:AD,30,0)</f>
        <v>67</v>
      </c>
    </row>
    <row r="194" spans="1:12" x14ac:dyDescent="0.3">
      <c r="A194" s="14" t="s">
        <v>681</v>
      </c>
      <c r="B194" s="19" t="str">
        <f>VLOOKUP(A194,Sheet1!A:E,5,0)</f>
        <v>Mike Stanley</v>
      </c>
      <c r="C194" s="19" t="str">
        <f>VLOOKUP(A194,Sheet1!A:I,9,0)</f>
        <v>Male</v>
      </c>
      <c r="D194" s="19">
        <f>VLOOKUP(A194,Sheet1!A:K,11,0)</f>
        <v>53</v>
      </c>
      <c r="E194" s="19" t="str">
        <f>VLOOKUP(A194,Sheet1!A:M,13,0)</f>
        <v>Mexico</v>
      </c>
      <c r="F194" s="19" t="str">
        <f>VLOOKUP(A194,Sheet1!A:N,14,0)</f>
        <v>Spanish</v>
      </c>
      <c r="G194" s="19" t="str">
        <f>VLOOKUP(A194,Sheet1!A:O,15,0)</f>
        <v>Web Development</v>
      </c>
      <c r="H194" s="19">
        <f>VLOOKUP(A194,Sheet1!A:Q,17,0)</f>
        <v>21</v>
      </c>
      <c r="I194" s="20">
        <f>VLOOKUP(A194,Sheet1!A:V,22,0)</f>
        <v>50</v>
      </c>
      <c r="J194" s="21">
        <f>VLOOKUP(A194,Sheet1!A:X,24,0)</f>
        <v>1.4</v>
      </c>
      <c r="K194" s="19" t="str">
        <f>VLOOKUP(A194,Sheet1!A:AB,28,0)</f>
        <v>No</v>
      </c>
      <c r="L194" s="27">
        <f>VLOOKUP(A194,Sheet1!A:AD,30,0)</f>
        <v>79.426621160409553</v>
      </c>
    </row>
    <row r="195" spans="1:12" x14ac:dyDescent="0.3">
      <c r="A195" s="14" t="s">
        <v>279</v>
      </c>
      <c r="B195" s="19" t="str">
        <f>VLOOKUP(A195,Sheet1!A:E,5,0)</f>
        <v>Paul Richardson</v>
      </c>
      <c r="C195" s="19" t="str">
        <f>VLOOKUP(A195,Sheet1!A:I,9,0)</f>
        <v>Male</v>
      </c>
      <c r="D195" s="19">
        <f>VLOOKUP(A195,Sheet1!A:K,11,0)</f>
        <v>53</v>
      </c>
      <c r="E195" s="19" t="str">
        <f>VLOOKUP(A195,Sheet1!A:M,13,0)</f>
        <v>China</v>
      </c>
      <c r="F195" s="19" t="str">
        <f>VLOOKUP(A195,Sheet1!A:N,14,0)</f>
        <v>Mandarin</v>
      </c>
      <c r="G195" s="19" t="str">
        <f>VLOOKUP(A195,Sheet1!A:O,15,0)</f>
        <v>UI/UX Design</v>
      </c>
      <c r="H195" s="19">
        <f>VLOOKUP(A195,Sheet1!A:Q,17,0)</f>
        <v>21</v>
      </c>
      <c r="I195" s="20">
        <f>VLOOKUP(A195,Sheet1!A:V,22,0)</f>
        <v>100</v>
      </c>
      <c r="J195" s="21">
        <f>VLOOKUP(A195,Sheet1!A:X,24,0)</f>
        <v>2.5207616707616696</v>
      </c>
      <c r="K195" s="19" t="str">
        <f>VLOOKUP(A195,Sheet1!A:AB,28,0)</f>
        <v>Yes</v>
      </c>
      <c r="L195" s="27">
        <f>VLOOKUP(A195,Sheet1!A:AD,30,0)</f>
        <v>97</v>
      </c>
    </row>
    <row r="196" spans="1:12" x14ac:dyDescent="0.3">
      <c r="A196" s="14" t="s">
        <v>1534</v>
      </c>
      <c r="B196" s="19" t="str">
        <f>VLOOKUP(A196,Sheet1!A:E,5,0)</f>
        <v>Shawna Palmer</v>
      </c>
      <c r="C196" s="19" t="str">
        <f>VLOOKUP(A196,Sheet1!A:I,9,0)</f>
        <v>Female</v>
      </c>
      <c r="D196" s="19">
        <f>VLOOKUP(A196,Sheet1!A:K,11,0)</f>
        <v>53</v>
      </c>
      <c r="E196" s="19" t="str">
        <f>VLOOKUP(A196,Sheet1!A:M,13,0)</f>
        <v>Mexico</v>
      </c>
      <c r="F196" s="19" t="str">
        <f>VLOOKUP(A196,Sheet1!A:N,14,0)</f>
        <v>Spanish</v>
      </c>
      <c r="G196" s="19" t="str">
        <f>VLOOKUP(A196,Sheet1!A:O,15,0)</f>
        <v>DevOps</v>
      </c>
      <c r="H196" s="19">
        <f>VLOOKUP(A196,Sheet1!A:Q,17,0)</f>
        <v>8</v>
      </c>
      <c r="I196" s="20">
        <f>VLOOKUP(A196,Sheet1!A:V,22,0)</f>
        <v>20</v>
      </c>
      <c r="J196" s="21">
        <f>VLOOKUP(A196,Sheet1!A:X,24,0)</f>
        <v>2.8</v>
      </c>
      <c r="K196" s="19" t="str">
        <f>VLOOKUP(A196,Sheet1!A:AB,28,0)</f>
        <v>Yes</v>
      </c>
      <c r="L196" s="27">
        <f>VLOOKUP(A196,Sheet1!A:AD,30,0)</f>
        <v>79.857740585774053</v>
      </c>
    </row>
    <row r="197" spans="1:12" x14ac:dyDescent="0.3">
      <c r="A197" s="14" t="s">
        <v>1911</v>
      </c>
      <c r="B197" s="19" t="str">
        <f>VLOOKUP(A197,Sheet1!A:E,5,0)</f>
        <v>Sonya Haley</v>
      </c>
      <c r="C197" s="19" t="str">
        <f>VLOOKUP(A197,Sheet1!A:I,9,0)</f>
        <v>Female</v>
      </c>
      <c r="D197" s="19">
        <f>VLOOKUP(A197,Sheet1!A:K,11,0)</f>
        <v>53</v>
      </c>
      <c r="E197" s="19" t="str">
        <f>VLOOKUP(A197,Sheet1!A:M,13,0)</f>
        <v>South Africa</v>
      </c>
      <c r="F197" s="19" t="str">
        <f>VLOOKUP(A197,Sheet1!A:N,14,0)</f>
        <v>Afrikaans</v>
      </c>
      <c r="G197" s="19" t="str">
        <f>VLOOKUP(A197,Sheet1!A:O,15,0)</f>
        <v>Machine Learning</v>
      </c>
      <c r="H197" s="19">
        <f>VLOOKUP(A197,Sheet1!A:Q,17,0)</f>
        <v>26</v>
      </c>
      <c r="I197" s="20">
        <f>VLOOKUP(A197,Sheet1!A:V,22,0)</f>
        <v>75</v>
      </c>
      <c r="J197" s="21">
        <f>VLOOKUP(A197,Sheet1!A:X,24,0)</f>
        <v>2.4</v>
      </c>
      <c r="K197" s="19" t="str">
        <f>VLOOKUP(A197,Sheet1!A:AB,28,0)</f>
        <v>Yes</v>
      </c>
      <c r="L197" s="27">
        <f>VLOOKUP(A197,Sheet1!A:AD,30,0)</f>
        <v>80.948717948717942</v>
      </c>
    </row>
    <row r="198" spans="1:12" x14ac:dyDescent="0.3">
      <c r="A198" s="14" t="s">
        <v>755</v>
      </c>
      <c r="B198" s="19" t="str">
        <f>VLOOKUP(A198,Sheet1!A:E,5,0)</f>
        <v>Tammy Hill</v>
      </c>
      <c r="C198" s="19" t="str">
        <f>VLOOKUP(A198,Sheet1!A:I,9,0)</f>
        <v>Female</v>
      </c>
      <c r="D198" s="19">
        <f>VLOOKUP(A198,Sheet1!A:K,11,0)</f>
        <v>53</v>
      </c>
      <c r="E198" s="19" t="str">
        <f>VLOOKUP(A198,Sheet1!A:M,13,0)</f>
        <v>United States</v>
      </c>
      <c r="F198" s="19" t="str">
        <f>VLOOKUP(A198,Sheet1!A:N,14,0)</f>
        <v>English</v>
      </c>
      <c r="G198" s="19" t="str">
        <f>VLOOKUP(A198,Sheet1!A:O,15,0)</f>
        <v>Mobile Apps</v>
      </c>
      <c r="H198" s="19">
        <f>VLOOKUP(A198,Sheet1!A:Q,17,0)</f>
        <v>33</v>
      </c>
      <c r="I198" s="20">
        <f>VLOOKUP(A198,Sheet1!A:V,22,0)</f>
        <v>100</v>
      </c>
      <c r="J198" s="21">
        <f>VLOOKUP(A198,Sheet1!A:X,24,0)</f>
        <v>2.565391014975039</v>
      </c>
      <c r="K198" s="19" t="str">
        <f>VLOOKUP(A198,Sheet1!A:AB,28,0)</f>
        <v>No</v>
      </c>
      <c r="L198" s="27">
        <f>VLOOKUP(A198,Sheet1!A:AD,30,0)</f>
        <v>75</v>
      </c>
    </row>
    <row r="199" spans="1:12" x14ac:dyDescent="0.3">
      <c r="A199" s="14" t="s">
        <v>2038</v>
      </c>
      <c r="B199" s="19" t="str">
        <f>VLOOKUP(A199,Sheet1!A:E,5,0)</f>
        <v>Timothy Barton</v>
      </c>
      <c r="C199" s="19" t="str">
        <f>VLOOKUP(A199,Sheet1!A:I,9,0)</f>
        <v>Male</v>
      </c>
      <c r="D199" s="19">
        <f>VLOOKUP(A199,Sheet1!A:K,11,0)</f>
        <v>53</v>
      </c>
      <c r="E199" s="19" t="str">
        <f>VLOOKUP(A199,Sheet1!A:M,13,0)</f>
        <v>South Korea</v>
      </c>
      <c r="F199" s="19" t="str">
        <f>VLOOKUP(A199,Sheet1!A:N,14,0)</f>
        <v>Korean</v>
      </c>
      <c r="G199" s="19" t="str">
        <f>VLOOKUP(A199,Sheet1!A:O,15,0)</f>
        <v>Machine Learning</v>
      </c>
      <c r="H199" s="19">
        <f>VLOOKUP(A199,Sheet1!A:Q,17,0)</f>
        <v>27</v>
      </c>
      <c r="I199" s="20">
        <f>VLOOKUP(A199,Sheet1!A:V,22,0)</f>
        <v>100</v>
      </c>
      <c r="J199" s="21">
        <f>VLOOKUP(A199,Sheet1!A:X,24,0)</f>
        <v>3.7</v>
      </c>
      <c r="K199" s="19" t="str">
        <f>VLOOKUP(A199,Sheet1!A:AB,28,0)</f>
        <v>No</v>
      </c>
      <c r="L199" s="27">
        <f>VLOOKUP(A199,Sheet1!A:AD,30,0)</f>
        <v>73</v>
      </c>
    </row>
    <row r="200" spans="1:12" x14ac:dyDescent="0.3">
      <c r="A200" s="14" t="s">
        <v>1518</v>
      </c>
      <c r="B200" s="19" t="str">
        <f>VLOOKUP(A200,Sheet1!A:E,5,0)</f>
        <v>Todd Turner</v>
      </c>
      <c r="C200" s="19" t="str">
        <f>VLOOKUP(A200,Sheet1!A:I,9,0)</f>
        <v>Male</v>
      </c>
      <c r="D200" s="19">
        <f>VLOOKUP(A200,Sheet1!A:K,11,0)</f>
        <v>53</v>
      </c>
      <c r="E200" s="19" t="str">
        <f>VLOOKUP(A200,Sheet1!A:M,13,0)</f>
        <v>Australia</v>
      </c>
      <c r="F200" s="19" t="str">
        <f>VLOOKUP(A200,Sheet1!A:N,14,0)</f>
        <v>English</v>
      </c>
      <c r="G200" s="19" t="str">
        <f>VLOOKUP(A200,Sheet1!A:O,15,0)</f>
        <v>UI/UX Design</v>
      </c>
      <c r="H200" s="19">
        <f>VLOOKUP(A200,Sheet1!A:Q,17,0)</f>
        <v>9</v>
      </c>
      <c r="I200" s="20">
        <f>VLOOKUP(A200,Sheet1!A:V,22,0)</f>
        <v>50</v>
      </c>
      <c r="J200" s="21">
        <f>VLOOKUP(A200,Sheet1!A:X,24,0)</f>
        <v>4</v>
      </c>
      <c r="K200" s="19" t="str">
        <f>VLOOKUP(A200,Sheet1!A:AB,28,0)</f>
        <v>Yes</v>
      </c>
      <c r="L200" s="27">
        <f>VLOOKUP(A200,Sheet1!A:AD,30,0)</f>
        <v>72</v>
      </c>
    </row>
    <row r="201" spans="1:12" x14ac:dyDescent="0.3">
      <c r="A201" s="14" t="s">
        <v>1616</v>
      </c>
      <c r="B201" s="19" t="str">
        <f>VLOOKUP(A201,Sheet1!A:E,5,0)</f>
        <v>Aaron Hicks</v>
      </c>
      <c r="C201" s="19" t="str">
        <f>VLOOKUP(A201,Sheet1!A:I,9,0)</f>
        <v>Male</v>
      </c>
      <c r="D201" s="19">
        <f>VLOOKUP(A201,Sheet1!A:K,11,0)</f>
        <v>52</v>
      </c>
      <c r="E201" s="19" t="str">
        <f>VLOOKUP(A201,Sheet1!A:M,13,0)</f>
        <v>India</v>
      </c>
      <c r="F201" s="19" t="str">
        <f>VLOOKUP(A201,Sheet1!A:N,14,0)</f>
        <v>Hindi</v>
      </c>
      <c r="G201" s="19" t="str">
        <f>VLOOKUP(A201,Sheet1!A:O,15,0)</f>
        <v>Blockchain Development</v>
      </c>
      <c r="H201" s="19">
        <f>VLOOKUP(A201,Sheet1!A:Q,17,0)</f>
        <v>7</v>
      </c>
      <c r="I201" s="20">
        <f>VLOOKUP(A201,Sheet1!A:V,22,0)</f>
        <v>40</v>
      </c>
      <c r="J201" s="21">
        <f>VLOOKUP(A201,Sheet1!A:X,24,0)</f>
        <v>2.2000000000000002</v>
      </c>
      <c r="K201" s="19" t="str">
        <f>VLOOKUP(A201,Sheet1!A:AB,28,0)</f>
        <v>Unknown</v>
      </c>
      <c r="L201" s="27">
        <f>VLOOKUP(A201,Sheet1!A:AD,30,0)</f>
        <v>96</v>
      </c>
    </row>
    <row r="202" spans="1:12" x14ac:dyDescent="0.3">
      <c r="A202" s="14" t="s">
        <v>661</v>
      </c>
      <c r="B202" s="19" t="str">
        <f>VLOOKUP(A202,Sheet1!A:E,5,0)</f>
        <v>Alex Novak</v>
      </c>
      <c r="C202" s="19" t="str">
        <f>VLOOKUP(A202,Sheet1!A:I,9,0)</f>
        <v>Male</v>
      </c>
      <c r="D202" s="19">
        <f>VLOOKUP(A202,Sheet1!A:K,11,0)</f>
        <v>52</v>
      </c>
      <c r="E202" s="19" t="str">
        <f>VLOOKUP(A202,Sheet1!A:M,13,0)</f>
        <v>South Korea</v>
      </c>
      <c r="F202" s="19" t="str">
        <f>VLOOKUP(A202,Sheet1!A:N,14,0)</f>
        <v>Korean</v>
      </c>
      <c r="G202" s="19" t="str">
        <f>VLOOKUP(A202,Sheet1!A:O,15,0)</f>
        <v>Cybersecurity</v>
      </c>
      <c r="H202" s="19">
        <f>VLOOKUP(A202,Sheet1!A:Q,17,0)</f>
        <v>20</v>
      </c>
      <c r="I202" s="20">
        <f>VLOOKUP(A202,Sheet1!A:V,22,0)</f>
        <v>50</v>
      </c>
      <c r="J202" s="21">
        <f>VLOOKUP(A202,Sheet1!A:X,24,0)</f>
        <v>2.551632970451009</v>
      </c>
      <c r="K202" s="19" t="str">
        <f>VLOOKUP(A202,Sheet1!A:AB,28,0)</f>
        <v>No</v>
      </c>
      <c r="L202" s="27">
        <f>VLOOKUP(A202,Sheet1!A:AD,30,0)</f>
        <v>79</v>
      </c>
    </row>
    <row r="203" spans="1:12" x14ac:dyDescent="0.3">
      <c r="A203" s="14" t="s">
        <v>1628</v>
      </c>
      <c r="B203" s="19" t="str">
        <f>VLOOKUP(A203,Sheet1!A:E,5,0)</f>
        <v>Amanda Martin</v>
      </c>
      <c r="C203" s="19" t="str">
        <f>VLOOKUP(A203,Sheet1!A:I,9,0)</f>
        <v>Female</v>
      </c>
      <c r="D203" s="19">
        <f>VLOOKUP(A203,Sheet1!A:K,11,0)</f>
        <v>52</v>
      </c>
      <c r="E203" s="19" t="str">
        <f>VLOOKUP(A203,Sheet1!A:M,13,0)</f>
        <v>South Korea</v>
      </c>
      <c r="F203" s="19" t="str">
        <f>VLOOKUP(A203,Sheet1!A:N,14,0)</f>
        <v>Korean</v>
      </c>
      <c r="G203" s="19" t="str">
        <f>VLOOKUP(A203,Sheet1!A:O,15,0)</f>
        <v>Data Analysis</v>
      </c>
      <c r="H203" s="19">
        <f>VLOOKUP(A203,Sheet1!A:Q,17,0)</f>
        <v>4</v>
      </c>
      <c r="I203" s="20">
        <f>VLOOKUP(A203,Sheet1!A:V,22,0)</f>
        <v>50</v>
      </c>
      <c r="J203" s="21">
        <f>VLOOKUP(A203,Sheet1!A:X,24,0)</f>
        <v>2.5269607843137258</v>
      </c>
      <c r="K203" s="19" t="str">
        <f>VLOOKUP(A203,Sheet1!A:AB,28,0)</f>
        <v>No</v>
      </c>
      <c r="L203" s="27">
        <f>VLOOKUP(A203,Sheet1!A:AD,30,0)</f>
        <v>84</v>
      </c>
    </row>
    <row r="204" spans="1:12" x14ac:dyDescent="0.3">
      <c r="A204" s="14" t="s">
        <v>1111</v>
      </c>
      <c r="B204" s="19" t="str">
        <f>VLOOKUP(A204,Sheet1!A:E,5,0)</f>
        <v>Anthony Gaines</v>
      </c>
      <c r="C204" s="19" t="str">
        <f>VLOOKUP(A204,Sheet1!A:I,9,0)</f>
        <v>Male</v>
      </c>
      <c r="D204" s="19">
        <f>VLOOKUP(A204,Sheet1!A:K,11,0)</f>
        <v>52</v>
      </c>
      <c r="E204" s="19" t="str">
        <f>VLOOKUP(A204,Sheet1!A:M,13,0)</f>
        <v>United States</v>
      </c>
      <c r="F204" s="19" t="str">
        <f>VLOOKUP(A204,Sheet1!A:N,14,0)</f>
        <v>English</v>
      </c>
      <c r="G204" s="19" t="str">
        <f>VLOOKUP(A204,Sheet1!A:O,15,0)</f>
        <v>DevOps</v>
      </c>
      <c r="H204" s="19">
        <f>VLOOKUP(A204,Sheet1!A:Q,17,0)</f>
        <v>17</v>
      </c>
      <c r="I204" s="20">
        <f>VLOOKUP(A204,Sheet1!A:V,22,0)</f>
        <v>75</v>
      </c>
      <c r="J204" s="21">
        <f>VLOOKUP(A204,Sheet1!A:X,24,0)</f>
        <v>0</v>
      </c>
      <c r="K204" s="19" t="str">
        <f>VLOOKUP(A204,Sheet1!A:AB,28,0)</f>
        <v>No</v>
      </c>
      <c r="L204" s="27">
        <f>VLOOKUP(A204,Sheet1!A:AD,30,0)</f>
        <v>94</v>
      </c>
    </row>
    <row r="205" spans="1:12" x14ac:dyDescent="0.3">
      <c r="A205" s="14" t="s">
        <v>1311</v>
      </c>
      <c r="B205" s="19" t="str">
        <f>VLOOKUP(A205,Sheet1!A:E,5,0)</f>
        <v>Brianna Orr</v>
      </c>
      <c r="C205" s="19" t="str">
        <f>VLOOKUP(A205,Sheet1!A:I,9,0)</f>
        <v>Female</v>
      </c>
      <c r="D205" s="19">
        <f>VLOOKUP(A205,Sheet1!A:K,11,0)</f>
        <v>52</v>
      </c>
      <c r="E205" s="19" t="str">
        <f>VLOOKUP(A205,Sheet1!A:M,13,0)</f>
        <v>Canada</v>
      </c>
      <c r="F205" s="19" t="str">
        <f>VLOOKUP(A205,Sheet1!A:N,14,0)</f>
        <v>English</v>
      </c>
      <c r="G205" s="19" t="str">
        <f>VLOOKUP(A205,Sheet1!A:O,15,0)</f>
        <v>Blockchain Development</v>
      </c>
      <c r="H205" s="19">
        <f>VLOOKUP(A205,Sheet1!A:Q,17,0)</f>
        <v>29</v>
      </c>
      <c r="I205" s="20">
        <f>VLOOKUP(A205,Sheet1!A:V,22,0)</f>
        <v>30</v>
      </c>
      <c r="J205" s="21">
        <f>VLOOKUP(A205,Sheet1!A:X,24,0)</f>
        <v>3.8</v>
      </c>
      <c r="K205" s="19" t="str">
        <f>VLOOKUP(A205,Sheet1!A:AB,28,0)</f>
        <v>No</v>
      </c>
      <c r="L205" s="27">
        <f>VLOOKUP(A205,Sheet1!A:AD,30,0)</f>
        <v>68</v>
      </c>
    </row>
    <row r="206" spans="1:12" x14ac:dyDescent="0.3">
      <c r="A206" s="14" t="s">
        <v>376</v>
      </c>
      <c r="B206" s="19" t="str">
        <f>VLOOKUP(A206,Sheet1!A:E,5,0)</f>
        <v>Charles Jones</v>
      </c>
      <c r="C206" s="19" t="str">
        <f>VLOOKUP(A206,Sheet1!A:I,9,0)</f>
        <v>Male</v>
      </c>
      <c r="D206" s="19">
        <f>VLOOKUP(A206,Sheet1!A:K,11,0)</f>
        <v>52</v>
      </c>
      <c r="E206" s="19" t="str">
        <f>VLOOKUP(A206,Sheet1!A:M,13,0)</f>
        <v>France</v>
      </c>
      <c r="F206" s="19" t="str">
        <f>VLOOKUP(A206,Sheet1!A:N,14,0)</f>
        <v>French</v>
      </c>
      <c r="G206" s="19" t="str">
        <f>VLOOKUP(A206,Sheet1!A:O,15,0)</f>
        <v>UI/UX Design</v>
      </c>
      <c r="H206" s="19">
        <f>VLOOKUP(A206,Sheet1!A:Q,17,0)</f>
        <v>15</v>
      </c>
      <c r="I206" s="20">
        <f>VLOOKUP(A206,Sheet1!A:V,22,0)</f>
        <v>50</v>
      </c>
      <c r="J206" s="21">
        <f>VLOOKUP(A206,Sheet1!A:X,24,0)</f>
        <v>0</v>
      </c>
      <c r="K206" s="19" t="str">
        <f>VLOOKUP(A206,Sheet1!A:AB,28,0)</f>
        <v>Yes</v>
      </c>
      <c r="L206" s="27">
        <f>VLOOKUP(A206,Sheet1!A:AD,30,0)</f>
        <v>81</v>
      </c>
    </row>
    <row r="207" spans="1:12" x14ac:dyDescent="0.3">
      <c r="A207" s="14" t="s">
        <v>809</v>
      </c>
      <c r="B207" s="19" t="str">
        <f>VLOOKUP(A207,Sheet1!A:E,5,0)</f>
        <v>Christina Norman</v>
      </c>
      <c r="C207" s="19" t="str">
        <f>VLOOKUP(A207,Sheet1!A:I,9,0)</f>
        <v>Female</v>
      </c>
      <c r="D207" s="19">
        <f>VLOOKUP(A207,Sheet1!A:K,11,0)</f>
        <v>52</v>
      </c>
      <c r="E207" s="19" t="str">
        <f>VLOOKUP(A207,Sheet1!A:M,13,0)</f>
        <v>India</v>
      </c>
      <c r="F207" s="19" t="str">
        <f>VLOOKUP(A207,Sheet1!A:N,14,0)</f>
        <v>Hindi</v>
      </c>
      <c r="G207" s="19" t="str">
        <f>VLOOKUP(A207,Sheet1!A:O,15,0)</f>
        <v>UI/UX Design</v>
      </c>
      <c r="H207" s="19">
        <f>VLOOKUP(A207,Sheet1!A:Q,17,0)</f>
        <v>0</v>
      </c>
      <c r="I207" s="20">
        <f>VLOOKUP(A207,Sheet1!A:V,22,0)</f>
        <v>52.799657534246577</v>
      </c>
      <c r="J207" s="21">
        <f>VLOOKUP(A207,Sheet1!A:X,24,0)</f>
        <v>4.3</v>
      </c>
      <c r="K207" s="19" t="str">
        <f>VLOOKUP(A207,Sheet1!A:AB,28,0)</f>
        <v>No</v>
      </c>
      <c r="L207" s="27">
        <f>VLOOKUP(A207,Sheet1!A:AD,30,0)</f>
        <v>90</v>
      </c>
    </row>
    <row r="208" spans="1:12" x14ac:dyDescent="0.3">
      <c r="A208" s="14" t="s">
        <v>1944</v>
      </c>
      <c r="B208" s="19" t="str">
        <f>VLOOKUP(A208,Sheet1!A:E,5,0)</f>
        <v>Daniel Parker</v>
      </c>
      <c r="C208" s="19" t="str">
        <f>VLOOKUP(A208,Sheet1!A:I,9,0)</f>
        <v>Male</v>
      </c>
      <c r="D208" s="19">
        <f>VLOOKUP(A208,Sheet1!A:K,11,0)</f>
        <v>52</v>
      </c>
      <c r="E208" s="19" t="str">
        <f>VLOOKUP(A208,Sheet1!A:M,13,0)</f>
        <v>Russia</v>
      </c>
      <c r="F208" s="19" t="str">
        <f>VLOOKUP(A208,Sheet1!A:N,14,0)</f>
        <v>Russian</v>
      </c>
      <c r="G208" s="19" t="str">
        <f>VLOOKUP(A208,Sheet1!A:O,15,0)</f>
        <v>Blockchain Development</v>
      </c>
      <c r="H208" s="19">
        <f>VLOOKUP(A208,Sheet1!A:Q,17,0)</f>
        <v>15</v>
      </c>
      <c r="I208" s="20">
        <f>VLOOKUP(A208,Sheet1!A:V,22,0)</f>
        <v>40</v>
      </c>
      <c r="J208" s="21">
        <f>VLOOKUP(A208,Sheet1!A:X,24,0)</f>
        <v>0</v>
      </c>
      <c r="K208" s="19" t="str">
        <f>VLOOKUP(A208,Sheet1!A:AB,28,0)</f>
        <v>Yes</v>
      </c>
      <c r="L208" s="27">
        <f>VLOOKUP(A208,Sheet1!A:AD,30,0)</f>
        <v>92</v>
      </c>
    </row>
    <row r="209" spans="1:12" x14ac:dyDescent="0.3">
      <c r="A209" s="14" t="s">
        <v>1361</v>
      </c>
      <c r="B209" s="19" t="str">
        <f>VLOOKUP(A209,Sheet1!A:E,5,0)</f>
        <v>David Martinez</v>
      </c>
      <c r="C209" s="19" t="str">
        <f>VLOOKUP(A209,Sheet1!A:I,9,0)</f>
        <v>Male</v>
      </c>
      <c r="D209" s="19">
        <f>VLOOKUP(A209,Sheet1!A:K,11,0)</f>
        <v>52</v>
      </c>
      <c r="E209" s="19" t="str">
        <f>VLOOKUP(A209,Sheet1!A:M,13,0)</f>
        <v>China</v>
      </c>
      <c r="F209" s="19" t="str">
        <f>VLOOKUP(A209,Sheet1!A:N,14,0)</f>
        <v>Mandarin</v>
      </c>
      <c r="G209" s="19" t="str">
        <f>VLOOKUP(A209,Sheet1!A:O,15,0)</f>
        <v>UI/UX Design</v>
      </c>
      <c r="H209" s="19">
        <f>VLOOKUP(A209,Sheet1!A:Q,17,0)</f>
        <v>4</v>
      </c>
      <c r="I209" s="20">
        <f>VLOOKUP(A209,Sheet1!A:V,22,0)</f>
        <v>75</v>
      </c>
      <c r="J209" s="21">
        <f>VLOOKUP(A209,Sheet1!A:X,24,0)</f>
        <v>2.2999999999999998</v>
      </c>
      <c r="K209" s="19" t="str">
        <f>VLOOKUP(A209,Sheet1!A:AB,28,0)</f>
        <v>Yes</v>
      </c>
      <c r="L209" s="27">
        <f>VLOOKUP(A209,Sheet1!A:AD,30,0)</f>
        <v>79</v>
      </c>
    </row>
    <row r="210" spans="1:12" x14ac:dyDescent="0.3">
      <c r="A210" s="14" t="s">
        <v>156</v>
      </c>
      <c r="B210" s="19" t="str">
        <f>VLOOKUP(A210,Sheet1!A:E,5,0)</f>
        <v>Emily Daniels</v>
      </c>
      <c r="C210" s="19" t="str">
        <f>VLOOKUP(A210,Sheet1!A:I,9,0)</f>
        <v>Female</v>
      </c>
      <c r="D210" s="19">
        <f>VLOOKUP(A210,Sheet1!A:K,11,0)</f>
        <v>52</v>
      </c>
      <c r="E210" s="19" t="str">
        <f>VLOOKUP(A210,Sheet1!A:M,13,0)</f>
        <v>South Korea</v>
      </c>
      <c r="F210" s="19" t="str">
        <f>VLOOKUP(A210,Sheet1!A:N,14,0)</f>
        <v>Korean</v>
      </c>
      <c r="G210" s="19" t="str">
        <f>VLOOKUP(A210,Sheet1!A:O,15,0)</f>
        <v>Web Development</v>
      </c>
      <c r="H210" s="19">
        <f>VLOOKUP(A210,Sheet1!A:Q,17,0)</f>
        <v>28</v>
      </c>
      <c r="I210" s="20">
        <f>VLOOKUP(A210,Sheet1!A:V,22,0)</f>
        <v>20</v>
      </c>
      <c r="J210" s="21">
        <f>VLOOKUP(A210,Sheet1!A:X,24,0)</f>
        <v>2.5203917050691218</v>
      </c>
      <c r="K210" s="19" t="str">
        <f>VLOOKUP(A210,Sheet1!A:AB,28,0)</f>
        <v>No</v>
      </c>
      <c r="L210" s="27">
        <f>VLOOKUP(A210,Sheet1!A:AD,30,0)</f>
        <v>79.264150943396231</v>
      </c>
    </row>
    <row r="211" spans="1:12" x14ac:dyDescent="0.3">
      <c r="A211" s="14" t="s">
        <v>52</v>
      </c>
      <c r="B211" s="19" t="str">
        <f>VLOOKUP(A211,Sheet1!A:E,5,0)</f>
        <v>Eric Myers</v>
      </c>
      <c r="C211" s="19" t="str">
        <f>VLOOKUP(A211,Sheet1!A:I,9,0)</f>
        <v>Male</v>
      </c>
      <c r="D211" s="19">
        <f>VLOOKUP(A211,Sheet1!A:K,11,0)</f>
        <v>52</v>
      </c>
      <c r="E211" s="19" t="str">
        <f>VLOOKUP(A211,Sheet1!A:M,13,0)</f>
        <v>Indonesia</v>
      </c>
      <c r="F211" s="19" t="str">
        <f>VLOOKUP(A211,Sheet1!A:N,14,0)</f>
        <v>Indonesian</v>
      </c>
      <c r="G211" s="19" t="str">
        <f>VLOOKUP(A211,Sheet1!A:O,15,0)</f>
        <v>Data Analysis</v>
      </c>
      <c r="H211" s="19">
        <f>VLOOKUP(A211,Sheet1!A:Q,17,0)</f>
        <v>10</v>
      </c>
      <c r="I211" s="20">
        <f>VLOOKUP(A211,Sheet1!A:V,22,0)</f>
        <v>75</v>
      </c>
      <c r="J211" s="21">
        <f>VLOOKUP(A211,Sheet1!A:X,24,0)</f>
        <v>3.1</v>
      </c>
      <c r="K211" s="19" t="str">
        <f>VLOOKUP(A211,Sheet1!A:AB,28,0)</f>
        <v>No</v>
      </c>
      <c r="L211" s="27">
        <f>VLOOKUP(A211,Sheet1!A:AD,30,0)</f>
        <v>94</v>
      </c>
    </row>
    <row r="212" spans="1:12" x14ac:dyDescent="0.3">
      <c r="A212" s="14" t="s">
        <v>1275</v>
      </c>
      <c r="B212" s="19" t="str">
        <f>VLOOKUP(A212,Sheet1!A:E,5,0)</f>
        <v>Jessica Decker</v>
      </c>
      <c r="C212" s="19" t="str">
        <f>VLOOKUP(A212,Sheet1!A:I,9,0)</f>
        <v>Female</v>
      </c>
      <c r="D212" s="19">
        <f>VLOOKUP(A212,Sheet1!A:K,11,0)</f>
        <v>52</v>
      </c>
      <c r="E212" s="19" t="str">
        <f>VLOOKUP(A212,Sheet1!A:M,13,0)</f>
        <v>Canada</v>
      </c>
      <c r="F212" s="19" t="str">
        <f>VLOOKUP(A212,Sheet1!A:N,14,0)</f>
        <v>English</v>
      </c>
      <c r="G212" s="19" t="str">
        <f>VLOOKUP(A212,Sheet1!A:O,15,0)</f>
        <v>Cybersecurity</v>
      </c>
      <c r="H212" s="19">
        <f>VLOOKUP(A212,Sheet1!A:Q,17,0)</f>
        <v>22</v>
      </c>
      <c r="I212" s="20">
        <f>VLOOKUP(A212,Sheet1!A:V,22,0)</f>
        <v>20</v>
      </c>
      <c r="J212" s="21">
        <f>VLOOKUP(A212,Sheet1!A:X,24,0)</f>
        <v>0</v>
      </c>
      <c r="K212" s="19" t="str">
        <f>VLOOKUP(A212,Sheet1!A:AB,28,0)</f>
        <v>No</v>
      </c>
      <c r="L212" s="27">
        <f>VLOOKUP(A212,Sheet1!A:AD,30,0)</f>
        <v>79.883381924198247</v>
      </c>
    </row>
    <row r="213" spans="1:12" x14ac:dyDescent="0.3">
      <c r="A213" s="14" t="s">
        <v>551</v>
      </c>
      <c r="B213" s="19" t="str">
        <f>VLOOKUP(A213,Sheet1!A:E,5,0)</f>
        <v>Joseph Kent</v>
      </c>
      <c r="C213" s="19" t="str">
        <f>VLOOKUP(A213,Sheet1!A:I,9,0)</f>
        <v>Male</v>
      </c>
      <c r="D213" s="19">
        <f>VLOOKUP(A213,Sheet1!A:K,11,0)</f>
        <v>52</v>
      </c>
      <c r="E213" s="19" t="str">
        <f>VLOOKUP(A213,Sheet1!A:M,13,0)</f>
        <v>Mexico</v>
      </c>
      <c r="F213" s="19" t="str">
        <f>VLOOKUP(A213,Sheet1!A:N,14,0)</f>
        <v>Spanish</v>
      </c>
      <c r="G213" s="19" t="str">
        <f>VLOOKUP(A213,Sheet1!A:O,15,0)</f>
        <v>Machine Learning</v>
      </c>
      <c r="H213" s="19">
        <f>VLOOKUP(A213,Sheet1!A:Q,17,0)</f>
        <v>12</v>
      </c>
      <c r="I213" s="20">
        <f>VLOOKUP(A213,Sheet1!A:V,22,0)</f>
        <v>40</v>
      </c>
      <c r="J213" s="21">
        <f>VLOOKUP(A213,Sheet1!A:X,24,0)</f>
        <v>1.2</v>
      </c>
      <c r="K213" s="19" t="str">
        <f>VLOOKUP(A213,Sheet1!A:AB,28,0)</f>
        <v>No</v>
      </c>
      <c r="L213" s="27">
        <f>VLOOKUP(A213,Sheet1!A:AD,30,0)</f>
        <v>76</v>
      </c>
    </row>
    <row r="214" spans="1:12" x14ac:dyDescent="0.3">
      <c r="A214" s="14" t="s">
        <v>1457</v>
      </c>
      <c r="B214" s="19" t="str">
        <f>VLOOKUP(A214,Sheet1!A:E,5,0)</f>
        <v>Joseph Wood</v>
      </c>
      <c r="C214" s="19" t="str">
        <f>VLOOKUP(A214,Sheet1!A:I,9,0)</f>
        <v>Male</v>
      </c>
      <c r="D214" s="19">
        <f>VLOOKUP(A214,Sheet1!A:K,11,0)</f>
        <v>52</v>
      </c>
      <c r="E214" s="19" t="str">
        <f>VLOOKUP(A214,Sheet1!A:M,13,0)</f>
        <v>Mexico</v>
      </c>
      <c r="F214" s="19" t="str">
        <f>VLOOKUP(A214,Sheet1!A:N,14,0)</f>
        <v>Spanish</v>
      </c>
      <c r="G214" s="19" t="str">
        <f>VLOOKUP(A214,Sheet1!A:O,15,0)</f>
        <v>Graphic Design</v>
      </c>
      <c r="H214" s="19">
        <f>VLOOKUP(A214,Sheet1!A:Q,17,0)</f>
        <v>30</v>
      </c>
      <c r="I214" s="20">
        <f>VLOOKUP(A214,Sheet1!A:V,22,0)</f>
        <v>100</v>
      </c>
      <c r="J214" s="21">
        <f>VLOOKUP(A214,Sheet1!A:X,24,0)</f>
        <v>2.5</v>
      </c>
      <c r="K214" s="19" t="str">
        <f>VLOOKUP(A214,Sheet1!A:AB,28,0)</f>
        <v>Unknown</v>
      </c>
      <c r="L214" s="27">
        <f>VLOOKUP(A214,Sheet1!A:AD,30,0)</f>
        <v>61</v>
      </c>
    </row>
    <row r="215" spans="1:12" x14ac:dyDescent="0.3">
      <c r="A215" s="14" t="s">
        <v>1129</v>
      </c>
      <c r="B215" s="19" t="str">
        <f>VLOOKUP(A215,Sheet1!A:E,5,0)</f>
        <v>Kenneth Arias</v>
      </c>
      <c r="C215" s="19" t="str">
        <f>VLOOKUP(A215,Sheet1!A:I,9,0)</f>
        <v>Male</v>
      </c>
      <c r="D215" s="19">
        <f>VLOOKUP(A215,Sheet1!A:K,11,0)</f>
        <v>52</v>
      </c>
      <c r="E215" s="19" t="str">
        <f>VLOOKUP(A215,Sheet1!A:M,13,0)</f>
        <v>United Kingdom</v>
      </c>
      <c r="F215" s="19" t="str">
        <f>VLOOKUP(A215,Sheet1!A:N,14,0)</f>
        <v>English</v>
      </c>
      <c r="G215" s="19" t="str">
        <f>VLOOKUP(A215,Sheet1!A:O,15,0)</f>
        <v>Data Analysis</v>
      </c>
      <c r="H215" s="19">
        <f>VLOOKUP(A215,Sheet1!A:Q,17,0)</f>
        <v>21</v>
      </c>
      <c r="I215" s="20">
        <f>VLOOKUP(A215,Sheet1!A:V,22,0)</f>
        <v>75</v>
      </c>
      <c r="J215" s="21">
        <f>VLOOKUP(A215,Sheet1!A:X,24,0)</f>
        <v>2.2000000000000002</v>
      </c>
      <c r="K215" s="19" t="str">
        <f>VLOOKUP(A215,Sheet1!A:AB,28,0)</f>
        <v>Yes</v>
      </c>
      <c r="L215" s="27">
        <f>VLOOKUP(A215,Sheet1!A:AD,30,0)</f>
        <v>66</v>
      </c>
    </row>
    <row r="216" spans="1:12" x14ac:dyDescent="0.3">
      <c r="A216" s="14" t="s">
        <v>1471</v>
      </c>
      <c r="B216" s="19" t="str">
        <f>VLOOKUP(A216,Sheet1!A:E,5,0)</f>
        <v>Lisa Johnson</v>
      </c>
      <c r="C216" s="19" t="str">
        <f>VLOOKUP(A216,Sheet1!A:I,9,0)</f>
        <v>Female</v>
      </c>
      <c r="D216" s="19">
        <f>VLOOKUP(A216,Sheet1!A:K,11,0)</f>
        <v>52</v>
      </c>
      <c r="E216" s="19" t="str">
        <f>VLOOKUP(A216,Sheet1!A:M,13,0)</f>
        <v>Canada</v>
      </c>
      <c r="F216" s="19" t="str">
        <f>VLOOKUP(A216,Sheet1!A:N,14,0)</f>
        <v>English</v>
      </c>
      <c r="G216" s="19" t="str">
        <f>VLOOKUP(A216,Sheet1!A:O,15,0)</f>
        <v>UI/UX Design</v>
      </c>
      <c r="H216" s="19">
        <f>VLOOKUP(A216,Sheet1!A:Q,17,0)</f>
        <v>25</v>
      </c>
      <c r="I216" s="20">
        <f>VLOOKUP(A216,Sheet1!A:V,22,0)</f>
        <v>100</v>
      </c>
      <c r="J216" s="21">
        <f>VLOOKUP(A216,Sheet1!A:X,24,0)</f>
        <v>4.8</v>
      </c>
      <c r="K216" s="19" t="str">
        <f>VLOOKUP(A216,Sheet1!A:AB,28,0)</f>
        <v>No</v>
      </c>
      <c r="L216" s="27">
        <f>VLOOKUP(A216,Sheet1!A:AD,30,0)</f>
        <v>80.146153846153851</v>
      </c>
    </row>
    <row r="217" spans="1:12" x14ac:dyDescent="0.3">
      <c r="A217" s="14" t="s">
        <v>1415</v>
      </c>
      <c r="B217" s="19" t="str">
        <f>VLOOKUP(A217,Sheet1!A:E,5,0)</f>
        <v>Lynn French</v>
      </c>
      <c r="C217" s="19" t="str">
        <f>VLOOKUP(A217,Sheet1!A:I,9,0)</f>
        <v>Female</v>
      </c>
      <c r="D217" s="19">
        <f>VLOOKUP(A217,Sheet1!A:K,11,0)</f>
        <v>52</v>
      </c>
      <c r="E217" s="19" t="str">
        <f>VLOOKUP(A217,Sheet1!A:M,13,0)</f>
        <v>Canada</v>
      </c>
      <c r="F217" s="19" t="str">
        <f>VLOOKUP(A217,Sheet1!A:N,14,0)</f>
        <v>English</v>
      </c>
      <c r="G217" s="19" t="str">
        <f>VLOOKUP(A217,Sheet1!A:O,15,0)</f>
        <v>UI/UX Design</v>
      </c>
      <c r="H217" s="19">
        <f>VLOOKUP(A217,Sheet1!A:Q,17,0)</f>
        <v>16</v>
      </c>
      <c r="I217" s="20">
        <f>VLOOKUP(A217,Sheet1!A:V,22,0)</f>
        <v>100</v>
      </c>
      <c r="J217" s="21">
        <f>VLOOKUP(A217,Sheet1!A:X,24,0)</f>
        <v>4</v>
      </c>
      <c r="K217" s="19" t="str">
        <f>VLOOKUP(A217,Sheet1!A:AB,28,0)</f>
        <v>Yes</v>
      </c>
      <c r="L217" s="27">
        <f>VLOOKUP(A217,Sheet1!A:AD,30,0)</f>
        <v>80.098939929328623</v>
      </c>
    </row>
    <row r="218" spans="1:12" x14ac:dyDescent="0.3">
      <c r="A218" s="14" t="s">
        <v>1046</v>
      </c>
      <c r="B218" s="19" t="str">
        <f>VLOOKUP(A218,Sheet1!A:E,5,0)</f>
        <v>Mark Duncan</v>
      </c>
      <c r="C218" s="19" t="str">
        <f>VLOOKUP(A218,Sheet1!A:I,9,0)</f>
        <v>Male</v>
      </c>
      <c r="D218" s="19">
        <f>VLOOKUP(A218,Sheet1!A:K,11,0)</f>
        <v>52</v>
      </c>
      <c r="E218" s="19" t="str">
        <f>VLOOKUP(A218,Sheet1!A:M,13,0)</f>
        <v>Spain</v>
      </c>
      <c r="F218" s="19" t="str">
        <f>VLOOKUP(A218,Sheet1!A:N,14,0)</f>
        <v>Spanish</v>
      </c>
      <c r="G218" s="19" t="str">
        <f>VLOOKUP(A218,Sheet1!A:O,15,0)</f>
        <v>Cybersecurity</v>
      </c>
      <c r="H218" s="19">
        <f>VLOOKUP(A218,Sheet1!A:Q,17,0)</f>
        <v>31</v>
      </c>
      <c r="I218" s="20">
        <f>VLOOKUP(A218,Sheet1!A:V,22,0)</f>
        <v>30</v>
      </c>
      <c r="J218" s="21">
        <f>VLOOKUP(A218,Sheet1!A:X,24,0)</f>
        <v>2.53661670235546</v>
      </c>
      <c r="K218" s="19" t="str">
        <f>VLOOKUP(A218,Sheet1!A:AB,28,0)</f>
        <v>Yes</v>
      </c>
      <c r="L218" s="27">
        <f>VLOOKUP(A218,Sheet1!A:AD,30,0)</f>
        <v>79.517162471395878</v>
      </c>
    </row>
    <row r="219" spans="1:12" x14ac:dyDescent="0.3">
      <c r="A219" s="14" t="s">
        <v>1463</v>
      </c>
      <c r="B219" s="19" t="str">
        <f>VLOOKUP(A219,Sheet1!A:E,5,0)</f>
        <v>Matthew Baldwin</v>
      </c>
      <c r="C219" s="19" t="str">
        <f>VLOOKUP(A219,Sheet1!A:I,9,0)</f>
        <v>Male</v>
      </c>
      <c r="D219" s="19">
        <f>VLOOKUP(A219,Sheet1!A:K,11,0)</f>
        <v>52</v>
      </c>
      <c r="E219" s="19" t="str">
        <f>VLOOKUP(A219,Sheet1!A:M,13,0)</f>
        <v>South Korea</v>
      </c>
      <c r="F219" s="19" t="str">
        <f>VLOOKUP(A219,Sheet1!A:N,14,0)</f>
        <v>Korean</v>
      </c>
      <c r="G219" s="19" t="str">
        <f>VLOOKUP(A219,Sheet1!A:O,15,0)</f>
        <v>Graphic Design</v>
      </c>
      <c r="H219" s="19">
        <f>VLOOKUP(A219,Sheet1!A:Q,17,0)</f>
        <v>21</v>
      </c>
      <c r="I219" s="20">
        <f>VLOOKUP(A219,Sheet1!A:V,22,0)</f>
        <v>40</v>
      </c>
      <c r="J219" s="21">
        <f>VLOOKUP(A219,Sheet1!A:X,24,0)</f>
        <v>4</v>
      </c>
      <c r="K219" s="19" t="str">
        <f>VLOOKUP(A219,Sheet1!A:AB,28,0)</f>
        <v>Unknown</v>
      </c>
      <c r="L219" s="27">
        <f>VLOOKUP(A219,Sheet1!A:AD,30,0)</f>
        <v>69</v>
      </c>
    </row>
    <row r="220" spans="1:12" x14ac:dyDescent="0.3">
      <c r="A220" s="14" t="s">
        <v>67</v>
      </c>
      <c r="B220" s="19" t="str">
        <f>VLOOKUP(A220,Sheet1!A:E,5,0)</f>
        <v>Matthew Lloyd</v>
      </c>
      <c r="C220" s="19" t="str">
        <f>VLOOKUP(A220,Sheet1!A:I,9,0)</f>
        <v>Male</v>
      </c>
      <c r="D220" s="19">
        <f>VLOOKUP(A220,Sheet1!A:K,11,0)</f>
        <v>52</v>
      </c>
      <c r="E220" s="19" t="str">
        <f>VLOOKUP(A220,Sheet1!A:M,13,0)</f>
        <v>Turkey</v>
      </c>
      <c r="F220" s="19" t="str">
        <f>VLOOKUP(A220,Sheet1!A:N,14,0)</f>
        <v>Turkish</v>
      </c>
      <c r="G220" s="19" t="str">
        <f>VLOOKUP(A220,Sheet1!A:O,15,0)</f>
        <v>AI</v>
      </c>
      <c r="H220" s="19">
        <f>VLOOKUP(A220,Sheet1!A:Q,17,0)</f>
        <v>22</v>
      </c>
      <c r="I220" s="20">
        <f>VLOOKUP(A220,Sheet1!A:V,22,0)</f>
        <v>50</v>
      </c>
      <c r="J220" s="21">
        <f>VLOOKUP(A220,Sheet1!A:X,24,0)</f>
        <v>2.5085297418630725</v>
      </c>
      <c r="K220" s="19" t="str">
        <f>VLOOKUP(A220,Sheet1!A:AB,28,0)</f>
        <v>Yes</v>
      </c>
      <c r="L220" s="27">
        <f>VLOOKUP(A220,Sheet1!A:AD,30,0)</f>
        <v>79.223990208078334</v>
      </c>
    </row>
    <row r="221" spans="1:12" x14ac:dyDescent="0.3">
      <c r="A221" s="14" t="s">
        <v>12</v>
      </c>
      <c r="B221" s="19" t="str">
        <f>VLOOKUP(A221,Sheet1!A:E,5,0)</f>
        <v>Nicole Kidd</v>
      </c>
      <c r="C221" s="19" t="str">
        <f>VLOOKUP(A221,Sheet1!A:I,9,0)</f>
        <v>Female</v>
      </c>
      <c r="D221" s="19">
        <f>VLOOKUP(A221,Sheet1!A:K,11,0)</f>
        <v>52</v>
      </c>
      <c r="E221" s="19" t="str">
        <f>VLOOKUP(A221,Sheet1!A:M,13,0)</f>
        <v>Italy</v>
      </c>
      <c r="F221" s="19" t="str">
        <f>VLOOKUP(A221,Sheet1!A:N,14,0)</f>
        <v>Italian</v>
      </c>
      <c r="G221" s="19" t="str">
        <f>VLOOKUP(A221,Sheet1!A:O,15,0)</f>
        <v>Blockchain Development</v>
      </c>
      <c r="H221" s="19">
        <f>VLOOKUP(A221,Sheet1!A:Q,17,0)</f>
        <v>11</v>
      </c>
      <c r="I221" s="20">
        <f>VLOOKUP(A221,Sheet1!A:V,22,0)</f>
        <v>100</v>
      </c>
      <c r="J221" s="21">
        <f>VLOOKUP(A221,Sheet1!A:X,24,0)</f>
        <v>2.5125695216907653</v>
      </c>
      <c r="K221" s="19" t="str">
        <f>VLOOKUP(A221,Sheet1!A:AB,28,0)</f>
        <v>No</v>
      </c>
      <c r="L221" s="27">
        <f>VLOOKUP(A221,Sheet1!A:AD,30,0)</f>
        <v>79.269417475728162</v>
      </c>
    </row>
    <row r="222" spans="1:12" x14ac:dyDescent="0.3">
      <c r="A222" s="14" t="s">
        <v>1530</v>
      </c>
      <c r="B222" s="19" t="str">
        <f>VLOOKUP(A222,Sheet1!A:E,5,0)</f>
        <v>Rachel Rogers</v>
      </c>
      <c r="C222" s="19" t="str">
        <f>VLOOKUP(A222,Sheet1!A:I,9,0)</f>
        <v>Female</v>
      </c>
      <c r="D222" s="19">
        <f>VLOOKUP(A222,Sheet1!A:K,11,0)</f>
        <v>52</v>
      </c>
      <c r="E222" s="19" t="str">
        <f>VLOOKUP(A222,Sheet1!A:M,13,0)</f>
        <v>South Korea</v>
      </c>
      <c r="F222" s="19" t="str">
        <f>VLOOKUP(A222,Sheet1!A:N,14,0)</f>
        <v>Korean</v>
      </c>
      <c r="G222" s="19" t="str">
        <f>VLOOKUP(A222,Sheet1!A:O,15,0)</f>
        <v>UI/UX Design</v>
      </c>
      <c r="H222" s="19">
        <f>VLOOKUP(A222,Sheet1!A:Q,17,0)</f>
        <v>30</v>
      </c>
      <c r="I222" s="20">
        <f>VLOOKUP(A222,Sheet1!A:V,22,0)</f>
        <v>75</v>
      </c>
      <c r="J222" s="21">
        <f>VLOOKUP(A222,Sheet1!A:X,24,0)</f>
        <v>2.5819672131147549</v>
      </c>
      <c r="K222" s="19" t="str">
        <f>VLOOKUP(A222,Sheet1!A:AB,28,0)</f>
        <v>No</v>
      </c>
      <c r="L222" s="27">
        <f>VLOOKUP(A222,Sheet1!A:AD,30,0)</f>
        <v>94</v>
      </c>
    </row>
    <row r="223" spans="1:12" x14ac:dyDescent="0.3">
      <c r="A223" s="14" t="s">
        <v>1712</v>
      </c>
      <c r="B223" s="19" t="str">
        <f>VLOOKUP(A223,Sheet1!A:E,5,0)</f>
        <v>Richard Hill</v>
      </c>
      <c r="C223" s="19" t="str">
        <f>VLOOKUP(A223,Sheet1!A:I,9,0)</f>
        <v>Male</v>
      </c>
      <c r="D223" s="19">
        <f>VLOOKUP(A223,Sheet1!A:K,11,0)</f>
        <v>52</v>
      </c>
      <c r="E223" s="19" t="str">
        <f>VLOOKUP(A223,Sheet1!A:M,13,0)</f>
        <v>Russia</v>
      </c>
      <c r="F223" s="19" t="str">
        <f>VLOOKUP(A223,Sheet1!A:N,14,0)</f>
        <v>Russian</v>
      </c>
      <c r="G223" s="19" t="str">
        <f>VLOOKUP(A223,Sheet1!A:O,15,0)</f>
        <v>Data Analysis</v>
      </c>
      <c r="H223" s="19">
        <f>VLOOKUP(A223,Sheet1!A:Q,17,0)</f>
        <v>30</v>
      </c>
      <c r="I223" s="20">
        <f>VLOOKUP(A223,Sheet1!A:V,22,0)</f>
        <v>30</v>
      </c>
      <c r="J223" s="21">
        <f>VLOOKUP(A223,Sheet1!A:X,24,0)</f>
        <v>2</v>
      </c>
      <c r="K223" s="19" t="str">
        <f>VLOOKUP(A223,Sheet1!A:AB,28,0)</f>
        <v>Yes</v>
      </c>
      <c r="L223" s="27">
        <f>VLOOKUP(A223,Sheet1!A:AD,30,0)</f>
        <v>68</v>
      </c>
    </row>
    <row r="224" spans="1:12" x14ac:dyDescent="0.3">
      <c r="A224" s="14" t="s">
        <v>739</v>
      </c>
      <c r="B224" s="19" t="str">
        <f>VLOOKUP(A224,Sheet1!A:E,5,0)</f>
        <v>Robert Walls</v>
      </c>
      <c r="C224" s="19" t="str">
        <f>VLOOKUP(A224,Sheet1!A:I,9,0)</f>
        <v>Male</v>
      </c>
      <c r="D224" s="19">
        <f>VLOOKUP(A224,Sheet1!A:K,11,0)</f>
        <v>52</v>
      </c>
      <c r="E224" s="19" t="str">
        <f>VLOOKUP(A224,Sheet1!A:M,13,0)</f>
        <v>Brazil</v>
      </c>
      <c r="F224" s="19" t="str">
        <f>VLOOKUP(A224,Sheet1!A:N,14,0)</f>
        <v>Portuguese</v>
      </c>
      <c r="G224" s="19" t="str">
        <f>VLOOKUP(A224,Sheet1!A:O,15,0)</f>
        <v>Graphic Design</v>
      </c>
      <c r="H224" s="19">
        <f>VLOOKUP(A224,Sheet1!A:Q,17,0)</f>
        <v>33</v>
      </c>
      <c r="I224" s="20">
        <f>VLOOKUP(A224,Sheet1!A:V,22,0)</f>
        <v>52.370129870129873</v>
      </c>
      <c r="J224" s="21">
        <f>VLOOKUP(A224,Sheet1!A:X,24,0)</f>
        <v>0</v>
      </c>
      <c r="K224" s="19" t="str">
        <f>VLOOKUP(A224,Sheet1!A:AB,28,0)</f>
        <v>Yes</v>
      </c>
      <c r="L224" s="27">
        <f>VLOOKUP(A224,Sheet1!A:AD,30,0)</f>
        <v>60</v>
      </c>
    </row>
    <row r="225" spans="1:12" x14ac:dyDescent="0.3">
      <c r="A225" s="14" t="s">
        <v>519</v>
      </c>
      <c r="B225" s="19" t="str">
        <f>VLOOKUP(A225,Sheet1!A:E,5,0)</f>
        <v>Ryan Johnson</v>
      </c>
      <c r="C225" s="19" t="str">
        <f>VLOOKUP(A225,Sheet1!A:I,9,0)</f>
        <v>Male</v>
      </c>
      <c r="D225" s="19">
        <f>VLOOKUP(A225,Sheet1!A:K,11,0)</f>
        <v>52</v>
      </c>
      <c r="E225" s="19" t="str">
        <f>VLOOKUP(A225,Sheet1!A:M,13,0)</f>
        <v>Italy</v>
      </c>
      <c r="F225" s="19" t="str">
        <f>VLOOKUP(A225,Sheet1!A:N,14,0)</f>
        <v>Italian</v>
      </c>
      <c r="G225" s="19" t="str">
        <f>VLOOKUP(A225,Sheet1!A:O,15,0)</f>
        <v>Machine Learning</v>
      </c>
      <c r="H225" s="19">
        <f>VLOOKUP(A225,Sheet1!A:Q,17,0)</f>
        <v>30</v>
      </c>
      <c r="I225" s="20">
        <f>VLOOKUP(A225,Sheet1!A:V,22,0)</f>
        <v>20</v>
      </c>
      <c r="J225" s="21">
        <f>VLOOKUP(A225,Sheet1!A:X,24,0)</f>
        <v>2.8</v>
      </c>
      <c r="K225" s="19" t="str">
        <f>VLOOKUP(A225,Sheet1!A:AB,28,0)</f>
        <v>No</v>
      </c>
      <c r="L225" s="27">
        <f>VLOOKUP(A225,Sheet1!A:AD,30,0)</f>
        <v>87</v>
      </c>
    </row>
    <row r="226" spans="1:12" x14ac:dyDescent="0.3">
      <c r="A226" s="14" t="s">
        <v>2072</v>
      </c>
      <c r="B226" s="19" t="str">
        <f>VLOOKUP(A226,Sheet1!A:E,5,0)</f>
        <v>Sandra Preston</v>
      </c>
      <c r="C226" s="19" t="str">
        <f>VLOOKUP(A226,Sheet1!A:I,9,0)</f>
        <v>Female</v>
      </c>
      <c r="D226" s="19">
        <f>VLOOKUP(A226,Sheet1!A:K,11,0)</f>
        <v>52</v>
      </c>
      <c r="E226" s="19" t="str">
        <f>VLOOKUP(A226,Sheet1!A:M,13,0)</f>
        <v>Indonesia</v>
      </c>
      <c r="F226" s="19" t="str">
        <f>VLOOKUP(A226,Sheet1!A:N,14,0)</f>
        <v>Indonesian</v>
      </c>
      <c r="G226" s="19" t="str">
        <f>VLOOKUP(A226,Sheet1!A:O,15,0)</f>
        <v>Mobile Apps</v>
      </c>
      <c r="H226" s="19">
        <f>VLOOKUP(A226,Sheet1!A:Q,17,0)</f>
        <v>32</v>
      </c>
      <c r="I226" s="20">
        <f>VLOOKUP(A226,Sheet1!A:V,22,0)</f>
        <v>75</v>
      </c>
      <c r="J226" s="21">
        <f>VLOOKUP(A226,Sheet1!A:X,24,0)</f>
        <v>3.2</v>
      </c>
      <c r="K226" s="19" t="str">
        <f>VLOOKUP(A226,Sheet1!A:AB,28,0)</f>
        <v>No</v>
      </c>
      <c r="L226" s="27">
        <f>VLOOKUP(A226,Sheet1!A:AD,30,0)</f>
        <v>79</v>
      </c>
    </row>
    <row r="227" spans="1:12" x14ac:dyDescent="0.3">
      <c r="A227" s="14" t="s">
        <v>20</v>
      </c>
      <c r="B227" s="19" t="str">
        <f>VLOOKUP(A227,Sheet1!A:E,5,0)</f>
        <v>Vanessa Garcia</v>
      </c>
      <c r="C227" s="19" t="str">
        <f>VLOOKUP(A227,Sheet1!A:I,9,0)</f>
        <v>Female</v>
      </c>
      <c r="D227" s="19">
        <f>VLOOKUP(A227,Sheet1!A:K,11,0)</f>
        <v>52</v>
      </c>
      <c r="E227" s="19" t="str">
        <f>VLOOKUP(A227,Sheet1!A:M,13,0)</f>
        <v>Australia</v>
      </c>
      <c r="F227" s="19" t="str">
        <f>VLOOKUP(A227,Sheet1!A:N,14,0)</f>
        <v>English</v>
      </c>
      <c r="G227" s="19" t="str">
        <f>VLOOKUP(A227,Sheet1!A:O,15,0)</f>
        <v>Mobile Apps</v>
      </c>
      <c r="H227" s="19">
        <f>VLOOKUP(A227,Sheet1!A:Q,17,0)</f>
        <v>34</v>
      </c>
      <c r="I227" s="20">
        <f>VLOOKUP(A227,Sheet1!A:V,22,0)</f>
        <v>100</v>
      </c>
      <c r="J227" s="21">
        <f>VLOOKUP(A227,Sheet1!A:X,24,0)</f>
        <v>3.3</v>
      </c>
      <c r="K227" s="19" t="str">
        <f>VLOOKUP(A227,Sheet1!A:AB,28,0)</f>
        <v>Yes</v>
      </c>
      <c r="L227" s="27">
        <f>VLOOKUP(A227,Sheet1!A:AD,30,0)</f>
        <v>84</v>
      </c>
    </row>
    <row r="228" spans="1:12" x14ac:dyDescent="0.3">
      <c r="A228" s="14" t="s">
        <v>485</v>
      </c>
      <c r="B228" s="19" t="str">
        <f>VLOOKUP(A228,Sheet1!A:E,5,0)</f>
        <v>Zachary Burke</v>
      </c>
      <c r="C228" s="19" t="str">
        <f>VLOOKUP(A228,Sheet1!A:I,9,0)</f>
        <v>Male</v>
      </c>
      <c r="D228" s="19">
        <f>VLOOKUP(A228,Sheet1!A:K,11,0)</f>
        <v>52</v>
      </c>
      <c r="E228" s="19" t="str">
        <f>VLOOKUP(A228,Sheet1!A:M,13,0)</f>
        <v>Indonesia</v>
      </c>
      <c r="F228" s="19" t="str">
        <f>VLOOKUP(A228,Sheet1!A:N,14,0)</f>
        <v>Indonesian</v>
      </c>
      <c r="G228" s="19" t="str">
        <f>VLOOKUP(A228,Sheet1!A:O,15,0)</f>
        <v>Web Development</v>
      </c>
      <c r="H228" s="19">
        <f>VLOOKUP(A228,Sheet1!A:Q,17,0)</f>
        <v>33</v>
      </c>
      <c r="I228" s="20">
        <f>VLOOKUP(A228,Sheet1!A:V,22,0)</f>
        <v>100</v>
      </c>
      <c r="J228" s="21">
        <f>VLOOKUP(A228,Sheet1!A:X,24,0)</f>
        <v>1.6</v>
      </c>
      <c r="K228" s="19" t="str">
        <f>VLOOKUP(A228,Sheet1!A:AB,28,0)</f>
        <v>Unknown</v>
      </c>
      <c r="L228" s="27">
        <f>VLOOKUP(A228,Sheet1!A:AD,30,0)</f>
        <v>66</v>
      </c>
    </row>
    <row r="229" spans="1:12" x14ac:dyDescent="0.3">
      <c r="A229" s="14" t="s">
        <v>1764</v>
      </c>
      <c r="B229" s="19" t="str">
        <f>VLOOKUP(A229,Sheet1!A:E,5,0)</f>
        <v>Adam Griffith</v>
      </c>
      <c r="C229" s="19" t="str">
        <f>VLOOKUP(A229,Sheet1!A:I,9,0)</f>
        <v>Male</v>
      </c>
      <c r="D229" s="19">
        <f>VLOOKUP(A229,Sheet1!A:K,11,0)</f>
        <v>51</v>
      </c>
      <c r="E229" s="19" t="str">
        <f>VLOOKUP(A229,Sheet1!A:M,13,0)</f>
        <v>South Korea</v>
      </c>
      <c r="F229" s="19" t="str">
        <f>VLOOKUP(A229,Sheet1!A:N,14,0)</f>
        <v>Korean</v>
      </c>
      <c r="G229" s="19" t="str">
        <f>VLOOKUP(A229,Sheet1!A:O,15,0)</f>
        <v>Web Development</v>
      </c>
      <c r="H229" s="19">
        <f>VLOOKUP(A229,Sheet1!A:Q,17,0)</f>
        <v>32</v>
      </c>
      <c r="I229" s="20">
        <f>VLOOKUP(A229,Sheet1!A:V,22,0)</f>
        <v>50</v>
      </c>
      <c r="J229" s="21">
        <f>VLOOKUP(A229,Sheet1!A:X,24,0)</f>
        <v>3.2</v>
      </c>
      <c r="K229" s="19" t="str">
        <f>VLOOKUP(A229,Sheet1!A:AB,28,0)</f>
        <v>No</v>
      </c>
      <c r="L229" s="27">
        <f>VLOOKUP(A229,Sheet1!A:AD,30,0)</f>
        <v>88</v>
      </c>
    </row>
    <row r="230" spans="1:12" x14ac:dyDescent="0.3">
      <c r="A230" s="14" t="s">
        <v>1391</v>
      </c>
      <c r="B230" s="19" t="str">
        <f>VLOOKUP(A230,Sheet1!A:E,5,0)</f>
        <v>Andrew Scott</v>
      </c>
      <c r="C230" s="19" t="str">
        <f>VLOOKUP(A230,Sheet1!A:I,9,0)</f>
        <v>Male</v>
      </c>
      <c r="D230" s="19">
        <f>VLOOKUP(A230,Sheet1!A:K,11,0)</f>
        <v>51</v>
      </c>
      <c r="E230" s="19" t="str">
        <f>VLOOKUP(A230,Sheet1!A:M,13,0)</f>
        <v>Australia</v>
      </c>
      <c r="F230" s="19" t="str">
        <f>VLOOKUP(A230,Sheet1!A:N,14,0)</f>
        <v>English</v>
      </c>
      <c r="G230" s="19" t="str">
        <f>VLOOKUP(A230,Sheet1!A:O,15,0)</f>
        <v>Cybersecurity</v>
      </c>
      <c r="H230" s="19">
        <f>VLOOKUP(A230,Sheet1!A:Q,17,0)</f>
        <v>9</v>
      </c>
      <c r="I230" s="20">
        <f>VLOOKUP(A230,Sheet1!A:V,22,0)</f>
        <v>40</v>
      </c>
      <c r="J230" s="21">
        <f>VLOOKUP(A230,Sheet1!A:X,24,0)</f>
        <v>2.5954545454545466</v>
      </c>
      <c r="K230" s="19" t="str">
        <f>VLOOKUP(A230,Sheet1!A:AB,28,0)</f>
        <v>No</v>
      </c>
      <c r="L230" s="27">
        <f>VLOOKUP(A230,Sheet1!A:AD,30,0)</f>
        <v>60</v>
      </c>
    </row>
    <row r="231" spans="1:12" x14ac:dyDescent="0.3">
      <c r="A231" s="14" t="s">
        <v>1596</v>
      </c>
      <c r="B231" s="19" t="str">
        <f>VLOOKUP(A231,Sheet1!A:E,5,0)</f>
        <v>Anthony Krause</v>
      </c>
      <c r="C231" s="19" t="str">
        <f>VLOOKUP(A231,Sheet1!A:I,9,0)</f>
        <v>Male</v>
      </c>
      <c r="D231" s="19">
        <f>VLOOKUP(A231,Sheet1!A:K,11,0)</f>
        <v>51</v>
      </c>
      <c r="E231" s="19" t="str">
        <f>VLOOKUP(A231,Sheet1!A:M,13,0)</f>
        <v>China</v>
      </c>
      <c r="F231" s="19" t="str">
        <f>VLOOKUP(A231,Sheet1!A:N,14,0)</f>
        <v>Mandarin</v>
      </c>
      <c r="G231" s="19" t="str">
        <f>VLOOKUP(A231,Sheet1!A:O,15,0)</f>
        <v>Blockchain Development</v>
      </c>
      <c r="H231" s="19">
        <f>VLOOKUP(A231,Sheet1!A:Q,17,0)</f>
        <v>17</v>
      </c>
      <c r="I231" s="20">
        <f>VLOOKUP(A231,Sheet1!A:V,22,0)</f>
        <v>40</v>
      </c>
      <c r="J231" s="21">
        <f>VLOOKUP(A231,Sheet1!A:X,24,0)</f>
        <v>4.5</v>
      </c>
      <c r="K231" s="19" t="str">
        <f>VLOOKUP(A231,Sheet1!A:AB,28,0)</f>
        <v>Yes</v>
      </c>
      <c r="L231" s="27">
        <f>VLOOKUP(A231,Sheet1!A:AD,30,0)</f>
        <v>72</v>
      </c>
    </row>
    <row r="232" spans="1:12" x14ac:dyDescent="0.3">
      <c r="A232" s="14" t="s">
        <v>212</v>
      </c>
      <c r="B232" s="19" t="str">
        <f>VLOOKUP(A232,Sheet1!A:E,5,0)</f>
        <v>Barbara Foster</v>
      </c>
      <c r="C232" s="19" t="str">
        <f>VLOOKUP(A232,Sheet1!A:I,9,0)</f>
        <v>Female</v>
      </c>
      <c r="D232" s="19">
        <f>VLOOKUP(A232,Sheet1!A:K,11,0)</f>
        <v>51</v>
      </c>
      <c r="E232" s="19" t="str">
        <f>VLOOKUP(A232,Sheet1!A:M,13,0)</f>
        <v>South Africa</v>
      </c>
      <c r="F232" s="19" t="str">
        <f>VLOOKUP(A232,Sheet1!A:N,14,0)</f>
        <v>Afrikaans</v>
      </c>
      <c r="G232" s="19" t="str">
        <f>VLOOKUP(A232,Sheet1!A:O,15,0)</f>
        <v>DevOps</v>
      </c>
      <c r="H232" s="19">
        <f>VLOOKUP(A232,Sheet1!A:Q,17,0)</f>
        <v>28</v>
      </c>
      <c r="I232" s="20">
        <f>VLOOKUP(A232,Sheet1!A:V,22,0)</f>
        <v>40</v>
      </c>
      <c r="J232" s="21">
        <f>VLOOKUP(A232,Sheet1!A:X,24,0)</f>
        <v>3.9</v>
      </c>
      <c r="K232" s="19" t="str">
        <f>VLOOKUP(A232,Sheet1!A:AB,28,0)</f>
        <v>No</v>
      </c>
      <c r="L232" s="27">
        <f>VLOOKUP(A232,Sheet1!A:AD,30,0)</f>
        <v>63</v>
      </c>
    </row>
    <row r="233" spans="1:12" x14ac:dyDescent="0.3">
      <c r="A233" s="14" t="s">
        <v>1536</v>
      </c>
      <c r="B233" s="19" t="str">
        <f>VLOOKUP(A233,Sheet1!A:E,5,0)</f>
        <v>Bradley Gaines</v>
      </c>
      <c r="C233" s="19" t="str">
        <f>VLOOKUP(A233,Sheet1!A:I,9,0)</f>
        <v>Male</v>
      </c>
      <c r="D233" s="19">
        <f>VLOOKUP(A233,Sheet1!A:K,11,0)</f>
        <v>51</v>
      </c>
      <c r="E233" s="19" t="str">
        <f>VLOOKUP(A233,Sheet1!A:M,13,0)</f>
        <v>Turkey</v>
      </c>
      <c r="F233" s="19" t="str">
        <f>VLOOKUP(A233,Sheet1!A:N,14,0)</f>
        <v>Turkish</v>
      </c>
      <c r="G233" s="19" t="str">
        <f>VLOOKUP(A233,Sheet1!A:O,15,0)</f>
        <v>UI/UX Design</v>
      </c>
      <c r="H233" s="19">
        <f>VLOOKUP(A233,Sheet1!A:Q,17,0)</f>
        <v>11</v>
      </c>
      <c r="I233" s="20">
        <f>VLOOKUP(A233,Sheet1!A:V,22,0)</f>
        <v>30</v>
      </c>
      <c r="J233" s="21">
        <f>VLOOKUP(A233,Sheet1!A:X,24,0)</f>
        <v>3.6</v>
      </c>
      <c r="K233" s="19" t="str">
        <f>VLOOKUP(A233,Sheet1!A:AB,28,0)</f>
        <v>Yes</v>
      </c>
      <c r="L233" s="27">
        <f>VLOOKUP(A233,Sheet1!A:AD,30,0)</f>
        <v>77</v>
      </c>
    </row>
    <row r="234" spans="1:12" x14ac:dyDescent="0.3">
      <c r="A234" s="14" t="s">
        <v>115</v>
      </c>
      <c r="B234" s="19" t="str">
        <f>VLOOKUP(A234,Sheet1!A:E,5,0)</f>
        <v>Cesar Greene</v>
      </c>
      <c r="C234" s="19" t="str">
        <f>VLOOKUP(A234,Sheet1!A:I,9,0)</f>
        <v>Male</v>
      </c>
      <c r="D234" s="19">
        <f>VLOOKUP(A234,Sheet1!A:K,11,0)</f>
        <v>51</v>
      </c>
      <c r="E234" s="19" t="str">
        <f>VLOOKUP(A234,Sheet1!A:M,13,0)</f>
        <v>Brazil</v>
      </c>
      <c r="F234" s="19" t="str">
        <f>VLOOKUP(A234,Sheet1!A:N,14,0)</f>
        <v>Portuguese</v>
      </c>
      <c r="G234" s="19" t="str">
        <f>VLOOKUP(A234,Sheet1!A:O,15,0)</f>
        <v>Cybersecurity</v>
      </c>
      <c r="H234" s="19">
        <f>VLOOKUP(A234,Sheet1!A:Q,17,0)</f>
        <v>21</v>
      </c>
      <c r="I234" s="20">
        <f>VLOOKUP(A234,Sheet1!A:V,22,0)</f>
        <v>30</v>
      </c>
      <c r="J234" s="21">
        <f>VLOOKUP(A234,Sheet1!A:X,24,0)</f>
        <v>4.7</v>
      </c>
      <c r="K234" s="19" t="str">
        <f>VLOOKUP(A234,Sheet1!A:AB,28,0)</f>
        <v>No</v>
      </c>
      <c r="L234" s="27">
        <f>VLOOKUP(A234,Sheet1!A:AD,30,0)</f>
        <v>79.280745341614903</v>
      </c>
    </row>
    <row r="235" spans="1:12" x14ac:dyDescent="0.3">
      <c r="A235" s="14" t="s">
        <v>214</v>
      </c>
      <c r="B235" s="19" t="str">
        <f>VLOOKUP(A235,Sheet1!A:E,5,0)</f>
        <v>Courtney Tran</v>
      </c>
      <c r="C235" s="19" t="str">
        <f>VLOOKUP(A235,Sheet1!A:I,9,0)</f>
        <v>Female</v>
      </c>
      <c r="D235" s="19">
        <f>VLOOKUP(A235,Sheet1!A:K,11,0)</f>
        <v>51</v>
      </c>
      <c r="E235" s="19" t="str">
        <f>VLOOKUP(A235,Sheet1!A:M,13,0)</f>
        <v>Indonesia</v>
      </c>
      <c r="F235" s="19" t="str">
        <f>VLOOKUP(A235,Sheet1!A:N,14,0)</f>
        <v>Indonesian</v>
      </c>
      <c r="G235" s="19" t="str">
        <f>VLOOKUP(A235,Sheet1!A:O,15,0)</f>
        <v>AI</v>
      </c>
      <c r="H235" s="19">
        <f>VLOOKUP(A235,Sheet1!A:Q,17,0)</f>
        <v>33</v>
      </c>
      <c r="I235" s="20">
        <f>VLOOKUP(A235,Sheet1!A:V,22,0)</f>
        <v>75</v>
      </c>
      <c r="J235" s="21">
        <f>VLOOKUP(A235,Sheet1!A:X,24,0)</f>
        <v>0</v>
      </c>
      <c r="K235" s="19" t="str">
        <f>VLOOKUP(A235,Sheet1!A:AB,28,0)</f>
        <v>Yes</v>
      </c>
      <c r="L235" s="27">
        <f>VLOOKUP(A235,Sheet1!A:AD,30,0)</f>
        <v>79.423969072164951</v>
      </c>
    </row>
    <row r="236" spans="1:12" x14ac:dyDescent="0.3">
      <c r="A236" s="14" t="s">
        <v>891</v>
      </c>
      <c r="B236" s="19" t="str">
        <f>VLOOKUP(A236,Sheet1!A:E,5,0)</f>
        <v>Daniel Foster</v>
      </c>
      <c r="C236" s="19" t="str">
        <f>VLOOKUP(A236,Sheet1!A:I,9,0)</f>
        <v>Male</v>
      </c>
      <c r="D236" s="19">
        <f>VLOOKUP(A236,Sheet1!A:K,11,0)</f>
        <v>51</v>
      </c>
      <c r="E236" s="19" t="str">
        <f>VLOOKUP(A236,Sheet1!A:M,13,0)</f>
        <v>South Korea</v>
      </c>
      <c r="F236" s="19" t="str">
        <f>VLOOKUP(A236,Sheet1!A:N,14,0)</f>
        <v>Korean</v>
      </c>
      <c r="G236" s="19" t="str">
        <f>VLOOKUP(A236,Sheet1!A:O,15,0)</f>
        <v>Cybersecurity</v>
      </c>
      <c r="H236" s="19">
        <f>VLOOKUP(A236,Sheet1!A:Q,17,0)</f>
        <v>5</v>
      </c>
      <c r="I236" s="20">
        <f>VLOOKUP(A236,Sheet1!A:V,22,0)</f>
        <v>53.53102189781022</v>
      </c>
      <c r="J236" s="21">
        <f>VLOOKUP(A236,Sheet1!A:X,24,0)</f>
        <v>3</v>
      </c>
      <c r="K236" s="19" t="str">
        <f>VLOOKUP(A236,Sheet1!A:AB,28,0)</f>
        <v>Yes</v>
      </c>
      <c r="L236" s="27">
        <f>VLOOKUP(A236,Sheet1!A:AD,30,0)</f>
        <v>88</v>
      </c>
    </row>
    <row r="237" spans="1:12" x14ac:dyDescent="0.3">
      <c r="A237" s="14" t="s">
        <v>1502</v>
      </c>
      <c r="B237" s="19" t="str">
        <f>VLOOKUP(A237,Sheet1!A:E,5,0)</f>
        <v>Danielle Bell</v>
      </c>
      <c r="C237" s="19" t="str">
        <f>VLOOKUP(A237,Sheet1!A:I,9,0)</f>
        <v>Female</v>
      </c>
      <c r="D237" s="19">
        <f>VLOOKUP(A237,Sheet1!A:K,11,0)</f>
        <v>51</v>
      </c>
      <c r="E237" s="19" t="str">
        <f>VLOOKUP(A237,Sheet1!A:M,13,0)</f>
        <v>Indonesia</v>
      </c>
      <c r="F237" s="19" t="str">
        <f>VLOOKUP(A237,Sheet1!A:N,14,0)</f>
        <v>Indonesian</v>
      </c>
      <c r="G237" s="19" t="str">
        <f>VLOOKUP(A237,Sheet1!A:O,15,0)</f>
        <v>Graphic Design</v>
      </c>
      <c r="H237" s="19">
        <f>VLOOKUP(A237,Sheet1!A:Q,17,0)</f>
        <v>1</v>
      </c>
      <c r="I237" s="20">
        <f>VLOOKUP(A237,Sheet1!A:V,22,0)</f>
        <v>50</v>
      </c>
      <c r="J237" s="21">
        <f>VLOOKUP(A237,Sheet1!A:X,24,0)</f>
        <v>0</v>
      </c>
      <c r="K237" s="19" t="str">
        <f>VLOOKUP(A237,Sheet1!A:AB,28,0)</f>
        <v>Yes</v>
      </c>
      <c r="L237" s="27">
        <f>VLOOKUP(A237,Sheet1!A:AD,30,0)</f>
        <v>97</v>
      </c>
    </row>
    <row r="238" spans="1:12" x14ac:dyDescent="0.3">
      <c r="A238" s="14" t="s">
        <v>1612</v>
      </c>
      <c r="B238" s="19" t="str">
        <f>VLOOKUP(A238,Sheet1!A:E,5,0)</f>
        <v>Gilbert Mcintyre</v>
      </c>
      <c r="C238" s="19" t="str">
        <f>VLOOKUP(A238,Sheet1!A:I,9,0)</f>
        <v>Male</v>
      </c>
      <c r="D238" s="19">
        <f>VLOOKUP(A238,Sheet1!A:K,11,0)</f>
        <v>51</v>
      </c>
      <c r="E238" s="19" t="str">
        <f>VLOOKUP(A238,Sheet1!A:M,13,0)</f>
        <v>Canada</v>
      </c>
      <c r="F238" s="19" t="str">
        <f>VLOOKUP(A238,Sheet1!A:N,14,0)</f>
        <v>English</v>
      </c>
      <c r="G238" s="19" t="str">
        <f>VLOOKUP(A238,Sheet1!A:O,15,0)</f>
        <v>Blockchain Development</v>
      </c>
      <c r="H238" s="19">
        <f>VLOOKUP(A238,Sheet1!A:Q,17,0)</f>
        <v>19</v>
      </c>
      <c r="I238" s="20">
        <f>VLOOKUP(A238,Sheet1!A:V,22,0)</f>
        <v>50</v>
      </c>
      <c r="J238" s="21">
        <f>VLOOKUP(A238,Sheet1!A:X,24,0)</f>
        <v>2.5380952380952393</v>
      </c>
      <c r="K238" s="19" t="str">
        <f>VLOOKUP(A238,Sheet1!A:AB,28,0)</f>
        <v>Yes</v>
      </c>
      <c r="L238" s="27">
        <f>VLOOKUP(A238,Sheet1!A:AD,30,0)</f>
        <v>82</v>
      </c>
    </row>
    <row r="239" spans="1:12" x14ac:dyDescent="0.3">
      <c r="A239" s="14" t="s">
        <v>1301</v>
      </c>
      <c r="B239" s="19" t="str">
        <f>VLOOKUP(A239,Sheet1!A:E,5,0)</f>
        <v>Heather Jackson</v>
      </c>
      <c r="C239" s="19" t="str">
        <f>VLOOKUP(A239,Sheet1!A:I,9,0)</f>
        <v>Female</v>
      </c>
      <c r="D239" s="19">
        <f>VLOOKUP(A239,Sheet1!A:K,11,0)</f>
        <v>51</v>
      </c>
      <c r="E239" s="19" t="str">
        <f>VLOOKUP(A239,Sheet1!A:M,13,0)</f>
        <v>South Korea</v>
      </c>
      <c r="F239" s="19" t="str">
        <f>VLOOKUP(A239,Sheet1!A:N,14,0)</f>
        <v>Korean</v>
      </c>
      <c r="G239" s="19" t="str">
        <f>VLOOKUP(A239,Sheet1!A:O,15,0)</f>
        <v>Web Development</v>
      </c>
      <c r="H239" s="19">
        <f>VLOOKUP(A239,Sheet1!A:Q,17,0)</f>
        <v>17</v>
      </c>
      <c r="I239" s="20">
        <f>VLOOKUP(A239,Sheet1!A:V,22,0)</f>
        <v>100</v>
      </c>
      <c r="J239" s="21">
        <f>VLOOKUP(A239,Sheet1!A:X,24,0)</f>
        <v>3</v>
      </c>
      <c r="K239" s="19" t="str">
        <f>VLOOKUP(A239,Sheet1!A:AB,28,0)</f>
        <v>No</v>
      </c>
      <c r="L239" s="27">
        <f>VLOOKUP(A239,Sheet1!A:AD,30,0)</f>
        <v>79</v>
      </c>
    </row>
    <row r="240" spans="1:12" x14ac:dyDescent="0.3">
      <c r="A240" s="14" t="s">
        <v>928</v>
      </c>
      <c r="B240" s="19" t="str">
        <f>VLOOKUP(A240,Sheet1!A:E,5,0)</f>
        <v>James Jacobs</v>
      </c>
      <c r="C240" s="19" t="str">
        <f>VLOOKUP(A240,Sheet1!A:I,9,0)</f>
        <v>Male</v>
      </c>
      <c r="D240" s="19">
        <f>VLOOKUP(A240,Sheet1!A:K,11,0)</f>
        <v>51</v>
      </c>
      <c r="E240" s="19" t="str">
        <f>VLOOKUP(A240,Sheet1!A:M,13,0)</f>
        <v>Egypt</v>
      </c>
      <c r="F240" s="19" t="str">
        <f>VLOOKUP(A240,Sheet1!A:N,14,0)</f>
        <v>Arabic</v>
      </c>
      <c r="G240" s="19" t="str">
        <f>VLOOKUP(A240,Sheet1!A:O,15,0)</f>
        <v>Web Development</v>
      </c>
      <c r="H240" s="19">
        <f>VLOOKUP(A240,Sheet1!A:Q,17,0)</f>
        <v>32</v>
      </c>
      <c r="I240" s="20">
        <f>VLOOKUP(A240,Sheet1!A:V,22,0)</f>
        <v>100</v>
      </c>
      <c r="J240" s="21">
        <f>VLOOKUP(A240,Sheet1!A:X,24,0)</f>
        <v>4.4000000000000004</v>
      </c>
      <c r="K240" s="19" t="str">
        <f>VLOOKUP(A240,Sheet1!A:AB,28,0)</f>
        <v>No</v>
      </c>
      <c r="L240" s="27">
        <f>VLOOKUP(A240,Sheet1!A:AD,30,0)</f>
        <v>91</v>
      </c>
    </row>
    <row r="241" spans="1:12" x14ac:dyDescent="0.3">
      <c r="A241" s="14" t="s">
        <v>1498</v>
      </c>
      <c r="B241" s="19" t="str">
        <f>VLOOKUP(A241,Sheet1!A:E,5,0)</f>
        <v>John Simpson</v>
      </c>
      <c r="C241" s="19" t="str">
        <f>VLOOKUP(A241,Sheet1!A:I,9,0)</f>
        <v>Male</v>
      </c>
      <c r="D241" s="19">
        <f>VLOOKUP(A241,Sheet1!A:K,11,0)</f>
        <v>51</v>
      </c>
      <c r="E241" s="19" t="str">
        <f>VLOOKUP(A241,Sheet1!A:M,13,0)</f>
        <v>Canada</v>
      </c>
      <c r="F241" s="19" t="str">
        <f>VLOOKUP(A241,Sheet1!A:N,14,0)</f>
        <v>English</v>
      </c>
      <c r="G241" s="19" t="str">
        <f>VLOOKUP(A241,Sheet1!A:O,15,0)</f>
        <v>DevOps</v>
      </c>
      <c r="H241" s="19">
        <f>VLOOKUP(A241,Sheet1!A:Q,17,0)</f>
        <v>4</v>
      </c>
      <c r="I241" s="20">
        <f>VLOOKUP(A241,Sheet1!A:V,22,0)</f>
        <v>50</v>
      </c>
      <c r="J241" s="21">
        <f>VLOOKUP(A241,Sheet1!A:X,24,0)</f>
        <v>2</v>
      </c>
      <c r="K241" s="19" t="str">
        <f>VLOOKUP(A241,Sheet1!A:AB,28,0)</f>
        <v>No</v>
      </c>
      <c r="L241" s="27">
        <f>VLOOKUP(A241,Sheet1!A:AD,30,0)</f>
        <v>92</v>
      </c>
    </row>
    <row r="242" spans="1:12" x14ac:dyDescent="0.3">
      <c r="A242" s="14" t="s">
        <v>1167</v>
      </c>
      <c r="B242" s="19" t="str">
        <f>VLOOKUP(A242,Sheet1!A:E,5,0)</f>
        <v>Joshua Chambers</v>
      </c>
      <c r="C242" s="19" t="str">
        <f>VLOOKUP(A242,Sheet1!A:I,9,0)</f>
        <v>Male</v>
      </c>
      <c r="D242" s="19">
        <f>VLOOKUP(A242,Sheet1!A:K,11,0)</f>
        <v>51</v>
      </c>
      <c r="E242" s="19" t="str">
        <f>VLOOKUP(A242,Sheet1!A:M,13,0)</f>
        <v>Mexico</v>
      </c>
      <c r="F242" s="19" t="str">
        <f>VLOOKUP(A242,Sheet1!A:N,14,0)</f>
        <v>Spanish</v>
      </c>
      <c r="G242" s="19" t="str">
        <f>VLOOKUP(A242,Sheet1!A:O,15,0)</f>
        <v>UI/UX Design</v>
      </c>
      <c r="H242" s="19">
        <f>VLOOKUP(A242,Sheet1!A:Q,17,0)</f>
        <v>22</v>
      </c>
      <c r="I242" s="20">
        <f>VLOOKUP(A242,Sheet1!A:V,22,0)</f>
        <v>20</v>
      </c>
      <c r="J242" s="21">
        <f>VLOOKUP(A242,Sheet1!A:X,24,0)</f>
        <v>3.4</v>
      </c>
      <c r="K242" s="19" t="str">
        <f>VLOOKUP(A242,Sheet1!A:AB,28,0)</f>
        <v>Yes</v>
      </c>
      <c r="L242" s="27">
        <f>VLOOKUP(A242,Sheet1!A:AD,30,0)</f>
        <v>90</v>
      </c>
    </row>
    <row r="243" spans="1:12" x14ac:dyDescent="0.3">
      <c r="A243" s="14" t="s">
        <v>197</v>
      </c>
      <c r="B243" s="19" t="str">
        <f>VLOOKUP(A243,Sheet1!A:E,5,0)</f>
        <v>Kyle Atkinson</v>
      </c>
      <c r="C243" s="19" t="str">
        <f>VLOOKUP(A243,Sheet1!A:I,9,0)</f>
        <v>Male</v>
      </c>
      <c r="D243" s="19">
        <f>VLOOKUP(A243,Sheet1!A:K,11,0)</f>
        <v>51</v>
      </c>
      <c r="E243" s="19" t="str">
        <f>VLOOKUP(A243,Sheet1!A:M,13,0)</f>
        <v>Germany</v>
      </c>
      <c r="F243" s="19" t="str">
        <f>VLOOKUP(A243,Sheet1!A:N,14,0)</f>
        <v>German</v>
      </c>
      <c r="G243" s="19" t="str">
        <f>VLOOKUP(A243,Sheet1!A:O,15,0)</f>
        <v>Machine Learning</v>
      </c>
      <c r="H243" s="19">
        <f>VLOOKUP(A243,Sheet1!A:Q,17,0)</f>
        <v>33</v>
      </c>
      <c r="I243" s="20">
        <f>VLOOKUP(A243,Sheet1!A:V,22,0)</f>
        <v>75</v>
      </c>
      <c r="J243" s="21">
        <f>VLOOKUP(A243,Sheet1!A:X,24,0)</f>
        <v>3.3</v>
      </c>
      <c r="K243" s="19" t="str">
        <f>VLOOKUP(A243,Sheet1!A:AB,28,0)</f>
        <v>Unknown</v>
      </c>
      <c r="L243" s="27">
        <f>VLOOKUP(A243,Sheet1!A:AD,30,0)</f>
        <v>68</v>
      </c>
    </row>
    <row r="244" spans="1:12" x14ac:dyDescent="0.3">
      <c r="A244" s="14" t="s">
        <v>1844</v>
      </c>
      <c r="B244" s="19" t="str">
        <f>VLOOKUP(A244,Sheet1!A:E,5,0)</f>
        <v>Larry Wallace</v>
      </c>
      <c r="C244" s="19" t="str">
        <f>VLOOKUP(A244,Sheet1!A:I,9,0)</f>
        <v>Male</v>
      </c>
      <c r="D244" s="19">
        <f>VLOOKUP(A244,Sheet1!A:K,11,0)</f>
        <v>51</v>
      </c>
      <c r="E244" s="19" t="str">
        <f>VLOOKUP(A244,Sheet1!A:M,13,0)</f>
        <v>Australia</v>
      </c>
      <c r="F244" s="19" t="str">
        <f>VLOOKUP(A244,Sheet1!A:N,14,0)</f>
        <v>English</v>
      </c>
      <c r="G244" s="19" t="str">
        <f>VLOOKUP(A244,Sheet1!A:O,15,0)</f>
        <v>Graphic Design</v>
      </c>
      <c r="H244" s="19">
        <f>VLOOKUP(A244,Sheet1!A:Q,17,0)</f>
        <v>21</v>
      </c>
      <c r="I244" s="20">
        <f>VLOOKUP(A244,Sheet1!A:V,22,0)</f>
        <v>20</v>
      </c>
      <c r="J244" s="21">
        <f>VLOOKUP(A244,Sheet1!A:X,24,0)</f>
        <v>2.5181818181818172</v>
      </c>
      <c r="K244" s="19" t="str">
        <f>VLOOKUP(A244,Sheet1!A:AB,28,0)</f>
        <v>Yes</v>
      </c>
      <c r="L244" s="27">
        <f>VLOOKUP(A244,Sheet1!A:AD,30,0)</f>
        <v>80.77669902912622</v>
      </c>
    </row>
    <row r="245" spans="1:12" x14ac:dyDescent="0.3">
      <c r="A245" s="14" t="s">
        <v>1696</v>
      </c>
      <c r="B245" s="19" t="str">
        <f>VLOOKUP(A245,Sheet1!A:E,5,0)</f>
        <v>Lindsay Rivera</v>
      </c>
      <c r="C245" s="19" t="str">
        <f>VLOOKUP(A245,Sheet1!A:I,9,0)</f>
        <v>Female</v>
      </c>
      <c r="D245" s="19">
        <f>VLOOKUP(A245,Sheet1!A:K,11,0)</f>
        <v>51</v>
      </c>
      <c r="E245" s="19" t="str">
        <f>VLOOKUP(A245,Sheet1!A:M,13,0)</f>
        <v>United Kingdom</v>
      </c>
      <c r="F245" s="19" t="str">
        <f>VLOOKUP(A245,Sheet1!A:N,14,0)</f>
        <v>English</v>
      </c>
      <c r="G245" s="19" t="str">
        <f>VLOOKUP(A245,Sheet1!A:O,15,0)</f>
        <v>Machine Learning</v>
      </c>
      <c r="H245" s="19">
        <f>VLOOKUP(A245,Sheet1!A:Q,17,0)</f>
        <v>30</v>
      </c>
      <c r="I245" s="20">
        <f>VLOOKUP(A245,Sheet1!A:V,22,0)</f>
        <v>75</v>
      </c>
      <c r="J245" s="21">
        <f>VLOOKUP(A245,Sheet1!A:X,24,0)</f>
        <v>2.4770114942528743</v>
      </c>
      <c r="K245" s="19" t="str">
        <f>VLOOKUP(A245,Sheet1!A:AB,28,0)</f>
        <v>Yes</v>
      </c>
      <c r="L245" s="27">
        <f>VLOOKUP(A245,Sheet1!A:AD,30,0)</f>
        <v>74</v>
      </c>
    </row>
    <row r="246" spans="1:12" x14ac:dyDescent="0.3">
      <c r="A246" s="14" t="s">
        <v>120</v>
      </c>
      <c r="B246" s="19" t="str">
        <f>VLOOKUP(A246,Sheet1!A:E,5,0)</f>
        <v>Melanie Carter</v>
      </c>
      <c r="C246" s="19" t="str">
        <f>VLOOKUP(A246,Sheet1!A:I,9,0)</f>
        <v>Female</v>
      </c>
      <c r="D246" s="19">
        <f>VLOOKUP(A246,Sheet1!A:K,11,0)</f>
        <v>51</v>
      </c>
      <c r="E246" s="19" t="str">
        <f>VLOOKUP(A246,Sheet1!A:M,13,0)</f>
        <v>South Korea</v>
      </c>
      <c r="F246" s="19" t="str">
        <f>VLOOKUP(A246,Sheet1!A:N,14,0)</f>
        <v>Korean</v>
      </c>
      <c r="G246" s="19" t="str">
        <f>VLOOKUP(A246,Sheet1!A:O,15,0)</f>
        <v>Machine Learning</v>
      </c>
      <c r="H246" s="19">
        <f>VLOOKUP(A246,Sheet1!A:Q,17,0)</f>
        <v>15</v>
      </c>
      <c r="I246" s="20">
        <f>VLOOKUP(A246,Sheet1!A:V,22,0)</f>
        <v>50</v>
      </c>
      <c r="J246" s="21">
        <f>VLOOKUP(A246,Sheet1!A:X,24,0)</f>
        <v>1.3</v>
      </c>
      <c r="K246" s="19" t="str">
        <f>VLOOKUP(A246,Sheet1!A:AB,28,0)</f>
        <v>Yes</v>
      </c>
      <c r="L246" s="27">
        <f>VLOOKUP(A246,Sheet1!A:AD,30,0)</f>
        <v>100</v>
      </c>
    </row>
    <row r="247" spans="1:12" x14ac:dyDescent="0.3">
      <c r="A247" s="14" t="s">
        <v>1317</v>
      </c>
      <c r="B247" s="19" t="str">
        <f>VLOOKUP(A247,Sheet1!A:E,5,0)</f>
        <v>Michael Davis</v>
      </c>
      <c r="C247" s="19" t="str">
        <f>VLOOKUP(A247,Sheet1!A:I,9,0)</f>
        <v>Male</v>
      </c>
      <c r="D247" s="19">
        <f>VLOOKUP(A247,Sheet1!A:K,11,0)</f>
        <v>51</v>
      </c>
      <c r="E247" s="19" t="str">
        <f>VLOOKUP(A247,Sheet1!A:M,13,0)</f>
        <v>Japan</v>
      </c>
      <c r="F247" s="19" t="str">
        <f>VLOOKUP(A247,Sheet1!A:N,14,0)</f>
        <v>Japanese</v>
      </c>
      <c r="G247" s="19" t="str">
        <f>VLOOKUP(A247,Sheet1!A:O,15,0)</f>
        <v>Graphic Design</v>
      </c>
      <c r="H247" s="19">
        <f>VLOOKUP(A247,Sheet1!A:Q,17,0)</f>
        <v>5</v>
      </c>
      <c r="I247" s="20">
        <f>VLOOKUP(A247,Sheet1!A:V,22,0)</f>
        <v>50</v>
      </c>
      <c r="J247" s="21">
        <f>VLOOKUP(A247,Sheet1!A:X,24,0)</f>
        <v>4.2</v>
      </c>
      <c r="K247" s="19" t="str">
        <f>VLOOKUP(A247,Sheet1!A:AB,28,0)</f>
        <v>Yes</v>
      </c>
      <c r="L247" s="27">
        <f>VLOOKUP(A247,Sheet1!A:AD,30,0)</f>
        <v>82</v>
      </c>
    </row>
    <row r="248" spans="1:12" x14ac:dyDescent="0.3">
      <c r="A248" s="14" t="s">
        <v>177</v>
      </c>
      <c r="B248" s="19" t="str">
        <f>VLOOKUP(A248,Sheet1!A:E,5,0)</f>
        <v>Michelle Ramirez</v>
      </c>
      <c r="C248" s="19" t="str">
        <f>VLOOKUP(A248,Sheet1!A:I,9,0)</f>
        <v>Female</v>
      </c>
      <c r="D248" s="19">
        <f>VLOOKUP(A248,Sheet1!A:K,11,0)</f>
        <v>51</v>
      </c>
      <c r="E248" s="19" t="str">
        <f>VLOOKUP(A248,Sheet1!A:M,13,0)</f>
        <v>Netherlands</v>
      </c>
      <c r="F248" s="19" t="str">
        <f>VLOOKUP(A248,Sheet1!A:N,14,0)</f>
        <v>Dutch</v>
      </c>
      <c r="G248" s="19" t="str">
        <f>VLOOKUP(A248,Sheet1!A:O,15,0)</f>
        <v>Machine Learning</v>
      </c>
      <c r="H248" s="19">
        <f>VLOOKUP(A248,Sheet1!A:Q,17,0)</f>
        <v>23</v>
      </c>
      <c r="I248" s="20">
        <f>VLOOKUP(A248,Sheet1!A:V,22,0)</f>
        <v>20</v>
      </c>
      <c r="J248" s="21">
        <f>VLOOKUP(A248,Sheet1!A:X,24,0)</f>
        <v>2.5</v>
      </c>
      <c r="K248" s="19" t="str">
        <f>VLOOKUP(A248,Sheet1!A:AB,28,0)</f>
        <v>No</v>
      </c>
      <c r="L248" s="27">
        <f>VLOOKUP(A248,Sheet1!A:AD,30,0)</f>
        <v>80</v>
      </c>
    </row>
    <row r="249" spans="1:12" x14ac:dyDescent="0.3">
      <c r="A249" s="14" t="s">
        <v>1608</v>
      </c>
      <c r="B249" s="19" t="str">
        <f>VLOOKUP(A249,Sheet1!A:E,5,0)</f>
        <v>Richard Smith</v>
      </c>
      <c r="C249" s="19" t="str">
        <f>VLOOKUP(A249,Sheet1!A:I,9,0)</f>
        <v>Male</v>
      </c>
      <c r="D249" s="19">
        <f>VLOOKUP(A249,Sheet1!A:K,11,0)</f>
        <v>51</v>
      </c>
      <c r="E249" s="19" t="str">
        <f>VLOOKUP(A249,Sheet1!A:M,13,0)</f>
        <v>South Korea</v>
      </c>
      <c r="F249" s="19" t="str">
        <f>VLOOKUP(A249,Sheet1!A:N,14,0)</f>
        <v>Korean</v>
      </c>
      <c r="G249" s="19" t="str">
        <f>VLOOKUP(A249,Sheet1!A:O,15,0)</f>
        <v>Mobile Apps</v>
      </c>
      <c r="H249" s="19">
        <f>VLOOKUP(A249,Sheet1!A:Q,17,0)</f>
        <v>5</v>
      </c>
      <c r="I249" s="20">
        <f>VLOOKUP(A249,Sheet1!A:V,22,0)</f>
        <v>40</v>
      </c>
      <c r="J249" s="21">
        <f>VLOOKUP(A249,Sheet1!A:X,24,0)</f>
        <v>1.7</v>
      </c>
      <c r="K249" s="19" t="str">
        <f>VLOOKUP(A249,Sheet1!A:AB,28,0)</f>
        <v>Yes</v>
      </c>
      <c r="L249" s="27">
        <f>VLOOKUP(A249,Sheet1!A:AD,30,0)</f>
        <v>61</v>
      </c>
    </row>
    <row r="250" spans="1:12" x14ac:dyDescent="0.3">
      <c r="A250" s="14" t="s">
        <v>905</v>
      </c>
      <c r="B250" s="19" t="str">
        <f>VLOOKUP(A250,Sheet1!A:E,5,0)</f>
        <v>Sabrina Davidson</v>
      </c>
      <c r="C250" s="19" t="str">
        <f>VLOOKUP(A250,Sheet1!A:I,9,0)</f>
        <v>Female</v>
      </c>
      <c r="D250" s="19">
        <f>VLOOKUP(A250,Sheet1!A:K,11,0)</f>
        <v>51</v>
      </c>
      <c r="E250" s="19" t="str">
        <f>VLOOKUP(A250,Sheet1!A:M,13,0)</f>
        <v>Netherlands</v>
      </c>
      <c r="F250" s="19" t="str">
        <f>VLOOKUP(A250,Sheet1!A:N,14,0)</f>
        <v>Dutch</v>
      </c>
      <c r="G250" s="19" t="str">
        <f>VLOOKUP(A250,Sheet1!A:O,15,0)</f>
        <v>Cybersecurity</v>
      </c>
      <c r="H250" s="19">
        <f>VLOOKUP(A250,Sheet1!A:Q,17,0)</f>
        <v>27</v>
      </c>
      <c r="I250" s="20">
        <f>VLOOKUP(A250,Sheet1!A:V,22,0)</f>
        <v>50</v>
      </c>
      <c r="J250" s="21">
        <f>VLOOKUP(A250,Sheet1!A:X,24,0)</f>
        <v>0</v>
      </c>
      <c r="K250" s="19" t="str">
        <f>VLOOKUP(A250,Sheet1!A:AB,28,0)</f>
        <v>No</v>
      </c>
      <c r="L250" s="27">
        <f>VLOOKUP(A250,Sheet1!A:AD,30,0)</f>
        <v>78</v>
      </c>
    </row>
    <row r="251" spans="1:12" x14ac:dyDescent="0.3">
      <c r="A251" s="14" t="s">
        <v>113</v>
      </c>
      <c r="B251" s="19" t="str">
        <f>VLOOKUP(A251,Sheet1!A:E,5,0)</f>
        <v>Samuel Sanford</v>
      </c>
      <c r="C251" s="19" t="str">
        <f>VLOOKUP(A251,Sheet1!A:I,9,0)</f>
        <v>Male</v>
      </c>
      <c r="D251" s="19">
        <f>VLOOKUP(A251,Sheet1!A:K,11,0)</f>
        <v>51</v>
      </c>
      <c r="E251" s="19" t="str">
        <f>VLOOKUP(A251,Sheet1!A:M,13,0)</f>
        <v>Japan</v>
      </c>
      <c r="F251" s="19" t="str">
        <f>VLOOKUP(A251,Sheet1!A:N,14,0)</f>
        <v>Japanese</v>
      </c>
      <c r="G251" s="19" t="str">
        <f>VLOOKUP(A251,Sheet1!A:O,15,0)</f>
        <v>DevOps</v>
      </c>
      <c r="H251" s="19">
        <f>VLOOKUP(A251,Sheet1!A:Q,17,0)</f>
        <v>19</v>
      </c>
      <c r="I251" s="20">
        <f>VLOOKUP(A251,Sheet1!A:V,22,0)</f>
        <v>52.376404494382022</v>
      </c>
      <c r="J251" s="21">
        <f>VLOOKUP(A251,Sheet1!A:X,24,0)</f>
        <v>2.4</v>
      </c>
      <c r="K251" s="19" t="str">
        <f>VLOOKUP(A251,Sheet1!A:AB,28,0)</f>
        <v>No</v>
      </c>
      <c r="L251" s="27">
        <f>VLOOKUP(A251,Sheet1!A:AD,30,0)</f>
        <v>69</v>
      </c>
    </row>
    <row r="252" spans="1:12" x14ac:dyDescent="0.3">
      <c r="A252" s="14" t="s">
        <v>909</v>
      </c>
      <c r="B252" s="19" t="str">
        <f>VLOOKUP(A252,Sheet1!A:E,5,0)</f>
        <v>Steven Norris</v>
      </c>
      <c r="C252" s="19" t="str">
        <f>VLOOKUP(A252,Sheet1!A:I,9,0)</f>
        <v>Male</v>
      </c>
      <c r="D252" s="19">
        <f>VLOOKUP(A252,Sheet1!A:K,11,0)</f>
        <v>51</v>
      </c>
      <c r="E252" s="19" t="str">
        <f>VLOOKUP(A252,Sheet1!A:M,13,0)</f>
        <v>Japan</v>
      </c>
      <c r="F252" s="19" t="str">
        <f>VLOOKUP(A252,Sheet1!A:N,14,0)</f>
        <v>Japanese</v>
      </c>
      <c r="G252" s="19" t="str">
        <f>VLOOKUP(A252,Sheet1!A:O,15,0)</f>
        <v>AI</v>
      </c>
      <c r="H252" s="19">
        <f>VLOOKUP(A252,Sheet1!A:Q,17,0)</f>
        <v>33</v>
      </c>
      <c r="I252" s="20">
        <f>VLOOKUP(A252,Sheet1!A:V,22,0)</f>
        <v>40</v>
      </c>
      <c r="J252" s="21">
        <f>VLOOKUP(A252,Sheet1!A:X,24,0)</f>
        <v>0</v>
      </c>
      <c r="K252" s="19" t="str">
        <f>VLOOKUP(A252,Sheet1!A:AB,28,0)</f>
        <v>Yes</v>
      </c>
      <c r="L252" s="27">
        <f>VLOOKUP(A252,Sheet1!A:AD,30,0)</f>
        <v>63</v>
      </c>
    </row>
    <row r="253" spans="1:12" x14ac:dyDescent="0.3">
      <c r="A253" s="14" t="s">
        <v>1141</v>
      </c>
      <c r="B253" s="19" t="str">
        <f>VLOOKUP(A253,Sheet1!A:E,5,0)</f>
        <v>Theresa Stewart</v>
      </c>
      <c r="C253" s="19" t="str">
        <f>VLOOKUP(A253,Sheet1!A:I,9,0)</f>
        <v>Female</v>
      </c>
      <c r="D253" s="19">
        <f>VLOOKUP(A253,Sheet1!A:K,11,0)</f>
        <v>51</v>
      </c>
      <c r="E253" s="19" t="str">
        <f>VLOOKUP(A253,Sheet1!A:M,13,0)</f>
        <v>United States</v>
      </c>
      <c r="F253" s="19" t="str">
        <f>VLOOKUP(A253,Sheet1!A:N,14,0)</f>
        <v>English</v>
      </c>
      <c r="G253" s="19" t="str">
        <f>VLOOKUP(A253,Sheet1!A:O,15,0)</f>
        <v>Blockchain Development</v>
      </c>
      <c r="H253" s="19">
        <f>VLOOKUP(A253,Sheet1!A:Q,17,0)</f>
        <v>25</v>
      </c>
      <c r="I253" s="20">
        <f>VLOOKUP(A253,Sheet1!A:V,22,0)</f>
        <v>50</v>
      </c>
      <c r="J253" s="21">
        <f>VLOOKUP(A253,Sheet1!A:X,24,0)</f>
        <v>1.4</v>
      </c>
      <c r="K253" s="19" t="str">
        <f>VLOOKUP(A253,Sheet1!A:AB,28,0)</f>
        <v>Yes</v>
      </c>
      <c r="L253" s="27">
        <f>VLOOKUP(A253,Sheet1!A:AD,30,0)</f>
        <v>60</v>
      </c>
    </row>
    <row r="254" spans="1:12" x14ac:dyDescent="0.3">
      <c r="A254" s="14" t="s">
        <v>297</v>
      </c>
      <c r="B254" s="19" t="str">
        <f>VLOOKUP(A254,Sheet1!A:E,5,0)</f>
        <v>Vicki Brown</v>
      </c>
      <c r="C254" s="19" t="str">
        <f>VLOOKUP(A254,Sheet1!A:I,9,0)</f>
        <v>Female</v>
      </c>
      <c r="D254" s="19">
        <f>VLOOKUP(A254,Sheet1!A:K,11,0)</f>
        <v>51</v>
      </c>
      <c r="E254" s="19" t="str">
        <f>VLOOKUP(A254,Sheet1!A:M,13,0)</f>
        <v>Russia</v>
      </c>
      <c r="F254" s="19" t="str">
        <f>VLOOKUP(A254,Sheet1!A:N,14,0)</f>
        <v>Russian</v>
      </c>
      <c r="G254" s="19" t="str">
        <f>VLOOKUP(A254,Sheet1!A:O,15,0)</f>
        <v>Graphic Design</v>
      </c>
      <c r="H254" s="19">
        <f>VLOOKUP(A254,Sheet1!A:Q,17,0)</f>
        <v>2</v>
      </c>
      <c r="I254" s="20">
        <f>VLOOKUP(A254,Sheet1!A:V,22,0)</f>
        <v>30</v>
      </c>
      <c r="J254" s="21">
        <f>VLOOKUP(A254,Sheet1!A:X,24,0)</f>
        <v>4.5</v>
      </c>
      <c r="K254" s="19" t="str">
        <f>VLOOKUP(A254,Sheet1!A:AB,28,0)</f>
        <v>No</v>
      </c>
      <c r="L254" s="27">
        <f>VLOOKUP(A254,Sheet1!A:AD,30,0)</f>
        <v>64</v>
      </c>
    </row>
    <row r="255" spans="1:12" x14ac:dyDescent="0.3">
      <c r="A255" s="14" t="s">
        <v>1393</v>
      </c>
      <c r="B255" s="19" t="str">
        <f>VLOOKUP(A255,Sheet1!A:E,5,0)</f>
        <v>Zachary Ochoa</v>
      </c>
      <c r="C255" s="19" t="str">
        <f>VLOOKUP(A255,Sheet1!A:I,9,0)</f>
        <v>Male</v>
      </c>
      <c r="D255" s="19">
        <f>VLOOKUP(A255,Sheet1!A:K,11,0)</f>
        <v>51</v>
      </c>
      <c r="E255" s="19" t="str">
        <f>VLOOKUP(A255,Sheet1!A:M,13,0)</f>
        <v>United Kingdom</v>
      </c>
      <c r="F255" s="19" t="str">
        <f>VLOOKUP(A255,Sheet1!A:N,14,0)</f>
        <v>English</v>
      </c>
      <c r="G255" s="19" t="str">
        <f>VLOOKUP(A255,Sheet1!A:O,15,0)</f>
        <v>AI</v>
      </c>
      <c r="H255" s="19">
        <f>VLOOKUP(A255,Sheet1!A:Q,17,0)</f>
        <v>12</v>
      </c>
      <c r="I255" s="20">
        <f>VLOOKUP(A255,Sheet1!A:V,22,0)</f>
        <v>20</v>
      </c>
      <c r="J255" s="21">
        <f>VLOOKUP(A255,Sheet1!A:X,24,0)</f>
        <v>4</v>
      </c>
      <c r="K255" s="19" t="str">
        <f>VLOOKUP(A255,Sheet1!A:AB,28,0)</f>
        <v>No</v>
      </c>
      <c r="L255" s="27">
        <f>VLOOKUP(A255,Sheet1!A:AD,30,0)</f>
        <v>93</v>
      </c>
    </row>
    <row r="256" spans="1:12" x14ac:dyDescent="0.3">
      <c r="A256" s="14" t="s">
        <v>773</v>
      </c>
      <c r="B256" s="19" t="str">
        <f>VLOOKUP(A256,Sheet1!A:E,5,0)</f>
        <v>Aaron Pruitt</v>
      </c>
      <c r="C256" s="19" t="str">
        <f>VLOOKUP(A256,Sheet1!A:I,9,0)</f>
        <v>Male</v>
      </c>
      <c r="D256" s="19">
        <f>VLOOKUP(A256,Sheet1!A:K,11,0)</f>
        <v>50</v>
      </c>
      <c r="E256" s="19" t="str">
        <f>VLOOKUP(A256,Sheet1!A:M,13,0)</f>
        <v>Germany</v>
      </c>
      <c r="F256" s="19" t="str">
        <f>VLOOKUP(A256,Sheet1!A:N,14,0)</f>
        <v>German</v>
      </c>
      <c r="G256" s="19" t="str">
        <f>VLOOKUP(A256,Sheet1!A:O,15,0)</f>
        <v>Blockchain Development</v>
      </c>
      <c r="H256" s="19">
        <f>VLOOKUP(A256,Sheet1!A:Q,17,0)</f>
        <v>20</v>
      </c>
      <c r="I256" s="20">
        <f>VLOOKUP(A256,Sheet1!A:V,22,0)</f>
        <v>30</v>
      </c>
      <c r="J256" s="21">
        <f>VLOOKUP(A256,Sheet1!A:X,24,0)</f>
        <v>0</v>
      </c>
      <c r="K256" s="19" t="str">
        <f>VLOOKUP(A256,Sheet1!A:AB,28,0)</f>
        <v>No</v>
      </c>
      <c r="L256" s="27">
        <f>VLOOKUP(A256,Sheet1!A:AD,30,0)</f>
        <v>79.422586520947178</v>
      </c>
    </row>
    <row r="257" spans="1:12" x14ac:dyDescent="0.3">
      <c r="A257" s="14" t="s">
        <v>483</v>
      </c>
      <c r="B257" s="19" t="str">
        <f>VLOOKUP(A257,Sheet1!A:E,5,0)</f>
        <v>Brandi Tucker</v>
      </c>
      <c r="C257" s="19" t="str">
        <f>VLOOKUP(A257,Sheet1!A:I,9,0)</f>
        <v>Female</v>
      </c>
      <c r="D257" s="19">
        <f>VLOOKUP(A257,Sheet1!A:K,11,0)</f>
        <v>50</v>
      </c>
      <c r="E257" s="19" t="str">
        <f>VLOOKUP(A257,Sheet1!A:M,13,0)</f>
        <v>South Africa</v>
      </c>
      <c r="F257" s="19" t="str">
        <f>VLOOKUP(A257,Sheet1!A:N,14,0)</f>
        <v>Afrikaans</v>
      </c>
      <c r="G257" s="19" t="str">
        <f>VLOOKUP(A257,Sheet1!A:O,15,0)</f>
        <v>Graphic Design</v>
      </c>
      <c r="H257" s="19">
        <f>VLOOKUP(A257,Sheet1!A:Q,17,0)</f>
        <v>20</v>
      </c>
      <c r="I257" s="20">
        <f>VLOOKUP(A257,Sheet1!A:V,22,0)</f>
        <v>40</v>
      </c>
      <c r="J257" s="21">
        <f>VLOOKUP(A257,Sheet1!A:X,24,0)</f>
        <v>3.6</v>
      </c>
      <c r="K257" s="19" t="str">
        <f>VLOOKUP(A257,Sheet1!A:AB,28,0)</f>
        <v>Yes</v>
      </c>
      <c r="L257" s="27">
        <f>VLOOKUP(A257,Sheet1!A:AD,30,0)</f>
        <v>89</v>
      </c>
    </row>
    <row r="258" spans="1:12" x14ac:dyDescent="0.3">
      <c r="A258" s="14" t="s">
        <v>615</v>
      </c>
      <c r="B258" s="19" t="str">
        <f>VLOOKUP(A258,Sheet1!A:E,5,0)</f>
        <v>Cameron Spencer</v>
      </c>
      <c r="C258" s="19" t="str">
        <f>VLOOKUP(A258,Sheet1!A:I,9,0)</f>
        <v>Male</v>
      </c>
      <c r="D258" s="19">
        <f>VLOOKUP(A258,Sheet1!A:K,11,0)</f>
        <v>50</v>
      </c>
      <c r="E258" s="19" t="str">
        <f>VLOOKUP(A258,Sheet1!A:M,13,0)</f>
        <v>Spain</v>
      </c>
      <c r="F258" s="19" t="str">
        <f>VLOOKUP(A258,Sheet1!A:N,14,0)</f>
        <v>Spanish</v>
      </c>
      <c r="G258" s="19" t="str">
        <f>VLOOKUP(A258,Sheet1!A:O,15,0)</f>
        <v>UI/UX Design</v>
      </c>
      <c r="H258" s="19">
        <f>VLOOKUP(A258,Sheet1!A:Q,17,0)</f>
        <v>2</v>
      </c>
      <c r="I258" s="20">
        <f>VLOOKUP(A258,Sheet1!A:V,22,0)</f>
        <v>50</v>
      </c>
      <c r="J258" s="21">
        <f>VLOOKUP(A258,Sheet1!A:X,24,0)</f>
        <v>1.6</v>
      </c>
      <c r="K258" s="19" t="str">
        <f>VLOOKUP(A258,Sheet1!A:AB,28,0)</f>
        <v>No</v>
      </c>
      <c r="L258" s="27">
        <f>VLOOKUP(A258,Sheet1!A:AD,30,0)</f>
        <v>89</v>
      </c>
    </row>
    <row r="259" spans="1:12" x14ac:dyDescent="0.3">
      <c r="A259" s="14" t="s">
        <v>360</v>
      </c>
      <c r="B259" s="19" t="str">
        <f>VLOOKUP(A259,Sheet1!A:E,5,0)</f>
        <v>Christopher Jones</v>
      </c>
      <c r="C259" s="19" t="str">
        <f>VLOOKUP(A259,Sheet1!A:I,9,0)</f>
        <v>Male</v>
      </c>
      <c r="D259" s="19">
        <f>VLOOKUP(A259,Sheet1!A:K,11,0)</f>
        <v>50</v>
      </c>
      <c r="E259" s="19" t="str">
        <f>VLOOKUP(A259,Sheet1!A:M,13,0)</f>
        <v>India</v>
      </c>
      <c r="F259" s="19" t="str">
        <f>VLOOKUP(A259,Sheet1!A:N,14,0)</f>
        <v>Hindi</v>
      </c>
      <c r="G259" s="19" t="str">
        <f>VLOOKUP(A259,Sheet1!A:O,15,0)</f>
        <v>Web Development</v>
      </c>
      <c r="H259" s="19">
        <f>VLOOKUP(A259,Sheet1!A:Q,17,0)</f>
        <v>22</v>
      </c>
      <c r="I259" s="20">
        <f>VLOOKUP(A259,Sheet1!A:V,22,0)</f>
        <v>100</v>
      </c>
      <c r="J259" s="21">
        <f>VLOOKUP(A259,Sheet1!A:X,24,0)</f>
        <v>4.0999999999999996</v>
      </c>
      <c r="K259" s="19" t="str">
        <f>VLOOKUP(A259,Sheet1!A:AB,28,0)</f>
        <v>No</v>
      </c>
      <c r="L259" s="27">
        <f>VLOOKUP(A259,Sheet1!A:AD,30,0)</f>
        <v>62</v>
      </c>
    </row>
    <row r="260" spans="1:12" x14ac:dyDescent="0.3">
      <c r="A260" s="14" t="s">
        <v>627</v>
      </c>
      <c r="B260" s="19" t="str">
        <f>VLOOKUP(A260,Sheet1!A:E,5,0)</f>
        <v>Dakota Wells</v>
      </c>
      <c r="C260" s="19" t="str">
        <f>VLOOKUP(A260,Sheet1!A:I,9,0)</f>
        <v>Male</v>
      </c>
      <c r="D260" s="19">
        <f>VLOOKUP(A260,Sheet1!A:K,11,0)</f>
        <v>50</v>
      </c>
      <c r="E260" s="19" t="str">
        <f>VLOOKUP(A260,Sheet1!A:M,13,0)</f>
        <v>South Korea</v>
      </c>
      <c r="F260" s="19" t="str">
        <f>VLOOKUP(A260,Sheet1!A:N,14,0)</f>
        <v>Korean</v>
      </c>
      <c r="G260" s="19" t="str">
        <f>VLOOKUP(A260,Sheet1!A:O,15,0)</f>
        <v>Web Development</v>
      </c>
      <c r="H260" s="19">
        <f>VLOOKUP(A260,Sheet1!A:Q,17,0)</f>
        <v>19</v>
      </c>
      <c r="I260" s="20">
        <f>VLOOKUP(A260,Sheet1!A:V,22,0)</f>
        <v>40</v>
      </c>
      <c r="J260" s="21">
        <f>VLOOKUP(A260,Sheet1!A:X,24,0)</f>
        <v>4.9000000000000004</v>
      </c>
      <c r="K260" s="19" t="str">
        <f>VLOOKUP(A260,Sheet1!A:AB,28,0)</f>
        <v>Unknown</v>
      </c>
      <c r="L260" s="27">
        <f>VLOOKUP(A260,Sheet1!A:AD,30,0)</f>
        <v>82</v>
      </c>
    </row>
    <row r="261" spans="1:12" x14ac:dyDescent="0.3">
      <c r="A261" s="14" t="s">
        <v>1528</v>
      </c>
      <c r="B261" s="19" t="str">
        <f>VLOOKUP(A261,Sheet1!A:E,5,0)</f>
        <v>David Cherry</v>
      </c>
      <c r="C261" s="19" t="str">
        <f>VLOOKUP(A261,Sheet1!A:I,9,0)</f>
        <v>Male</v>
      </c>
      <c r="D261" s="19">
        <f>VLOOKUP(A261,Sheet1!A:K,11,0)</f>
        <v>50</v>
      </c>
      <c r="E261" s="19" t="str">
        <f>VLOOKUP(A261,Sheet1!A:M,13,0)</f>
        <v>Japan</v>
      </c>
      <c r="F261" s="19" t="str">
        <f>VLOOKUP(A261,Sheet1!A:N,14,0)</f>
        <v>Japanese</v>
      </c>
      <c r="G261" s="19" t="str">
        <f>VLOOKUP(A261,Sheet1!A:O,15,0)</f>
        <v>Data Analysis</v>
      </c>
      <c r="H261" s="19">
        <f>VLOOKUP(A261,Sheet1!A:Q,17,0)</f>
        <v>3</v>
      </c>
      <c r="I261" s="20">
        <f>VLOOKUP(A261,Sheet1!A:V,22,0)</f>
        <v>100</v>
      </c>
      <c r="J261" s="21">
        <f>VLOOKUP(A261,Sheet1!A:X,24,0)</f>
        <v>0</v>
      </c>
      <c r="K261" s="19" t="str">
        <f>VLOOKUP(A261,Sheet1!A:AB,28,0)</f>
        <v>Yes</v>
      </c>
      <c r="L261" s="27">
        <f>VLOOKUP(A261,Sheet1!A:AD,30,0)</f>
        <v>79.916666666666671</v>
      </c>
    </row>
    <row r="262" spans="1:12" x14ac:dyDescent="0.3">
      <c r="A262" s="14" t="s">
        <v>915</v>
      </c>
      <c r="B262" s="19" t="str">
        <f>VLOOKUP(A262,Sheet1!A:E,5,0)</f>
        <v>Diane Flores</v>
      </c>
      <c r="C262" s="19" t="str">
        <f>VLOOKUP(A262,Sheet1!A:I,9,0)</f>
        <v>Female</v>
      </c>
      <c r="D262" s="19">
        <f>VLOOKUP(A262,Sheet1!A:K,11,0)</f>
        <v>50</v>
      </c>
      <c r="E262" s="19" t="str">
        <f>VLOOKUP(A262,Sheet1!A:M,13,0)</f>
        <v>Australia</v>
      </c>
      <c r="F262" s="19" t="str">
        <f>VLOOKUP(A262,Sheet1!A:N,14,0)</f>
        <v>English</v>
      </c>
      <c r="G262" s="19" t="str">
        <f>VLOOKUP(A262,Sheet1!A:O,15,0)</f>
        <v>Web Development</v>
      </c>
      <c r="H262" s="19">
        <f>VLOOKUP(A262,Sheet1!A:Q,17,0)</f>
        <v>31</v>
      </c>
      <c r="I262" s="20">
        <f>VLOOKUP(A262,Sheet1!A:V,22,0)</f>
        <v>50</v>
      </c>
      <c r="J262" s="21">
        <f>VLOOKUP(A262,Sheet1!A:X,24,0)</f>
        <v>4.0999999999999996</v>
      </c>
      <c r="K262" s="19" t="str">
        <f>VLOOKUP(A262,Sheet1!A:AB,28,0)</f>
        <v>Unknown</v>
      </c>
      <c r="L262" s="27">
        <f>VLOOKUP(A262,Sheet1!A:AD,30,0)</f>
        <v>81</v>
      </c>
    </row>
    <row r="263" spans="1:12" x14ac:dyDescent="0.3">
      <c r="A263" s="14" t="s">
        <v>90</v>
      </c>
      <c r="B263" s="19" t="str">
        <f>VLOOKUP(A263,Sheet1!A:E,5,0)</f>
        <v>Edward Ferguson</v>
      </c>
      <c r="C263" s="19" t="str">
        <f>VLOOKUP(A263,Sheet1!A:I,9,0)</f>
        <v>Male</v>
      </c>
      <c r="D263" s="19">
        <f>VLOOKUP(A263,Sheet1!A:K,11,0)</f>
        <v>50</v>
      </c>
      <c r="E263" s="19" t="str">
        <f>VLOOKUP(A263,Sheet1!A:M,13,0)</f>
        <v>Germany</v>
      </c>
      <c r="F263" s="19" t="str">
        <f>VLOOKUP(A263,Sheet1!A:N,14,0)</f>
        <v>German</v>
      </c>
      <c r="G263" s="19" t="str">
        <f>VLOOKUP(A263,Sheet1!A:O,15,0)</f>
        <v>Data Analysis</v>
      </c>
      <c r="H263" s="19">
        <f>VLOOKUP(A263,Sheet1!A:Q,17,0)</f>
        <v>22</v>
      </c>
      <c r="I263" s="20">
        <f>VLOOKUP(A263,Sheet1!A:V,22,0)</f>
        <v>75</v>
      </c>
      <c r="J263" s="21">
        <f>VLOOKUP(A263,Sheet1!A:X,24,0)</f>
        <v>3.7</v>
      </c>
      <c r="K263" s="19" t="str">
        <f>VLOOKUP(A263,Sheet1!A:AB,28,0)</f>
        <v>Yes</v>
      </c>
      <c r="L263" s="27">
        <f>VLOOKUP(A263,Sheet1!A:AD,30,0)</f>
        <v>70</v>
      </c>
    </row>
    <row r="264" spans="1:12" x14ac:dyDescent="0.3">
      <c r="A264" s="14" t="s">
        <v>470</v>
      </c>
      <c r="B264" s="19" t="str">
        <f>VLOOKUP(A264,Sheet1!A:E,5,0)</f>
        <v>Henry Mullen</v>
      </c>
      <c r="C264" s="19" t="str">
        <f>VLOOKUP(A264,Sheet1!A:I,9,0)</f>
        <v>Male</v>
      </c>
      <c r="D264" s="19">
        <f>VLOOKUP(A264,Sheet1!A:K,11,0)</f>
        <v>50</v>
      </c>
      <c r="E264" s="19" t="str">
        <f>VLOOKUP(A264,Sheet1!A:M,13,0)</f>
        <v>Mexico</v>
      </c>
      <c r="F264" s="19" t="str">
        <f>VLOOKUP(A264,Sheet1!A:N,14,0)</f>
        <v>Spanish</v>
      </c>
      <c r="G264" s="19" t="str">
        <f>VLOOKUP(A264,Sheet1!A:O,15,0)</f>
        <v>Data Analysis</v>
      </c>
      <c r="H264" s="19">
        <f>VLOOKUP(A264,Sheet1!A:Q,17,0)</f>
        <v>6</v>
      </c>
      <c r="I264" s="20">
        <f>VLOOKUP(A264,Sheet1!A:V,22,0)</f>
        <v>30</v>
      </c>
      <c r="J264" s="21">
        <f>VLOOKUP(A264,Sheet1!A:X,24,0)</f>
        <v>2.2000000000000002</v>
      </c>
      <c r="K264" s="19" t="str">
        <f>VLOOKUP(A264,Sheet1!A:AB,28,0)</f>
        <v>Yes</v>
      </c>
      <c r="L264" s="27">
        <f>VLOOKUP(A264,Sheet1!A:AD,30,0)</f>
        <v>95</v>
      </c>
    </row>
    <row r="265" spans="1:12" x14ac:dyDescent="0.3">
      <c r="A265" s="14" t="s">
        <v>1377</v>
      </c>
      <c r="B265" s="19" t="str">
        <f>VLOOKUP(A265,Sheet1!A:E,5,0)</f>
        <v>Joseph Thomas</v>
      </c>
      <c r="C265" s="19" t="str">
        <f>VLOOKUP(A265,Sheet1!A:I,9,0)</f>
        <v>Male</v>
      </c>
      <c r="D265" s="19">
        <f>VLOOKUP(A265,Sheet1!A:K,11,0)</f>
        <v>50</v>
      </c>
      <c r="E265" s="19" t="str">
        <f>VLOOKUP(A265,Sheet1!A:M,13,0)</f>
        <v>Australia</v>
      </c>
      <c r="F265" s="19" t="str">
        <f>VLOOKUP(A265,Sheet1!A:N,14,0)</f>
        <v>English</v>
      </c>
      <c r="G265" s="19" t="str">
        <f>VLOOKUP(A265,Sheet1!A:O,15,0)</f>
        <v>Blockchain Development</v>
      </c>
      <c r="H265" s="19">
        <f>VLOOKUP(A265,Sheet1!A:Q,17,0)</f>
        <v>17</v>
      </c>
      <c r="I265" s="20">
        <f>VLOOKUP(A265,Sheet1!A:V,22,0)</f>
        <v>75</v>
      </c>
      <c r="J265" s="21">
        <f>VLOOKUP(A265,Sheet1!A:X,24,0)</f>
        <v>3.3</v>
      </c>
      <c r="K265" s="19" t="str">
        <f>VLOOKUP(A265,Sheet1!A:AB,28,0)</f>
        <v>Yes</v>
      </c>
      <c r="L265" s="27">
        <f>VLOOKUP(A265,Sheet1!A:AD,30,0)</f>
        <v>69</v>
      </c>
    </row>
    <row r="266" spans="1:12" x14ac:dyDescent="0.3">
      <c r="A266" s="14" t="s">
        <v>1387</v>
      </c>
      <c r="B266" s="19" t="str">
        <f>VLOOKUP(A266,Sheet1!A:E,5,0)</f>
        <v>Katie Hensley</v>
      </c>
      <c r="C266" s="19" t="str">
        <f>VLOOKUP(A266,Sheet1!A:I,9,0)</f>
        <v>Female</v>
      </c>
      <c r="D266" s="19">
        <f>VLOOKUP(A266,Sheet1!A:K,11,0)</f>
        <v>50</v>
      </c>
      <c r="E266" s="19" t="str">
        <f>VLOOKUP(A266,Sheet1!A:M,13,0)</f>
        <v>Germany</v>
      </c>
      <c r="F266" s="19" t="str">
        <f>VLOOKUP(A266,Sheet1!A:N,14,0)</f>
        <v>German</v>
      </c>
      <c r="G266" s="19" t="str">
        <f>VLOOKUP(A266,Sheet1!A:O,15,0)</f>
        <v>DevOps</v>
      </c>
      <c r="H266" s="19">
        <f>VLOOKUP(A266,Sheet1!A:Q,17,0)</f>
        <v>10</v>
      </c>
      <c r="I266" s="20">
        <f>VLOOKUP(A266,Sheet1!A:V,22,0)</f>
        <v>100</v>
      </c>
      <c r="J266" s="21">
        <f>VLOOKUP(A266,Sheet1!A:X,24,0)</f>
        <v>4.3</v>
      </c>
      <c r="K266" s="19" t="str">
        <f>VLOOKUP(A266,Sheet1!A:AB,28,0)</f>
        <v>No</v>
      </c>
      <c r="L266" s="27">
        <f>VLOOKUP(A266,Sheet1!A:AD,30,0)</f>
        <v>93</v>
      </c>
    </row>
    <row r="267" spans="1:12" x14ac:dyDescent="0.3">
      <c r="A267" s="14" t="s">
        <v>204</v>
      </c>
      <c r="B267" s="19" t="str">
        <f>VLOOKUP(A267,Sheet1!A:E,5,0)</f>
        <v>Larry Simpson</v>
      </c>
      <c r="C267" s="19" t="str">
        <f>VLOOKUP(A267,Sheet1!A:I,9,0)</f>
        <v>Male</v>
      </c>
      <c r="D267" s="19">
        <f>VLOOKUP(A267,Sheet1!A:K,11,0)</f>
        <v>50</v>
      </c>
      <c r="E267" s="19" t="str">
        <f>VLOOKUP(A267,Sheet1!A:M,13,0)</f>
        <v>United Kingdom</v>
      </c>
      <c r="F267" s="19" t="str">
        <f>VLOOKUP(A267,Sheet1!A:N,14,0)</f>
        <v>English</v>
      </c>
      <c r="G267" s="19" t="str">
        <f>VLOOKUP(A267,Sheet1!A:O,15,0)</f>
        <v>AI</v>
      </c>
      <c r="H267" s="19">
        <f>VLOOKUP(A267,Sheet1!A:Q,17,0)</f>
        <v>15</v>
      </c>
      <c r="I267" s="20">
        <f>VLOOKUP(A267,Sheet1!A:V,22,0)</f>
        <v>52.683352735739234</v>
      </c>
      <c r="J267" s="21">
        <f>VLOOKUP(A267,Sheet1!A:X,24,0)</f>
        <v>2</v>
      </c>
      <c r="K267" s="19" t="str">
        <f>VLOOKUP(A267,Sheet1!A:AB,28,0)</f>
        <v>Yes</v>
      </c>
      <c r="L267" s="27">
        <f>VLOOKUP(A267,Sheet1!A:AD,30,0)</f>
        <v>65</v>
      </c>
    </row>
    <row r="268" spans="1:12" x14ac:dyDescent="0.3">
      <c r="A268" s="14" t="s">
        <v>2054</v>
      </c>
      <c r="B268" s="19" t="str">
        <f>VLOOKUP(A268,Sheet1!A:E,5,0)</f>
        <v>Laura Wong</v>
      </c>
      <c r="C268" s="19" t="str">
        <f>VLOOKUP(A268,Sheet1!A:I,9,0)</f>
        <v>Female</v>
      </c>
      <c r="D268" s="19">
        <f>VLOOKUP(A268,Sheet1!A:K,11,0)</f>
        <v>50</v>
      </c>
      <c r="E268" s="19" t="str">
        <f>VLOOKUP(A268,Sheet1!A:M,13,0)</f>
        <v>Italy</v>
      </c>
      <c r="F268" s="19" t="str">
        <f>VLOOKUP(A268,Sheet1!A:N,14,0)</f>
        <v>Italian</v>
      </c>
      <c r="G268" s="19" t="str">
        <f>VLOOKUP(A268,Sheet1!A:O,15,0)</f>
        <v>Data Analysis</v>
      </c>
      <c r="H268" s="19">
        <f>VLOOKUP(A268,Sheet1!A:Q,17,0)</f>
        <v>16</v>
      </c>
      <c r="I268" s="20">
        <f>VLOOKUP(A268,Sheet1!A:V,22,0)</f>
        <v>75</v>
      </c>
      <c r="J268" s="21">
        <f>VLOOKUP(A268,Sheet1!A:X,24,0)</f>
        <v>4.5</v>
      </c>
      <c r="K268" s="19" t="str">
        <f>VLOOKUP(A268,Sheet1!A:AB,28,0)</f>
        <v>No</v>
      </c>
      <c r="L268" s="27">
        <f>VLOOKUP(A268,Sheet1!A:AD,30,0)</f>
        <v>69</v>
      </c>
    </row>
    <row r="269" spans="1:12" x14ac:dyDescent="0.3">
      <c r="A269" s="14" t="s">
        <v>793</v>
      </c>
      <c r="B269" s="19" t="str">
        <f>VLOOKUP(A269,Sheet1!A:E,5,0)</f>
        <v>Lauren Lang</v>
      </c>
      <c r="C269" s="19" t="str">
        <f>VLOOKUP(A269,Sheet1!A:I,9,0)</f>
        <v>Female</v>
      </c>
      <c r="D269" s="19">
        <f>VLOOKUP(A269,Sheet1!A:K,11,0)</f>
        <v>50</v>
      </c>
      <c r="E269" s="19" t="str">
        <f>VLOOKUP(A269,Sheet1!A:M,13,0)</f>
        <v>Brazil</v>
      </c>
      <c r="F269" s="19" t="str">
        <f>VLOOKUP(A269,Sheet1!A:N,14,0)</f>
        <v>Portuguese</v>
      </c>
      <c r="G269" s="19" t="str">
        <f>VLOOKUP(A269,Sheet1!A:O,15,0)</f>
        <v>Mobile Apps</v>
      </c>
      <c r="H269" s="19">
        <f>VLOOKUP(A269,Sheet1!A:Q,17,0)</f>
        <v>18</v>
      </c>
      <c r="I269" s="20">
        <f>VLOOKUP(A269,Sheet1!A:V,22,0)</f>
        <v>75</v>
      </c>
      <c r="J269" s="21">
        <f>VLOOKUP(A269,Sheet1!A:X,24,0)</f>
        <v>3.8</v>
      </c>
      <c r="K269" s="19" t="str">
        <f>VLOOKUP(A269,Sheet1!A:AB,28,0)</f>
        <v>No</v>
      </c>
      <c r="L269" s="27">
        <f>VLOOKUP(A269,Sheet1!A:AD,30,0)</f>
        <v>67</v>
      </c>
    </row>
    <row r="270" spans="1:12" x14ac:dyDescent="0.3">
      <c r="A270" s="14" t="s">
        <v>1746</v>
      </c>
      <c r="B270" s="19" t="str">
        <f>VLOOKUP(A270,Sheet1!A:E,5,0)</f>
        <v>Lindsay Le</v>
      </c>
      <c r="C270" s="19" t="str">
        <f>VLOOKUP(A270,Sheet1!A:I,9,0)</f>
        <v>Female</v>
      </c>
      <c r="D270" s="19">
        <f>VLOOKUP(A270,Sheet1!A:K,11,0)</f>
        <v>50</v>
      </c>
      <c r="E270" s="19" t="str">
        <f>VLOOKUP(A270,Sheet1!A:M,13,0)</f>
        <v>South Korea</v>
      </c>
      <c r="F270" s="19" t="str">
        <f>VLOOKUP(A270,Sheet1!A:N,14,0)</f>
        <v>Korean</v>
      </c>
      <c r="G270" s="19" t="str">
        <f>VLOOKUP(A270,Sheet1!A:O,15,0)</f>
        <v>Web Development</v>
      </c>
      <c r="H270" s="19">
        <f>VLOOKUP(A270,Sheet1!A:Q,17,0)</f>
        <v>12</v>
      </c>
      <c r="I270" s="20">
        <f>VLOOKUP(A270,Sheet1!A:V,22,0)</f>
        <v>75</v>
      </c>
      <c r="J270" s="21">
        <f>VLOOKUP(A270,Sheet1!A:X,24,0)</f>
        <v>0</v>
      </c>
      <c r="K270" s="19" t="str">
        <f>VLOOKUP(A270,Sheet1!A:AB,28,0)</f>
        <v>No</v>
      </c>
      <c r="L270" s="27">
        <f>VLOOKUP(A270,Sheet1!A:AD,30,0)</f>
        <v>75</v>
      </c>
    </row>
    <row r="271" spans="1:12" x14ac:dyDescent="0.3">
      <c r="A271" s="14" t="s">
        <v>1861</v>
      </c>
      <c r="B271" s="19" t="str">
        <f>VLOOKUP(A271,Sheet1!A:E,5,0)</f>
        <v>Lindsey Wang</v>
      </c>
      <c r="C271" s="19" t="str">
        <f>VLOOKUP(A271,Sheet1!A:I,9,0)</f>
        <v>Female</v>
      </c>
      <c r="D271" s="19">
        <f>VLOOKUP(A271,Sheet1!A:K,11,0)</f>
        <v>50</v>
      </c>
      <c r="E271" s="19" t="str">
        <f>VLOOKUP(A271,Sheet1!A:M,13,0)</f>
        <v>United Kingdom</v>
      </c>
      <c r="F271" s="19" t="str">
        <f>VLOOKUP(A271,Sheet1!A:N,14,0)</f>
        <v>English</v>
      </c>
      <c r="G271" s="19" t="str">
        <f>VLOOKUP(A271,Sheet1!A:O,15,0)</f>
        <v>DevOps</v>
      </c>
      <c r="H271" s="19">
        <f>VLOOKUP(A271,Sheet1!A:Q,17,0)</f>
        <v>11</v>
      </c>
      <c r="I271" s="20">
        <f>VLOOKUP(A271,Sheet1!A:V,22,0)</f>
        <v>54.766355140186917</v>
      </c>
      <c r="J271" s="21">
        <f>VLOOKUP(A271,Sheet1!A:X,24,0)</f>
        <v>4.9000000000000004</v>
      </c>
      <c r="K271" s="19" t="str">
        <f>VLOOKUP(A271,Sheet1!A:AB,28,0)</f>
        <v>Yes</v>
      </c>
      <c r="L271" s="27">
        <f>VLOOKUP(A271,Sheet1!A:AD,30,0)</f>
        <v>88</v>
      </c>
    </row>
    <row r="272" spans="1:12" x14ac:dyDescent="0.3">
      <c r="A272" s="14" t="s">
        <v>613</v>
      </c>
      <c r="B272" s="19" t="str">
        <f>VLOOKUP(A272,Sheet1!A:E,5,0)</f>
        <v>Mark Perry</v>
      </c>
      <c r="C272" s="19" t="str">
        <f>VLOOKUP(A272,Sheet1!A:I,9,0)</f>
        <v>Male</v>
      </c>
      <c r="D272" s="19">
        <f>VLOOKUP(A272,Sheet1!A:K,11,0)</f>
        <v>50</v>
      </c>
      <c r="E272" s="19" t="str">
        <f>VLOOKUP(A272,Sheet1!A:M,13,0)</f>
        <v>Turkey</v>
      </c>
      <c r="F272" s="19" t="str">
        <f>VLOOKUP(A272,Sheet1!A:N,14,0)</f>
        <v>Turkish</v>
      </c>
      <c r="G272" s="19" t="str">
        <f>VLOOKUP(A272,Sheet1!A:O,15,0)</f>
        <v>Data Analysis</v>
      </c>
      <c r="H272" s="19">
        <f>VLOOKUP(A272,Sheet1!A:Q,17,0)</f>
        <v>9</v>
      </c>
      <c r="I272" s="20">
        <f>VLOOKUP(A272,Sheet1!A:V,22,0)</f>
        <v>30</v>
      </c>
      <c r="J272" s="21">
        <f>VLOOKUP(A272,Sheet1!A:X,24,0)</f>
        <v>3</v>
      </c>
      <c r="K272" s="19" t="str">
        <f>VLOOKUP(A272,Sheet1!A:AB,28,0)</f>
        <v>No</v>
      </c>
      <c r="L272" s="27">
        <f>VLOOKUP(A272,Sheet1!A:AD,30,0)</f>
        <v>76</v>
      </c>
    </row>
    <row r="273" spans="1:12" x14ac:dyDescent="0.3">
      <c r="A273" s="14" t="s">
        <v>847</v>
      </c>
      <c r="B273" s="19" t="str">
        <f>VLOOKUP(A273,Sheet1!A:E,5,0)</f>
        <v>Mitchell Keller</v>
      </c>
      <c r="C273" s="19" t="str">
        <f>VLOOKUP(A273,Sheet1!A:I,9,0)</f>
        <v>Male</v>
      </c>
      <c r="D273" s="19">
        <f>VLOOKUP(A273,Sheet1!A:K,11,0)</f>
        <v>50</v>
      </c>
      <c r="E273" s="19" t="str">
        <f>VLOOKUP(A273,Sheet1!A:M,13,0)</f>
        <v>Australia</v>
      </c>
      <c r="F273" s="19" t="str">
        <f>VLOOKUP(A273,Sheet1!A:N,14,0)</f>
        <v>English</v>
      </c>
      <c r="G273" s="19" t="str">
        <f>VLOOKUP(A273,Sheet1!A:O,15,0)</f>
        <v>Graphic Design</v>
      </c>
      <c r="H273" s="19">
        <f>VLOOKUP(A273,Sheet1!A:Q,17,0)</f>
        <v>26</v>
      </c>
      <c r="I273" s="20">
        <f>VLOOKUP(A273,Sheet1!A:V,22,0)</f>
        <v>53.042328042328045</v>
      </c>
      <c r="J273" s="21">
        <f>VLOOKUP(A273,Sheet1!A:X,24,0)</f>
        <v>3.6</v>
      </c>
      <c r="K273" s="19" t="str">
        <f>VLOOKUP(A273,Sheet1!A:AB,28,0)</f>
        <v>Yes</v>
      </c>
      <c r="L273" s="27">
        <f>VLOOKUP(A273,Sheet1!A:AD,30,0)</f>
        <v>82</v>
      </c>
    </row>
    <row r="274" spans="1:12" x14ac:dyDescent="0.3">
      <c r="A274" s="14" t="s">
        <v>1914</v>
      </c>
      <c r="B274" s="19" t="str">
        <f>VLOOKUP(A274,Sheet1!A:E,5,0)</f>
        <v>Patricia Richardson</v>
      </c>
      <c r="C274" s="19" t="str">
        <f>VLOOKUP(A274,Sheet1!A:I,9,0)</f>
        <v>Female</v>
      </c>
      <c r="D274" s="19">
        <f>VLOOKUP(A274,Sheet1!A:K,11,0)</f>
        <v>50</v>
      </c>
      <c r="E274" s="19" t="str">
        <f>VLOOKUP(A274,Sheet1!A:M,13,0)</f>
        <v>South Africa</v>
      </c>
      <c r="F274" s="19" t="str">
        <f>VLOOKUP(A274,Sheet1!A:N,14,0)</f>
        <v>Afrikaans</v>
      </c>
      <c r="G274" s="19" t="str">
        <f>VLOOKUP(A274,Sheet1!A:O,15,0)</f>
        <v>Mobile Apps</v>
      </c>
      <c r="H274" s="19">
        <f>VLOOKUP(A274,Sheet1!A:Q,17,0)</f>
        <v>8</v>
      </c>
      <c r="I274" s="20">
        <f>VLOOKUP(A274,Sheet1!A:V,22,0)</f>
        <v>50</v>
      </c>
      <c r="J274" s="21">
        <f>VLOOKUP(A274,Sheet1!A:X,24,0)</f>
        <v>3.7</v>
      </c>
      <c r="K274" s="19" t="str">
        <f>VLOOKUP(A274,Sheet1!A:AB,28,0)</f>
        <v>Yes</v>
      </c>
      <c r="L274" s="27">
        <f>VLOOKUP(A274,Sheet1!A:AD,30,0)</f>
        <v>82</v>
      </c>
    </row>
    <row r="275" spans="1:12" x14ac:dyDescent="0.3">
      <c r="A275" s="14" t="s">
        <v>899</v>
      </c>
      <c r="B275" s="19" t="str">
        <f>VLOOKUP(A275,Sheet1!A:E,5,0)</f>
        <v>Phillip Griffin</v>
      </c>
      <c r="C275" s="19" t="str">
        <f>VLOOKUP(A275,Sheet1!A:I,9,0)</f>
        <v>Male</v>
      </c>
      <c r="D275" s="19">
        <f>VLOOKUP(A275,Sheet1!A:K,11,0)</f>
        <v>50</v>
      </c>
      <c r="E275" s="19" t="str">
        <f>VLOOKUP(A275,Sheet1!A:M,13,0)</f>
        <v>Germany</v>
      </c>
      <c r="F275" s="19" t="str">
        <f>VLOOKUP(A275,Sheet1!A:N,14,0)</f>
        <v>German</v>
      </c>
      <c r="G275" s="19" t="str">
        <f>VLOOKUP(A275,Sheet1!A:O,15,0)</f>
        <v>DevOps</v>
      </c>
      <c r="H275" s="19">
        <f>VLOOKUP(A275,Sheet1!A:Q,17,0)</f>
        <v>32</v>
      </c>
      <c r="I275" s="20">
        <f>VLOOKUP(A275,Sheet1!A:V,22,0)</f>
        <v>30</v>
      </c>
      <c r="J275" s="21">
        <f>VLOOKUP(A275,Sheet1!A:X,24,0)</f>
        <v>2.5241573033707856</v>
      </c>
      <c r="K275" s="19" t="str">
        <f>VLOOKUP(A275,Sheet1!A:AB,28,0)</f>
        <v>No</v>
      </c>
      <c r="L275" s="27">
        <f>VLOOKUP(A275,Sheet1!A:AD,30,0)</f>
        <v>64</v>
      </c>
    </row>
    <row r="276" spans="1:12" x14ac:dyDescent="0.3">
      <c r="A276" s="14" t="s">
        <v>222</v>
      </c>
      <c r="B276" s="19" t="str">
        <f>VLOOKUP(A276,Sheet1!A:E,5,0)</f>
        <v>Rebekah Williams</v>
      </c>
      <c r="C276" s="19" t="str">
        <f>VLOOKUP(A276,Sheet1!A:I,9,0)</f>
        <v>Female</v>
      </c>
      <c r="D276" s="19">
        <f>VLOOKUP(A276,Sheet1!A:K,11,0)</f>
        <v>50</v>
      </c>
      <c r="E276" s="19" t="str">
        <f>VLOOKUP(A276,Sheet1!A:M,13,0)</f>
        <v>Russia</v>
      </c>
      <c r="F276" s="19" t="str">
        <f>VLOOKUP(A276,Sheet1!A:N,14,0)</f>
        <v>Russian</v>
      </c>
      <c r="G276" s="19" t="str">
        <f>VLOOKUP(A276,Sheet1!A:O,15,0)</f>
        <v>AI</v>
      </c>
      <c r="H276" s="19">
        <f>VLOOKUP(A276,Sheet1!A:Q,17,0)</f>
        <v>14</v>
      </c>
      <c r="I276" s="20">
        <f>VLOOKUP(A276,Sheet1!A:V,22,0)</f>
        <v>52.620446533490011</v>
      </c>
      <c r="J276" s="21">
        <f>VLOOKUP(A276,Sheet1!A:X,24,0)</f>
        <v>3.5</v>
      </c>
      <c r="K276" s="19" t="str">
        <f>VLOOKUP(A276,Sheet1!A:AB,28,0)</f>
        <v>Yes</v>
      </c>
      <c r="L276" s="27">
        <f>VLOOKUP(A276,Sheet1!A:AD,30,0)</f>
        <v>83</v>
      </c>
    </row>
    <row r="277" spans="1:12" x14ac:dyDescent="0.3">
      <c r="A277" s="14" t="s">
        <v>721</v>
      </c>
      <c r="B277" s="19" t="str">
        <f>VLOOKUP(A277,Sheet1!A:E,5,0)</f>
        <v>Ronald Smith</v>
      </c>
      <c r="C277" s="19" t="str">
        <f>VLOOKUP(A277,Sheet1!A:I,9,0)</f>
        <v>Male</v>
      </c>
      <c r="D277" s="19">
        <f>VLOOKUP(A277,Sheet1!A:K,11,0)</f>
        <v>50</v>
      </c>
      <c r="E277" s="19" t="str">
        <f>VLOOKUP(A277,Sheet1!A:M,13,0)</f>
        <v>United States</v>
      </c>
      <c r="F277" s="19" t="str">
        <f>VLOOKUP(A277,Sheet1!A:N,14,0)</f>
        <v>English</v>
      </c>
      <c r="G277" s="19" t="str">
        <f>VLOOKUP(A277,Sheet1!A:O,15,0)</f>
        <v>Graphic Design</v>
      </c>
      <c r="H277" s="19">
        <f>VLOOKUP(A277,Sheet1!A:Q,17,0)</f>
        <v>23</v>
      </c>
      <c r="I277" s="20">
        <f>VLOOKUP(A277,Sheet1!A:V,22,0)</f>
        <v>40</v>
      </c>
      <c r="J277" s="21">
        <f>VLOOKUP(A277,Sheet1!A:X,24,0)</f>
        <v>3.6</v>
      </c>
      <c r="K277" s="19" t="str">
        <f>VLOOKUP(A277,Sheet1!A:AB,28,0)</f>
        <v>Yes</v>
      </c>
      <c r="L277" s="27">
        <f>VLOOKUP(A277,Sheet1!A:AD,30,0)</f>
        <v>71</v>
      </c>
    </row>
    <row r="278" spans="1:12" x14ac:dyDescent="0.3">
      <c r="A278" s="14" t="s">
        <v>1748</v>
      </c>
      <c r="B278" s="19" t="str">
        <f>VLOOKUP(A278,Sheet1!A:E,5,0)</f>
        <v>Scott Long</v>
      </c>
      <c r="C278" s="19" t="str">
        <f>VLOOKUP(A278,Sheet1!A:I,9,0)</f>
        <v>Male</v>
      </c>
      <c r="D278" s="19">
        <f>VLOOKUP(A278,Sheet1!A:K,11,0)</f>
        <v>50</v>
      </c>
      <c r="E278" s="19" t="str">
        <f>VLOOKUP(A278,Sheet1!A:M,13,0)</f>
        <v>Spain</v>
      </c>
      <c r="F278" s="19" t="str">
        <f>VLOOKUP(A278,Sheet1!A:N,14,0)</f>
        <v>Spanish</v>
      </c>
      <c r="G278" s="19" t="str">
        <f>VLOOKUP(A278,Sheet1!A:O,15,0)</f>
        <v>AI</v>
      </c>
      <c r="H278" s="19">
        <f>VLOOKUP(A278,Sheet1!A:Q,17,0)</f>
        <v>28</v>
      </c>
      <c r="I278" s="20">
        <f>VLOOKUP(A278,Sheet1!A:V,22,0)</f>
        <v>30</v>
      </c>
      <c r="J278" s="21">
        <f>VLOOKUP(A278,Sheet1!A:X,24,0)</f>
        <v>1.8</v>
      </c>
      <c r="K278" s="19" t="str">
        <f>VLOOKUP(A278,Sheet1!A:AB,28,0)</f>
        <v>Unknown</v>
      </c>
      <c r="L278" s="27">
        <f>VLOOKUP(A278,Sheet1!A:AD,30,0)</f>
        <v>79.822695035460995</v>
      </c>
    </row>
    <row r="279" spans="1:12" x14ac:dyDescent="0.3">
      <c r="A279" s="14" t="s">
        <v>491</v>
      </c>
      <c r="B279" s="19" t="str">
        <f>VLOOKUP(A279,Sheet1!A:E,5,0)</f>
        <v>Shirley Strickland</v>
      </c>
      <c r="C279" s="19" t="str">
        <f>VLOOKUP(A279,Sheet1!A:I,9,0)</f>
        <v>Female</v>
      </c>
      <c r="D279" s="19">
        <f>VLOOKUP(A279,Sheet1!A:K,11,0)</f>
        <v>50</v>
      </c>
      <c r="E279" s="19" t="str">
        <f>VLOOKUP(A279,Sheet1!A:M,13,0)</f>
        <v>India</v>
      </c>
      <c r="F279" s="19" t="str">
        <f>VLOOKUP(A279,Sheet1!A:N,14,0)</f>
        <v>Hindi</v>
      </c>
      <c r="G279" s="19" t="str">
        <f>VLOOKUP(A279,Sheet1!A:O,15,0)</f>
        <v>Graphic Design</v>
      </c>
      <c r="H279" s="19">
        <f>VLOOKUP(A279,Sheet1!A:Q,17,0)</f>
        <v>28</v>
      </c>
      <c r="I279" s="20">
        <f>VLOOKUP(A279,Sheet1!A:V,22,0)</f>
        <v>100</v>
      </c>
      <c r="J279" s="21">
        <f>VLOOKUP(A279,Sheet1!A:X,24,0)</f>
        <v>4.9000000000000004</v>
      </c>
      <c r="K279" s="19" t="str">
        <f>VLOOKUP(A279,Sheet1!A:AB,28,0)</f>
        <v>Yes</v>
      </c>
      <c r="L279" s="27">
        <f>VLOOKUP(A279,Sheet1!A:AD,30,0)</f>
        <v>86</v>
      </c>
    </row>
    <row r="280" spans="1:12" x14ac:dyDescent="0.3">
      <c r="A280" s="14" t="s">
        <v>299</v>
      </c>
      <c r="B280" s="19" t="str">
        <f>VLOOKUP(A280,Sheet1!A:E,5,0)</f>
        <v>Stacy Sutton</v>
      </c>
      <c r="C280" s="19" t="str">
        <f>VLOOKUP(A280,Sheet1!A:I,9,0)</f>
        <v>Female</v>
      </c>
      <c r="D280" s="19">
        <f>VLOOKUP(A280,Sheet1!A:K,11,0)</f>
        <v>50</v>
      </c>
      <c r="E280" s="19" t="str">
        <f>VLOOKUP(A280,Sheet1!A:M,13,0)</f>
        <v>Russia</v>
      </c>
      <c r="F280" s="19" t="str">
        <f>VLOOKUP(A280,Sheet1!A:N,14,0)</f>
        <v>Russian</v>
      </c>
      <c r="G280" s="19" t="str">
        <f>VLOOKUP(A280,Sheet1!A:O,15,0)</f>
        <v>DevOps</v>
      </c>
      <c r="H280" s="19">
        <f>VLOOKUP(A280,Sheet1!A:Q,17,0)</f>
        <v>30</v>
      </c>
      <c r="I280" s="20">
        <f>VLOOKUP(A280,Sheet1!A:V,22,0)</f>
        <v>100</v>
      </c>
      <c r="J280" s="21">
        <f>VLOOKUP(A280,Sheet1!A:X,24,0)</f>
        <v>3</v>
      </c>
      <c r="K280" s="19" t="str">
        <f>VLOOKUP(A280,Sheet1!A:AB,28,0)</f>
        <v>Yes</v>
      </c>
      <c r="L280" s="27">
        <f>VLOOKUP(A280,Sheet1!A:AD,30,0)</f>
        <v>73</v>
      </c>
    </row>
    <row r="281" spans="1:12" x14ac:dyDescent="0.3">
      <c r="A281" s="14" t="s">
        <v>593</v>
      </c>
      <c r="B281" s="19" t="str">
        <f>VLOOKUP(A281,Sheet1!A:E,5,0)</f>
        <v>Stephanie Carter</v>
      </c>
      <c r="C281" s="19" t="str">
        <f>VLOOKUP(A281,Sheet1!A:I,9,0)</f>
        <v>Female</v>
      </c>
      <c r="D281" s="19">
        <f>VLOOKUP(A281,Sheet1!A:K,11,0)</f>
        <v>50</v>
      </c>
      <c r="E281" s="19" t="str">
        <f>VLOOKUP(A281,Sheet1!A:M,13,0)</f>
        <v>India</v>
      </c>
      <c r="F281" s="19" t="str">
        <f>VLOOKUP(A281,Sheet1!A:N,14,0)</f>
        <v>Hindi</v>
      </c>
      <c r="G281" s="19" t="str">
        <f>VLOOKUP(A281,Sheet1!A:O,15,0)</f>
        <v>Mobile Apps</v>
      </c>
      <c r="H281" s="19">
        <f>VLOOKUP(A281,Sheet1!A:Q,17,0)</f>
        <v>5</v>
      </c>
      <c r="I281" s="20">
        <f>VLOOKUP(A281,Sheet1!A:V,22,0)</f>
        <v>100</v>
      </c>
      <c r="J281" s="21">
        <f>VLOOKUP(A281,Sheet1!A:X,24,0)</f>
        <v>2.5555059523809511</v>
      </c>
      <c r="K281" s="19" t="str">
        <f>VLOOKUP(A281,Sheet1!A:AB,28,0)</f>
        <v>Yes</v>
      </c>
      <c r="L281" s="27">
        <f>VLOOKUP(A281,Sheet1!A:AD,30,0)</f>
        <v>79.718400000000003</v>
      </c>
    </row>
    <row r="282" spans="1:12" x14ac:dyDescent="0.3">
      <c r="A282" s="14" t="s">
        <v>1938</v>
      </c>
      <c r="B282" s="19" t="str">
        <f>VLOOKUP(A282,Sheet1!A:E,5,0)</f>
        <v>Thomas Young</v>
      </c>
      <c r="C282" s="19" t="str">
        <f>VLOOKUP(A282,Sheet1!A:I,9,0)</f>
        <v>Male</v>
      </c>
      <c r="D282" s="19">
        <f>VLOOKUP(A282,Sheet1!A:K,11,0)</f>
        <v>50</v>
      </c>
      <c r="E282" s="19" t="str">
        <f>VLOOKUP(A282,Sheet1!A:M,13,0)</f>
        <v>South Africa</v>
      </c>
      <c r="F282" s="19" t="str">
        <f>VLOOKUP(A282,Sheet1!A:N,14,0)</f>
        <v>Afrikaans</v>
      </c>
      <c r="G282" s="19" t="str">
        <f>VLOOKUP(A282,Sheet1!A:O,15,0)</f>
        <v>UI/UX Design</v>
      </c>
      <c r="H282" s="19">
        <f>VLOOKUP(A282,Sheet1!A:Q,17,0)</f>
        <v>13</v>
      </c>
      <c r="I282" s="20">
        <f>VLOOKUP(A282,Sheet1!A:V,22,0)</f>
        <v>54.571428571428569</v>
      </c>
      <c r="J282" s="21">
        <f>VLOOKUP(A282,Sheet1!A:X,24,0)</f>
        <v>2.5</v>
      </c>
      <c r="K282" s="19" t="str">
        <f>VLOOKUP(A282,Sheet1!A:AB,28,0)</f>
        <v>Yes</v>
      </c>
      <c r="L282" s="27">
        <f>VLOOKUP(A282,Sheet1!A:AD,30,0)</f>
        <v>81</v>
      </c>
    </row>
    <row r="283" spans="1:12" x14ac:dyDescent="0.3">
      <c r="A283" s="14" t="s">
        <v>1852</v>
      </c>
      <c r="B283" s="19" t="str">
        <f>VLOOKUP(A283,Sheet1!A:E,5,0)</f>
        <v>Yolanda Proctor</v>
      </c>
      <c r="C283" s="19" t="str">
        <f>VLOOKUP(A283,Sheet1!A:I,9,0)</f>
        <v>Female</v>
      </c>
      <c r="D283" s="19">
        <f>VLOOKUP(A283,Sheet1!A:K,11,0)</f>
        <v>50</v>
      </c>
      <c r="E283" s="19" t="str">
        <f>VLOOKUP(A283,Sheet1!A:M,13,0)</f>
        <v>Egypt</v>
      </c>
      <c r="F283" s="19" t="str">
        <f>VLOOKUP(A283,Sheet1!A:N,14,0)</f>
        <v>Arabic</v>
      </c>
      <c r="G283" s="19" t="str">
        <f>VLOOKUP(A283,Sheet1!A:O,15,0)</f>
        <v>Mobile Apps</v>
      </c>
      <c r="H283" s="19">
        <f>VLOOKUP(A283,Sheet1!A:Q,17,0)</f>
        <v>31</v>
      </c>
      <c r="I283" s="20">
        <f>VLOOKUP(A283,Sheet1!A:V,22,0)</f>
        <v>100</v>
      </c>
      <c r="J283" s="21">
        <f>VLOOKUP(A283,Sheet1!A:X,24,0)</f>
        <v>2.9</v>
      </c>
      <c r="K283" s="19" t="str">
        <f>VLOOKUP(A283,Sheet1!A:AB,28,0)</f>
        <v>Yes</v>
      </c>
      <c r="L283" s="27">
        <f>VLOOKUP(A283,Sheet1!A:AD,30,0)</f>
        <v>89</v>
      </c>
    </row>
    <row r="284" spans="1:12" x14ac:dyDescent="0.3">
      <c r="A284" s="14" t="s">
        <v>1087</v>
      </c>
      <c r="B284" s="19" t="str">
        <f>VLOOKUP(A284,Sheet1!A:E,5,0)</f>
        <v>Aaron Stewart</v>
      </c>
      <c r="C284" s="19" t="str">
        <f>VLOOKUP(A284,Sheet1!A:I,9,0)</f>
        <v>Male</v>
      </c>
      <c r="D284" s="19">
        <f>VLOOKUP(A284,Sheet1!A:K,11,0)</f>
        <v>49</v>
      </c>
      <c r="E284" s="19" t="str">
        <f>VLOOKUP(A284,Sheet1!A:M,13,0)</f>
        <v>Indonesia</v>
      </c>
      <c r="F284" s="19" t="str">
        <f>VLOOKUP(A284,Sheet1!A:N,14,0)</f>
        <v>Indonesian</v>
      </c>
      <c r="G284" s="19" t="str">
        <f>VLOOKUP(A284,Sheet1!A:O,15,0)</f>
        <v>Data Analysis</v>
      </c>
      <c r="H284" s="19">
        <f>VLOOKUP(A284,Sheet1!A:Q,17,0)</f>
        <v>24</v>
      </c>
      <c r="I284" s="20">
        <f>VLOOKUP(A284,Sheet1!A:V,22,0)</f>
        <v>100</v>
      </c>
      <c r="J284" s="21">
        <f>VLOOKUP(A284,Sheet1!A:X,24,0)</f>
        <v>4.7</v>
      </c>
      <c r="K284" s="19" t="str">
        <f>VLOOKUP(A284,Sheet1!A:AB,28,0)</f>
        <v>No</v>
      </c>
      <c r="L284" s="27">
        <f>VLOOKUP(A284,Sheet1!A:AD,30,0)</f>
        <v>60</v>
      </c>
    </row>
    <row r="285" spans="1:12" x14ac:dyDescent="0.3">
      <c r="A285" s="14" t="s">
        <v>799</v>
      </c>
      <c r="B285" s="19" t="str">
        <f>VLOOKUP(A285,Sheet1!A:E,5,0)</f>
        <v>Amanda Mayo</v>
      </c>
      <c r="C285" s="19" t="str">
        <f>VLOOKUP(A285,Sheet1!A:I,9,0)</f>
        <v>Female</v>
      </c>
      <c r="D285" s="19">
        <f>VLOOKUP(A285,Sheet1!A:K,11,0)</f>
        <v>49</v>
      </c>
      <c r="E285" s="19" t="str">
        <f>VLOOKUP(A285,Sheet1!A:M,13,0)</f>
        <v>Canada</v>
      </c>
      <c r="F285" s="19" t="str">
        <f>VLOOKUP(A285,Sheet1!A:N,14,0)</f>
        <v>English</v>
      </c>
      <c r="G285" s="19" t="str">
        <f>VLOOKUP(A285,Sheet1!A:O,15,0)</f>
        <v>Web Development</v>
      </c>
      <c r="H285" s="19">
        <f>VLOOKUP(A285,Sheet1!A:Q,17,0)</f>
        <v>25</v>
      </c>
      <c r="I285" s="20">
        <f>VLOOKUP(A285,Sheet1!A:V,22,0)</f>
        <v>30</v>
      </c>
      <c r="J285" s="21">
        <f>VLOOKUP(A285,Sheet1!A:X,24,0)</f>
        <v>3.4</v>
      </c>
      <c r="K285" s="19" t="str">
        <f>VLOOKUP(A285,Sheet1!A:AB,28,0)</f>
        <v>No</v>
      </c>
      <c r="L285" s="27">
        <f>VLOOKUP(A285,Sheet1!A:AD,30,0)</f>
        <v>75</v>
      </c>
    </row>
    <row r="286" spans="1:12" x14ac:dyDescent="0.3">
      <c r="A286" s="14" t="s">
        <v>1932</v>
      </c>
      <c r="B286" s="19" t="str">
        <f>VLOOKUP(A286,Sheet1!A:E,5,0)</f>
        <v>Amy Brooks</v>
      </c>
      <c r="C286" s="19" t="str">
        <f>VLOOKUP(A286,Sheet1!A:I,9,0)</f>
        <v>Female</v>
      </c>
      <c r="D286" s="19">
        <f>VLOOKUP(A286,Sheet1!A:K,11,0)</f>
        <v>49</v>
      </c>
      <c r="E286" s="19" t="str">
        <f>VLOOKUP(A286,Sheet1!A:M,13,0)</f>
        <v>South Korea</v>
      </c>
      <c r="F286" s="19" t="str">
        <f>VLOOKUP(A286,Sheet1!A:N,14,0)</f>
        <v>Korean</v>
      </c>
      <c r="G286" s="19" t="str">
        <f>VLOOKUP(A286,Sheet1!A:O,15,0)</f>
        <v>AI</v>
      </c>
      <c r="H286" s="19">
        <f>VLOOKUP(A286,Sheet1!A:Q,17,0)</f>
        <v>4</v>
      </c>
      <c r="I286" s="20">
        <f>VLOOKUP(A286,Sheet1!A:V,22,0)</f>
        <v>75</v>
      </c>
      <c r="J286" s="21">
        <f>VLOOKUP(A286,Sheet1!A:X,24,0)</f>
        <v>2.9</v>
      </c>
      <c r="K286" s="19" t="str">
        <f>VLOOKUP(A286,Sheet1!A:AB,28,0)</f>
        <v>No</v>
      </c>
      <c r="L286" s="27">
        <f>VLOOKUP(A286,Sheet1!A:AD,30,0)</f>
        <v>80.927536231884062</v>
      </c>
    </row>
    <row r="287" spans="1:12" x14ac:dyDescent="0.3">
      <c r="A287" s="14" t="s">
        <v>1930</v>
      </c>
      <c r="B287" s="19" t="str">
        <f>VLOOKUP(A287,Sheet1!A:E,5,0)</f>
        <v>Anita Becker</v>
      </c>
      <c r="C287" s="19" t="str">
        <f>VLOOKUP(A287,Sheet1!A:I,9,0)</f>
        <v>Female</v>
      </c>
      <c r="D287" s="19">
        <f>VLOOKUP(A287,Sheet1!A:K,11,0)</f>
        <v>49</v>
      </c>
      <c r="E287" s="19" t="str">
        <f>VLOOKUP(A287,Sheet1!A:M,13,0)</f>
        <v>Spain</v>
      </c>
      <c r="F287" s="19" t="str">
        <f>VLOOKUP(A287,Sheet1!A:N,14,0)</f>
        <v>Spanish</v>
      </c>
      <c r="G287" s="19" t="str">
        <f>VLOOKUP(A287,Sheet1!A:O,15,0)</f>
        <v>DevOps</v>
      </c>
      <c r="H287" s="19">
        <f>VLOOKUP(A287,Sheet1!A:Q,17,0)</f>
        <v>4</v>
      </c>
      <c r="I287" s="20">
        <f>VLOOKUP(A287,Sheet1!A:V,22,0)</f>
        <v>75</v>
      </c>
      <c r="J287" s="21">
        <f>VLOOKUP(A287,Sheet1!A:X,24,0)</f>
        <v>2.1</v>
      </c>
      <c r="K287" s="19" t="str">
        <f>VLOOKUP(A287,Sheet1!A:AB,28,0)</f>
        <v>Unknown</v>
      </c>
      <c r="L287" s="27">
        <f>VLOOKUP(A287,Sheet1!A:AD,30,0)</f>
        <v>85</v>
      </c>
    </row>
    <row r="288" spans="1:12" x14ac:dyDescent="0.3">
      <c r="A288" s="14" t="s">
        <v>287</v>
      </c>
      <c r="B288" s="19" t="str">
        <f>VLOOKUP(A288,Sheet1!A:E,5,0)</f>
        <v>Bethany Wright</v>
      </c>
      <c r="C288" s="19" t="str">
        <f>VLOOKUP(A288,Sheet1!A:I,9,0)</f>
        <v>Female</v>
      </c>
      <c r="D288" s="19">
        <f>VLOOKUP(A288,Sheet1!A:K,11,0)</f>
        <v>49</v>
      </c>
      <c r="E288" s="19" t="str">
        <f>VLOOKUP(A288,Sheet1!A:M,13,0)</f>
        <v>Spain</v>
      </c>
      <c r="F288" s="19" t="str">
        <f>VLOOKUP(A288,Sheet1!A:N,14,0)</f>
        <v>Spanish</v>
      </c>
      <c r="G288" s="19" t="str">
        <f>VLOOKUP(A288,Sheet1!A:O,15,0)</f>
        <v>Cybersecurity</v>
      </c>
      <c r="H288" s="19">
        <f>VLOOKUP(A288,Sheet1!A:Q,17,0)</f>
        <v>25</v>
      </c>
      <c r="I288" s="20">
        <f>VLOOKUP(A288,Sheet1!A:V,22,0)</f>
        <v>50</v>
      </c>
      <c r="J288" s="21">
        <f>VLOOKUP(A288,Sheet1!A:X,24,0)</f>
        <v>5</v>
      </c>
      <c r="K288" s="19" t="str">
        <f>VLOOKUP(A288,Sheet1!A:AB,28,0)</f>
        <v>No</v>
      </c>
      <c r="L288" s="27">
        <f>VLOOKUP(A288,Sheet1!A:AD,30,0)</f>
        <v>77</v>
      </c>
    </row>
    <row r="289" spans="1:12" x14ac:dyDescent="0.3">
      <c r="A289" s="14" t="s">
        <v>1730</v>
      </c>
      <c r="B289" s="19" t="str">
        <f>VLOOKUP(A289,Sheet1!A:E,5,0)</f>
        <v>Brenda Spencer</v>
      </c>
      <c r="C289" s="19" t="str">
        <f>VLOOKUP(A289,Sheet1!A:I,9,0)</f>
        <v>Female</v>
      </c>
      <c r="D289" s="19">
        <f>VLOOKUP(A289,Sheet1!A:K,11,0)</f>
        <v>49</v>
      </c>
      <c r="E289" s="19" t="str">
        <f>VLOOKUP(A289,Sheet1!A:M,13,0)</f>
        <v>China</v>
      </c>
      <c r="F289" s="19" t="str">
        <f>VLOOKUP(A289,Sheet1!A:N,14,0)</f>
        <v>Mandarin</v>
      </c>
      <c r="G289" s="19" t="str">
        <f>VLOOKUP(A289,Sheet1!A:O,15,0)</f>
        <v>Mobile Apps</v>
      </c>
      <c r="H289" s="19">
        <f>VLOOKUP(A289,Sheet1!A:Q,17,0)</f>
        <v>15</v>
      </c>
      <c r="I289" s="20">
        <f>VLOOKUP(A289,Sheet1!A:V,22,0)</f>
        <v>40</v>
      </c>
      <c r="J289" s="21">
        <f>VLOOKUP(A289,Sheet1!A:X,24,0)</f>
        <v>3.9</v>
      </c>
      <c r="K289" s="19" t="str">
        <f>VLOOKUP(A289,Sheet1!A:AB,28,0)</f>
        <v>No</v>
      </c>
      <c r="L289" s="27">
        <f>VLOOKUP(A289,Sheet1!A:AD,30,0)</f>
        <v>86</v>
      </c>
    </row>
    <row r="290" spans="1:12" x14ac:dyDescent="0.3">
      <c r="A290" s="14" t="s">
        <v>679</v>
      </c>
      <c r="B290" s="19" t="str">
        <f>VLOOKUP(A290,Sheet1!A:E,5,0)</f>
        <v>Christine Hart</v>
      </c>
      <c r="C290" s="19" t="str">
        <f>VLOOKUP(A290,Sheet1!A:I,9,0)</f>
        <v>Female</v>
      </c>
      <c r="D290" s="19">
        <f>VLOOKUP(A290,Sheet1!A:K,11,0)</f>
        <v>49</v>
      </c>
      <c r="E290" s="19" t="str">
        <f>VLOOKUP(A290,Sheet1!A:M,13,0)</f>
        <v>India</v>
      </c>
      <c r="F290" s="19" t="str">
        <f>VLOOKUP(A290,Sheet1!A:N,14,0)</f>
        <v>Hindi</v>
      </c>
      <c r="G290" s="19" t="str">
        <f>VLOOKUP(A290,Sheet1!A:O,15,0)</f>
        <v>Blockchain Development</v>
      </c>
      <c r="H290" s="19">
        <f>VLOOKUP(A290,Sheet1!A:Q,17,0)</f>
        <v>13</v>
      </c>
      <c r="I290" s="20">
        <f>VLOOKUP(A290,Sheet1!A:V,22,0)</f>
        <v>100</v>
      </c>
      <c r="J290" s="21">
        <f>VLOOKUP(A290,Sheet1!A:X,24,0)</f>
        <v>4.2</v>
      </c>
      <c r="K290" s="19" t="str">
        <f>VLOOKUP(A290,Sheet1!A:AB,28,0)</f>
        <v>Yes</v>
      </c>
      <c r="L290" s="27">
        <f>VLOOKUP(A290,Sheet1!A:AD,30,0)</f>
        <v>84</v>
      </c>
    </row>
    <row r="291" spans="1:12" x14ac:dyDescent="0.3">
      <c r="A291" s="14" t="s">
        <v>1453</v>
      </c>
      <c r="B291" s="19" t="str">
        <f>VLOOKUP(A291,Sheet1!A:E,5,0)</f>
        <v>Ellen Bowman</v>
      </c>
      <c r="C291" s="19" t="str">
        <f>VLOOKUP(A291,Sheet1!A:I,9,0)</f>
        <v>Female</v>
      </c>
      <c r="D291" s="19">
        <f>VLOOKUP(A291,Sheet1!A:K,11,0)</f>
        <v>49</v>
      </c>
      <c r="E291" s="19" t="str">
        <f>VLOOKUP(A291,Sheet1!A:M,13,0)</f>
        <v>Netherlands</v>
      </c>
      <c r="F291" s="19" t="str">
        <f>VLOOKUP(A291,Sheet1!A:N,14,0)</f>
        <v>Dutch</v>
      </c>
      <c r="G291" s="19" t="str">
        <f>VLOOKUP(A291,Sheet1!A:O,15,0)</f>
        <v>Web Development</v>
      </c>
      <c r="H291" s="19">
        <f>VLOOKUP(A291,Sheet1!A:Q,17,0)</f>
        <v>11</v>
      </c>
      <c r="I291" s="20">
        <f>VLOOKUP(A291,Sheet1!A:V,22,0)</f>
        <v>75</v>
      </c>
      <c r="J291" s="21">
        <f>VLOOKUP(A291,Sheet1!A:X,24,0)</f>
        <v>3.8</v>
      </c>
      <c r="K291" s="19" t="str">
        <f>VLOOKUP(A291,Sheet1!A:AB,28,0)</f>
        <v>Yes</v>
      </c>
      <c r="L291" s="27">
        <f>VLOOKUP(A291,Sheet1!A:AD,30,0)</f>
        <v>93</v>
      </c>
    </row>
    <row r="292" spans="1:12" x14ac:dyDescent="0.3">
      <c r="A292" s="14" t="s">
        <v>2026</v>
      </c>
      <c r="B292" s="19" t="str">
        <f>VLOOKUP(A292,Sheet1!A:E,5,0)</f>
        <v>Eric Jimenez</v>
      </c>
      <c r="C292" s="19" t="str">
        <f>VLOOKUP(A292,Sheet1!A:I,9,0)</f>
        <v>Male</v>
      </c>
      <c r="D292" s="19">
        <f>VLOOKUP(A292,Sheet1!A:K,11,0)</f>
        <v>49</v>
      </c>
      <c r="E292" s="19" t="str">
        <f>VLOOKUP(A292,Sheet1!A:M,13,0)</f>
        <v>India</v>
      </c>
      <c r="F292" s="19" t="str">
        <f>VLOOKUP(A292,Sheet1!A:N,14,0)</f>
        <v>Hindi</v>
      </c>
      <c r="G292" s="19" t="str">
        <f>VLOOKUP(A292,Sheet1!A:O,15,0)</f>
        <v>Web Development</v>
      </c>
      <c r="H292" s="19">
        <f>VLOOKUP(A292,Sheet1!A:Q,17,0)</f>
        <v>1</v>
      </c>
      <c r="I292" s="20">
        <f>VLOOKUP(A292,Sheet1!A:V,22,0)</f>
        <v>60.666666666666664</v>
      </c>
      <c r="J292" s="21">
        <f>VLOOKUP(A292,Sheet1!A:X,24,0)</f>
        <v>0</v>
      </c>
      <c r="K292" s="19" t="str">
        <f>VLOOKUP(A292,Sheet1!A:AB,28,0)</f>
        <v>No</v>
      </c>
      <c r="L292" s="27">
        <f>VLOOKUP(A292,Sheet1!A:AD,30,0)</f>
        <v>82</v>
      </c>
    </row>
    <row r="293" spans="1:12" x14ac:dyDescent="0.3">
      <c r="A293" s="14" t="s">
        <v>1371</v>
      </c>
      <c r="B293" s="19" t="str">
        <f>VLOOKUP(A293,Sheet1!A:E,5,0)</f>
        <v>Gina Snyder</v>
      </c>
      <c r="C293" s="19" t="str">
        <f>VLOOKUP(A293,Sheet1!A:I,9,0)</f>
        <v>Female</v>
      </c>
      <c r="D293" s="19">
        <f>VLOOKUP(A293,Sheet1!A:K,11,0)</f>
        <v>49</v>
      </c>
      <c r="E293" s="19" t="str">
        <f>VLOOKUP(A293,Sheet1!A:M,13,0)</f>
        <v>Mexico</v>
      </c>
      <c r="F293" s="19" t="str">
        <f>VLOOKUP(A293,Sheet1!A:N,14,0)</f>
        <v>Spanish</v>
      </c>
      <c r="G293" s="19" t="str">
        <f>VLOOKUP(A293,Sheet1!A:O,15,0)</f>
        <v>Web Development</v>
      </c>
      <c r="H293" s="19">
        <f>VLOOKUP(A293,Sheet1!A:Q,17,0)</f>
        <v>24</v>
      </c>
      <c r="I293" s="20">
        <f>VLOOKUP(A293,Sheet1!A:V,22,0)</f>
        <v>50</v>
      </c>
      <c r="J293" s="21">
        <f>VLOOKUP(A293,Sheet1!A:X,24,0)</f>
        <v>0</v>
      </c>
      <c r="K293" s="19" t="str">
        <f>VLOOKUP(A293,Sheet1!A:AB,28,0)</f>
        <v>No</v>
      </c>
      <c r="L293" s="27">
        <f>VLOOKUP(A293,Sheet1!A:AD,30,0)</f>
        <v>94</v>
      </c>
    </row>
    <row r="294" spans="1:12" x14ac:dyDescent="0.3">
      <c r="A294" s="14" t="s">
        <v>346</v>
      </c>
      <c r="B294" s="19" t="str">
        <f>VLOOKUP(A294,Sheet1!A:E,5,0)</f>
        <v>Jason Carter</v>
      </c>
      <c r="C294" s="19" t="str">
        <f>VLOOKUP(A294,Sheet1!A:I,9,0)</f>
        <v>Male</v>
      </c>
      <c r="D294" s="19">
        <f>VLOOKUP(A294,Sheet1!A:K,11,0)</f>
        <v>49</v>
      </c>
      <c r="E294" s="19" t="str">
        <f>VLOOKUP(A294,Sheet1!A:M,13,0)</f>
        <v>South Korea</v>
      </c>
      <c r="F294" s="19" t="str">
        <f>VLOOKUP(A294,Sheet1!A:N,14,0)</f>
        <v>Korean</v>
      </c>
      <c r="G294" s="19" t="str">
        <f>VLOOKUP(A294,Sheet1!A:O,15,0)</f>
        <v>Data Analysis</v>
      </c>
      <c r="H294" s="19">
        <f>VLOOKUP(A294,Sheet1!A:Q,17,0)</f>
        <v>19</v>
      </c>
      <c r="I294" s="20">
        <f>VLOOKUP(A294,Sheet1!A:V,22,0)</f>
        <v>52.6821608040201</v>
      </c>
      <c r="J294" s="21">
        <f>VLOOKUP(A294,Sheet1!A:X,24,0)</f>
        <v>5</v>
      </c>
      <c r="K294" s="19" t="str">
        <f>VLOOKUP(A294,Sheet1!A:AB,28,0)</f>
        <v>Yes</v>
      </c>
      <c r="L294" s="27">
        <f>VLOOKUP(A294,Sheet1!A:AD,30,0)</f>
        <v>83</v>
      </c>
    </row>
    <row r="295" spans="1:12" x14ac:dyDescent="0.3">
      <c r="A295" s="14" t="s">
        <v>1077</v>
      </c>
      <c r="B295" s="19" t="str">
        <f>VLOOKUP(A295,Sheet1!A:E,5,0)</f>
        <v>Jennifer Carter</v>
      </c>
      <c r="C295" s="19" t="str">
        <f>VLOOKUP(A295,Sheet1!A:I,9,0)</f>
        <v>Female</v>
      </c>
      <c r="D295" s="19">
        <f>VLOOKUP(A295,Sheet1!A:K,11,0)</f>
        <v>49</v>
      </c>
      <c r="E295" s="19" t="str">
        <f>VLOOKUP(A295,Sheet1!A:M,13,0)</f>
        <v>Russia</v>
      </c>
      <c r="F295" s="19" t="str">
        <f>VLOOKUP(A295,Sheet1!A:N,14,0)</f>
        <v>Russian</v>
      </c>
      <c r="G295" s="19" t="str">
        <f>VLOOKUP(A295,Sheet1!A:O,15,0)</f>
        <v>UI/UX Design</v>
      </c>
      <c r="H295" s="19">
        <f>VLOOKUP(A295,Sheet1!A:Q,17,0)</f>
        <v>14</v>
      </c>
      <c r="I295" s="20">
        <f>VLOOKUP(A295,Sheet1!A:V,22,0)</f>
        <v>40</v>
      </c>
      <c r="J295" s="21">
        <f>VLOOKUP(A295,Sheet1!A:X,24,0)</f>
        <v>1.5</v>
      </c>
      <c r="K295" s="19" t="str">
        <f>VLOOKUP(A295,Sheet1!A:AB,28,0)</f>
        <v>Unknown</v>
      </c>
      <c r="L295" s="27">
        <f>VLOOKUP(A295,Sheet1!A:AD,30,0)</f>
        <v>60</v>
      </c>
    </row>
    <row r="296" spans="1:12" x14ac:dyDescent="0.3">
      <c r="A296" s="14" t="s">
        <v>835</v>
      </c>
      <c r="B296" s="19" t="str">
        <f>VLOOKUP(A296,Sheet1!A:E,5,0)</f>
        <v>Jennifer Lara</v>
      </c>
      <c r="C296" s="19" t="str">
        <f>VLOOKUP(A296,Sheet1!A:I,9,0)</f>
        <v>Female</v>
      </c>
      <c r="D296" s="19">
        <f>VLOOKUP(A296,Sheet1!A:K,11,0)</f>
        <v>49</v>
      </c>
      <c r="E296" s="19" t="str">
        <f>VLOOKUP(A296,Sheet1!A:M,13,0)</f>
        <v>Italy</v>
      </c>
      <c r="F296" s="19" t="str">
        <f>VLOOKUP(A296,Sheet1!A:N,14,0)</f>
        <v>Italian</v>
      </c>
      <c r="G296" s="19" t="str">
        <f>VLOOKUP(A296,Sheet1!A:O,15,0)</f>
        <v>Data Analysis</v>
      </c>
      <c r="H296" s="19">
        <f>VLOOKUP(A296,Sheet1!A:Q,17,0)</f>
        <v>15</v>
      </c>
      <c r="I296" s="20">
        <f>VLOOKUP(A296,Sheet1!A:V,22,0)</f>
        <v>75</v>
      </c>
      <c r="J296" s="21">
        <f>VLOOKUP(A296,Sheet1!A:X,24,0)</f>
        <v>2.6</v>
      </c>
      <c r="K296" s="19" t="str">
        <f>VLOOKUP(A296,Sheet1!A:AB,28,0)</f>
        <v>No</v>
      </c>
      <c r="L296" s="27">
        <f>VLOOKUP(A296,Sheet1!A:AD,30,0)</f>
        <v>83</v>
      </c>
    </row>
    <row r="297" spans="1:12" x14ac:dyDescent="0.3">
      <c r="A297" s="14" t="s">
        <v>1022</v>
      </c>
      <c r="B297" s="19" t="str">
        <f>VLOOKUP(A297,Sheet1!A:E,5,0)</f>
        <v>Julie Barnett</v>
      </c>
      <c r="C297" s="19" t="str">
        <f>VLOOKUP(A297,Sheet1!A:I,9,0)</f>
        <v>Female</v>
      </c>
      <c r="D297" s="19">
        <f>VLOOKUP(A297,Sheet1!A:K,11,0)</f>
        <v>49</v>
      </c>
      <c r="E297" s="19" t="str">
        <f>VLOOKUP(A297,Sheet1!A:M,13,0)</f>
        <v>Brazil</v>
      </c>
      <c r="F297" s="19" t="str">
        <f>VLOOKUP(A297,Sheet1!A:N,14,0)</f>
        <v>Portuguese</v>
      </c>
      <c r="G297" s="19" t="str">
        <f>VLOOKUP(A297,Sheet1!A:O,15,0)</f>
        <v>Machine Learning</v>
      </c>
      <c r="H297" s="19">
        <f>VLOOKUP(A297,Sheet1!A:Q,17,0)</f>
        <v>13</v>
      </c>
      <c r="I297" s="20">
        <f>VLOOKUP(A297,Sheet1!A:V,22,0)</f>
        <v>100</v>
      </c>
      <c r="J297" s="21">
        <f>VLOOKUP(A297,Sheet1!A:X,24,0)</f>
        <v>2.5</v>
      </c>
      <c r="K297" s="19" t="str">
        <f>VLOOKUP(A297,Sheet1!A:AB,28,0)</f>
        <v>No</v>
      </c>
      <c r="L297" s="27">
        <f>VLOOKUP(A297,Sheet1!A:AD,30,0)</f>
        <v>79.419282511210767</v>
      </c>
    </row>
    <row r="298" spans="1:12" x14ac:dyDescent="0.3">
      <c r="A298" s="14" t="s">
        <v>1602</v>
      </c>
      <c r="B298" s="19" t="str">
        <f>VLOOKUP(A298,Sheet1!A:E,5,0)</f>
        <v>Kellie Le</v>
      </c>
      <c r="C298" s="19" t="str">
        <f>VLOOKUP(A298,Sheet1!A:I,9,0)</f>
        <v>Female</v>
      </c>
      <c r="D298" s="19">
        <f>VLOOKUP(A298,Sheet1!A:K,11,0)</f>
        <v>49</v>
      </c>
      <c r="E298" s="19" t="str">
        <f>VLOOKUP(A298,Sheet1!A:M,13,0)</f>
        <v>Indonesia</v>
      </c>
      <c r="F298" s="19" t="str">
        <f>VLOOKUP(A298,Sheet1!A:N,14,0)</f>
        <v>Indonesian</v>
      </c>
      <c r="G298" s="19" t="str">
        <f>VLOOKUP(A298,Sheet1!A:O,15,0)</f>
        <v>AI</v>
      </c>
      <c r="H298" s="19">
        <f>VLOOKUP(A298,Sheet1!A:Q,17,0)</f>
        <v>22</v>
      </c>
      <c r="I298" s="20">
        <f>VLOOKUP(A298,Sheet1!A:V,22,0)</f>
        <v>75</v>
      </c>
      <c r="J298" s="21">
        <f>VLOOKUP(A298,Sheet1!A:X,24,0)</f>
        <v>0</v>
      </c>
      <c r="K298" s="19" t="str">
        <f>VLOOKUP(A298,Sheet1!A:AB,28,0)</f>
        <v>Yes</v>
      </c>
      <c r="L298" s="27">
        <f>VLOOKUP(A298,Sheet1!A:AD,30,0)</f>
        <v>80.062801932367151</v>
      </c>
    </row>
    <row r="299" spans="1:12" x14ac:dyDescent="0.3">
      <c r="A299" s="14" t="s">
        <v>1934</v>
      </c>
      <c r="B299" s="19" t="str">
        <f>VLOOKUP(A299,Sheet1!A:E,5,0)</f>
        <v>Lori Marshall</v>
      </c>
      <c r="C299" s="19" t="str">
        <f>VLOOKUP(A299,Sheet1!A:I,9,0)</f>
        <v>Female</v>
      </c>
      <c r="D299" s="19">
        <f>VLOOKUP(A299,Sheet1!A:K,11,0)</f>
        <v>49</v>
      </c>
      <c r="E299" s="19" t="str">
        <f>VLOOKUP(A299,Sheet1!A:M,13,0)</f>
        <v>South Korea</v>
      </c>
      <c r="F299" s="19" t="str">
        <f>VLOOKUP(A299,Sheet1!A:N,14,0)</f>
        <v>Korean</v>
      </c>
      <c r="G299" s="19" t="str">
        <f>VLOOKUP(A299,Sheet1!A:O,15,0)</f>
        <v>Mobile Apps</v>
      </c>
      <c r="H299" s="19">
        <f>VLOOKUP(A299,Sheet1!A:Q,17,0)</f>
        <v>24</v>
      </c>
      <c r="I299" s="20">
        <f>VLOOKUP(A299,Sheet1!A:V,22,0)</f>
        <v>100</v>
      </c>
      <c r="J299" s="21">
        <f>VLOOKUP(A299,Sheet1!A:X,24,0)</f>
        <v>3.6</v>
      </c>
      <c r="K299" s="19" t="str">
        <f>VLOOKUP(A299,Sheet1!A:AB,28,0)</f>
        <v>Yes</v>
      </c>
      <c r="L299" s="27">
        <f>VLOOKUP(A299,Sheet1!A:AD,30,0)</f>
        <v>80.927536231884062</v>
      </c>
    </row>
    <row r="300" spans="1:12" x14ac:dyDescent="0.3">
      <c r="A300" s="14" t="s">
        <v>474</v>
      </c>
      <c r="B300" s="19" t="str">
        <f>VLOOKUP(A300,Sheet1!A:E,5,0)</f>
        <v>Melissa Rich</v>
      </c>
      <c r="C300" s="19" t="str">
        <f>VLOOKUP(A300,Sheet1!A:I,9,0)</f>
        <v>Female</v>
      </c>
      <c r="D300" s="19">
        <f>VLOOKUP(A300,Sheet1!A:K,11,0)</f>
        <v>49</v>
      </c>
      <c r="E300" s="19" t="str">
        <f>VLOOKUP(A300,Sheet1!A:M,13,0)</f>
        <v>Mexico</v>
      </c>
      <c r="F300" s="19" t="str">
        <f>VLOOKUP(A300,Sheet1!A:N,14,0)</f>
        <v>Spanish</v>
      </c>
      <c r="G300" s="19" t="str">
        <f>VLOOKUP(A300,Sheet1!A:O,15,0)</f>
        <v>Graphic Design</v>
      </c>
      <c r="H300" s="19">
        <f>VLOOKUP(A300,Sheet1!A:Q,17,0)</f>
        <v>13</v>
      </c>
      <c r="I300" s="20">
        <f>VLOOKUP(A300,Sheet1!A:V,22,0)</f>
        <v>53.01899592944369</v>
      </c>
      <c r="J300" s="21">
        <f>VLOOKUP(A300,Sheet1!A:X,24,0)</f>
        <v>1.8</v>
      </c>
      <c r="K300" s="19" t="str">
        <f>VLOOKUP(A300,Sheet1!A:AB,28,0)</f>
        <v>No</v>
      </c>
      <c r="L300" s="27">
        <f>VLOOKUP(A300,Sheet1!A:AD,30,0)</f>
        <v>79.631500742942052</v>
      </c>
    </row>
    <row r="301" spans="1:12" x14ac:dyDescent="0.3">
      <c r="A301" s="14" t="s">
        <v>1269</v>
      </c>
      <c r="B301" s="19" t="str">
        <f>VLOOKUP(A301,Sheet1!A:E,5,0)</f>
        <v>Michele Duran</v>
      </c>
      <c r="C301" s="19" t="str">
        <f>VLOOKUP(A301,Sheet1!A:I,9,0)</f>
        <v>Female</v>
      </c>
      <c r="D301" s="19">
        <f>VLOOKUP(A301,Sheet1!A:K,11,0)</f>
        <v>49</v>
      </c>
      <c r="E301" s="19" t="str">
        <f>VLOOKUP(A301,Sheet1!A:M,13,0)</f>
        <v>Netherlands</v>
      </c>
      <c r="F301" s="19" t="str">
        <f>VLOOKUP(A301,Sheet1!A:N,14,0)</f>
        <v>Dutch</v>
      </c>
      <c r="G301" s="19" t="str">
        <f>VLOOKUP(A301,Sheet1!A:O,15,0)</f>
        <v>AI</v>
      </c>
      <c r="H301" s="19">
        <f>VLOOKUP(A301,Sheet1!A:Q,17,0)</f>
        <v>2</v>
      </c>
      <c r="I301" s="20">
        <f>VLOOKUP(A301,Sheet1!A:V,22,0)</f>
        <v>100</v>
      </c>
      <c r="J301" s="21">
        <f>VLOOKUP(A301,Sheet1!A:X,24,0)</f>
        <v>3.4</v>
      </c>
      <c r="K301" s="19" t="str">
        <f>VLOOKUP(A301,Sheet1!A:AB,28,0)</f>
        <v>Yes</v>
      </c>
      <c r="L301" s="27">
        <f>VLOOKUP(A301,Sheet1!A:AD,30,0)</f>
        <v>85</v>
      </c>
    </row>
    <row r="302" spans="1:12" x14ac:dyDescent="0.3">
      <c r="A302" s="14" t="s">
        <v>1447</v>
      </c>
      <c r="B302" s="19" t="str">
        <f>VLOOKUP(A302,Sheet1!A:E,5,0)</f>
        <v>Regina Dunn</v>
      </c>
      <c r="C302" s="19" t="str">
        <f>VLOOKUP(A302,Sheet1!A:I,9,0)</f>
        <v>Female</v>
      </c>
      <c r="D302" s="19">
        <f>VLOOKUP(A302,Sheet1!A:K,11,0)</f>
        <v>49</v>
      </c>
      <c r="E302" s="19" t="str">
        <f>VLOOKUP(A302,Sheet1!A:M,13,0)</f>
        <v>China</v>
      </c>
      <c r="F302" s="19" t="str">
        <f>VLOOKUP(A302,Sheet1!A:N,14,0)</f>
        <v>Mandarin</v>
      </c>
      <c r="G302" s="19" t="str">
        <f>VLOOKUP(A302,Sheet1!A:O,15,0)</f>
        <v>DevOps</v>
      </c>
      <c r="H302" s="19">
        <f>VLOOKUP(A302,Sheet1!A:Q,17,0)</f>
        <v>20</v>
      </c>
      <c r="I302" s="20">
        <f>VLOOKUP(A302,Sheet1!A:V,22,0)</f>
        <v>50</v>
      </c>
      <c r="J302" s="21">
        <f>VLOOKUP(A302,Sheet1!A:X,24,0)</f>
        <v>2.5</v>
      </c>
      <c r="K302" s="19" t="str">
        <f>VLOOKUP(A302,Sheet1!A:AB,28,0)</f>
        <v>No</v>
      </c>
      <c r="L302" s="27">
        <f>VLOOKUP(A302,Sheet1!A:AD,30,0)</f>
        <v>82</v>
      </c>
    </row>
    <row r="303" spans="1:12" x14ac:dyDescent="0.3">
      <c r="A303" s="14" t="s">
        <v>1913</v>
      </c>
      <c r="B303" s="19" t="str">
        <f>VLOOKUP(A303,Sheet1!A:E,5,0)</f>
        <v>Robert Evans</v>
      </c>
      <c r="C303" s="19" t="str">
        <f>VLOOKUP(A303,Sheet1!A:I,9,0)</f>
        <v>Male</v>
      </c>
      <c r="D303" s="19">
        <f>VLOOKUP(A303,Sheet1!A:K,11,0)</f>
        <v>49</v>
      </c>
      <c r="E303" s="19" t="str">
        <f>VLOOKUP(A303,Sheet1!A:M,13,0)</f>
        <v>South Africa</v>
      </c>
      <c r="F303" s="19" t="str">
        <f>VLOOKUP(A303,Sheet1!A:N,14,0)</f>
        <v>Afrikaans</v>
      </c>
      <c r="G303" s="19" t="str">
        <f>VLOOKUP(A303,Sheet1!A:O,15,0)</f>
        <v>Data Analysis</v>
      </c>
      <c r="H303" s="19">
        <f>VLOOKUP(A303,Sheet1!A:Q,17,0)</f>
        <v>13</v>
      </c>
      <c r="I303" s="20">
        <f>VLOOKUP(A303,Sheet1!A:V,22,0)</f>
        <v>30</v>
      </c>
      <c r="J303" s="21">
        <f>VLOOKUP(A303,Sheet1!A:X,24,0)</f>
        <v>2.3974358974358969</v>
      </c>
      <c r="K303" s="19" t="str">
        <f>VLOOKUP(A303,Sheet1!A:AB,28,0)</f>
        <v>Yes</v>
      </c>
      <c r="L303" s="27">
        <f>VLOOKUP(A303,Sheet1!A:AD,30,0)</f>
        <v>74</v>
      </c>
    </row>
    <row r="304" spans="1:12" x14ac:dyDescent="0.3">
      <c r="A304" s="14" t="s">
        <v>1832</v>
      </c>
      <c r="B304" s="19" t="str">
        <f>VLOOKUP(A304,Sheet1!A:E,5,0)</f>
        <v>Sarah Clarke</v>
      </c>
      <c r="C304" s="19" t="str">
        <f>VLOOKUP(A304,Sheet1!A:I,9,0)</f>
        <v>Female</v>
      </c>
      <c r="D304" s="19">
        <f>VLOOKUP(A304,Sheet1!A:K,11,0)</f>
        <v>49</v>
      </c>
      <c r="E304" s="19" t="str">
        <f>VLOOKUP(A304,Sheet1!A:M,13,0)</f>
        <v>Germany</v>
      </c>
      <c r="F304" s="19" t="str">
        <f>VLOOKUP(A304,Sheet1!A:N,14,0)</f>
        <v>German</v>
      </c>
      <c r="G304" s="19" t="str">
        <f>VLOOKUP(A304,Sheet1!A:O,15,0)</f>
        <v>Mobile Apps</v>
      </c>
      <c r="H304" s="19">
        <f>VLOOKUP(A304,Sheet1!A:Q,17,0)</f>
        <v>24</v>
      </c>
      <c r="I304" s="20">
        <f>VLOOKUP(A304,Sheet1!A:V,22,0)</f>
        <v>75</v>
      </c>
      <c r="J304" s="21">
        <f>VLOOKUP(A304,Sheet1!A:X,24,0)</f>
        <v>3</v>
      </c>
      <c r="K304" s="19" t="str">
        <f>VLOOKUP(A304,Sheet1!A:AB,28,0)</f>
        <v>Yes</v>
      </c>
      <c r="L304" s="27">
        <f>VLOOKUP(A304,Sheet1!A:AD,30,0)</f>
        <v>77</v>
      </c>
    </row>
    <row r="305" spans="1:12" x14ac:dyDescent="0.3">
      <c r="A305" s="14" t="s">
        <v>1644</v>
      </c>
      <c r="B305" s="19" t="str">
        <f>VLOOKUP(A305,Sheet1!A:E,5,0)</f>
        <v>Adam Clay</v>
      </c>
      <c r="C305" s="19" t="str">
        <f>VLOOKUP(A305,Sheet1!A:I,9,0)</f>
        <v>Male</v>
      </c>
      <c r="D305" s="19">
        <f>VLOOKUP(A305,Sheet1!A:K,11,0)</f>
        <v>48</v>
      </c>
      <c r="E305" s="19" t="str">
        <f>VLOOKUP(A305,Sheet1!A:M,13,0)</f>
        <v>Turkey</v>
      </c>
      <c r="F305" s="19" t="str">
        <f>VLOOKUP(A305,Sheet1!A:N,14,0)</f>
        <v>Turkish</v>
      </c>
      <c r="G305" s="19" t="str">
        <f>VLOOKUP(A305,Sheet1!A:O,15,0)</f>
        <v>Web Development</v>
      </c>
      <c r="H305" s="19">
        <f>VLOOKUP(A305,Sheet1!A:Q,17,0)</f>
        <v>19</v>
      </c>
      <c r="I305" s="20">
        <f>VLOOKUP(A305,Sheet1!A:V,22,0)</f>
        <v>40</v>
      </c>
      <c r="J305" s="21">
        <f>VLOOKUP(A305,Sheet1!A:X,24,0)</f>
        <v>1.5</v>
      </c>
      <c r="K305" s="19" t="str">
        <f>VLOOKUP(A305,Sheet1!A:AB,28,0)</f>
        <v>No</v>
      </c>
      <c r="L305" s="27">
        <f>VLOOKUP(A305,Sheet1!A:AD,30,0)</f>
        <v>87</v>
      </c>
    </row>
    <row r="306" spans="1:12" x14ac:dyDescent="0.3">
      <c r="A306" s="14" t="s">
        <v>1066</v>
      </c>
      <c r="B306" s="19" t="str">
        <f>VLOOKUP(A306,Sheet1!A:E,5,0)</f>
        <v>Amy Lee</v>
      </c>
      <c r="C306" s="19" t="str">
        <f>VLOOKUP(A306,Sheet1!A:I,9,0)</f>
        <v>Female</v>
      </c>
      <c r="D306" s="19">
        <f>VLOOKUP(A306,Sheet1!A:K,11,0)</f>
        <v>48</v>
      </c>
      <c r="E306" s="19" t="str">
        <f>VLOOKUP(A306,Sheet1!A:M,13,0)</f>
        <v>Russia</v>
      </c>
      <c r="F306" s="19" t="str">
        <f>VLOOKUP(A306,Sheet1!A:N,14,0)</f>
        <v>Russian</v>
      </c>
      <c r="G306" s="19" t="str">
        <f>VLOOKUP(A306,Sheet1!A:O,15,0)</f>
        <v>Blockchain Development</v>
      </c>
      <c r="H306" s="19">
        <f>VLOOKUP(A306,Sheet1!A:Q,17,0)</f>
        <v>13</v>
      </c>
      <c r="I306" s="20">
        <f>VLOOKUP(A306,Sheet1!A:V,22,0)</f>
        <v>100</v>
      </c>
      <c r="J306" s="21">
        <f>VLOOKUP(A306,Sheet1!A:X,24,0)</f>
        <v>2.7</v>
      </c>
      <c r="K306" s="19" t="str">
        <f>VLOOKUP(A306,Sheet1!A:AB,28,0)</f>
        <v>Unknown</v>
      </c>
      <c r="L306" s="27">
        <f>VLOOKUP(A306,Sheet1!A:AD,30,0)</f>
        <v>62</v>
      </c>
    </row>
    <row r="307" spans="1:12" x14ac:dyDescent="0.3">
      <c r="A307" s="14" t="s">
        <v>705</v>
      </c>
      <c r="B307" s="19" t="str">
        <f>VLOOKUP(A307,Sheet1!A:E,5,0)</f>
        <v>Ashley Salazar</v>
      </c>
      <c r="C307" s="19" t="str">
        <f>VLOOKUP(A307,Sheet1!A:I,9,0)</f>
        <v>Female</v>
      </c>
      <c r="D307" s="19">
        <f>VLOOKUP(A307,Sheet1!A:K,11,0)</f>
        <v>48</v>
      </c>
      <c r="E307" s="19" t="str">
        <f>VLOOKUP(A307,Sheet1!A:M,13,0)</f>
        <v>China</v>
      </c>
      <c r="F307" s="19" t="str">
        <f>VLOOKUP(A307,Sheet1!A:N,14,0)</f>
        <v>Mandarin</v>
      </c>
      <c r="G307" s="19" t="str">
        <f>VLOOKUP(A307,Sheet1!A:O,15,0)</f>
        <v>Data Analysis</v>
      </c>
      <c r="H307" s="19">
        <f>VLOOKUP(A307,Sheet1!A:Q,17,0)</f>
        <v>2</v>
      </c>
      <c r="I307" s="20">
        <f>VLOOKUP(A307,Sheet1!A:V,22,0)</f>
        <v>75</v>
      </c>
      <c r="J307" s="21">
        <f>VLOOKUP(A307,Sheet1!A:X,24,0)</f>
        <v>1.6</v>
      </c>
      <c r="K307" s="19" t="str">
        <f>VLOOKUP(A307,Sheet1!A:AB,28,0)</f>
        <v>No</v>
      </c>
      <c r="L307" s="27">
        <f>VLOOKUP(A307,Sheet1!A:AD,30,0)</f>
        <v>67</v>
      </c>
    </row>
    <row r="308" spans="1:12" x14ac:dyDescent="0.3">
      <c r="A308" s="14" t="s">
        <v>1856</v>
      </c>
      <c r="B308" s="19" t="str">
        <f>VLOOKUP(A308,Sheet1!A:E,5,0)</f>
        <v>Beth Huff</v>
      </c>
      <c r="C308" s="19" t="str">
        <f>VLOOKUP(A308,Sheet1!A:I,9,0)</f>
        <v>Female</v>
      </c>
      <c r="D308" s="19">
        <f>VLOOKUP(A308,Sheet1!A:K,11,0)</f>
        <v>48</v>
      </c>
      <c r="E308" s="19" t="str">
        <f>VLOOKUP(A308,Sheet1!A:M,13,0)</f>
        <v>Canada</v>
      </c>
      <c r="F308" s="19" t="str">
        <f>VLOOKUP(A308,Sheet1!A:N,14,0)</f>
        <v>English</v>
      </c>
      <c r="G308" s="19" t="str">
        <f>VLOOKUP(A308,Sheet1!A:O,15,0)</f>
        <v>Cybersecurity</v>
      </c>
      <c r="H308" s="19">
        <f>VLOOKUP(A308,Sheet1!A:Q,17,0)</f>
        <v>24</v>
      </c>
      <c r="I308" s="20">
        <f>VLOOKUP(A308,Sheet1!A:V,22,0)</f>
        <v>100</v>
      </c>
      <c r="J308" s="21">
        <f>VLOOKUP(A308,Sheet1!A:X,24,0)</f>
        <v>4.8</v>
      </c>
      <c r="K308" s="19" t="str">
        <f>VLOOKUP(A308,Sheet1!A:AB,28,0)</f>
        <v>Yes</v>
      </c>
      <c r="L308" s="27">
        <f>VLOOKUP(A308,Sheet1!A:AD,30,0)</f>
        <v>84</v>
      </c>
    </row>
    <row r="309" spans="1:12" x14ac:dyDescent="0.3">
      <c r="A309" s="14" t="s">
        <v>2048</v>
      </c>
      <c r="B309" s="19" t="str">
        <f>VLOOKUP(A309,Sheet1!A:E,5,0)</f>
        <v>Blake Newton</v>
      </c>
      <c r="C309" s="19" t="str">
        <f>VLOOKUP(A309,Sheet1!A:I,9,0)</f>
        <v>Male</v>
      </c>
      <c r="D309" s="19">
        <f>VLOOKUP(A309,Sheet1!A:K,11,0)</f>
        <v>48</v>
      </c>
      <c r="E309" s="19" t="str">
        <f>VLOOKUP(A309,Sheet1!A:M,13,0)</f>
        <v>Canada</v>
      </c>
      <c r="F309" s="19" t="str">
        <f>VLOOKUP(A309,Sheet1!A:N,14,0)</f>
        <v>English</v>
      </c>
      <c r="G309" s="19" t="str">
        <f>VLOOKUP(A309,Sheet1!A:O,15,0)</f>
        <v>Data Analysis</v>
      </c>
      <c r="H309" s="19">
        <f>VLOOKUP(A309,Sheet1!A:Q,17,0)</f>
        <v>18</v>
      </c>
      <c r="I309" s="20">
        <f>VLOOKUP(A309,Sheet1!A:V,22,0)</f>
        <v>40</v>
      </c>
      <c r="J309" s="21">
        <f>VLOOKUP(A309,Sheet1!A:X,24,0)</f>
        <v>3.9</v>
      </c>
      <c r="K309" s="19" t="str">
        <f>VLOOKUP(A309,Sheet1!A:AB,28,0)</f>
        <v>Unknown</v>
      </c>
      <c r="L309" s="27">
        <f>VLOOKUP(A309,Sheet1!A:AD,30,0)</f>
        <v>79.21052631578948</v>
      </c>
    </row>
    <row r="310" spans="1:12" x14ac:dyDescent="0.3">
      <c r="A310" s="14" t="s">
        <v>1620</v>
      </c>
      <c r="B310" s="19" t="str">
        <f>VLOOKUP(A310,Sheet1!A:E,5,0)</f>
        <v>Bryan Long</v>
      </c>
      <c r="C310" s="19" t="str">
        <f>VLOOKUP(A310,Sheet1!A:I,9,0)</f>
        <v>Male</v>
      </c>
      <c r="D310" s="19">
        <f>VLOOKUP(A310,Sheet1!A:K,11,0)</f>
        <v>48</v>
      </c>
      <c r="E310" s="19" t="str">
        <f>VLOOKUP(A310,Sheet1!A:M,13,0)</f>
        <v>Australia</v>
      </c>
      <c r="F310" s="19" t="str">
        <f>VLOOKUP(A310,Sheet1!A:N,14,0)</f>
        <v>English</v>
      </c>
      <c r="G310" s="19" t="str">
        <f>VLOOKUP(A310,Sheet1!A:O,15,0)</f>
        <v>Graphic Design</v>
      </c>
      <c r="H310" s="19">
        <f>VLOOKUP(A310,Sheet1!A:Q,17,0)</f>
        <v>24</v>
      </c>
      <c r="I310" s="20">
        <f>VLOOKUP(A310,Sheet1!A:V,22,0)</f>
        <v>40</v>
      </c>
      <c r="J310" s="21">
        <f>VLOOKUP(A310,Sheet1!A:X,24,0)</f>
        <v>2.2000000000000002</v>
      </c>
      <c r="K310" s="19" t="str">
        <f>VLOOKUP(A310,Sheet1!A:AB,28,0)</f>
        <v>No</v>
      </c>
      <c r="L310" s="27">
        <f>VLOOKUP(A310,Sheet1!A:AD,30,0)</f>
        <v>67</v>
      </c>
    </row>
    <row r="311" spans="1:12" x14ac:dyDescent="0.3">
      <c r="A311" s="14" t="s">
        <v>340</v>
      </c>
      <c r="B311" s="19" t="str">
        <f>VLOOKUP(A311,Sheet1!A:E,5,0)</f>
        <v>Christopher Nichols</v>
      </c>
      <c r="C311" s="19" t="str">
        <f>VLOOKUP(A311,Sheet1!A:I,9,0)</f>
        <v>Male</v>
      </c>
      <c r="D311" s="19">
        <f>VLOOKUP(A311,Sheet1!A:K,11,0)</f>
        <v>48</v>
      </c>
      <c r="E311" s="19" t="str">
        <f>VLOOKUP(A311,Sheet1!A:M,13,0)</f>
        <v>Canada</v>
      </c>
      <c r="F311" s="19" t="str">
        <f>VLOOKUP(A311,Sheet1!A:N,14,0)</f>
        <v>English</v>
      </c>
      <c r="G311" s="19" t="str">
        <f>VLOOKUP(A311,Sheet1!A:O,15,0)</f>
        <v>Machine Learning</v>
      </c>
      <c r="H311" s="19">
        <f>VLOOKUP(A311,Sheet1!A:Q,17,0)</f>
        <v>15</v>
      </c>
      <c r="I311" s="20">
        <f>VLOOKUP(A311,Sheet1!A:V,22,0)</f>
        <v>50</v>
      </c>
      <c r="J311" s="21">
        <f>VLOOKUP(A311,Sheet1!A:X,24,0)</f>
        <v>1</v>
      </c>
      <c r="K311" s="19" t="str">
        <f>VLOOKUP(A311,Sheet1!A:AB,28,0)</f>
        <v>Yes</v>
      </c>
      <c r="L311" s="27">
        <f>VLOOKUP(A311,Sheet1!A:AD,30,0)</f>
        <v>64</v>
      </c>
    </row>
    <row r="312" spans="1:12" x14ac:dyDescent="0.3">
      <c r="A312" s="14" t="s">
        <v>1203</v>
      </c>
      <c r="B312" s="19" t="str">
        <f>VLOOKUP(A312,Sheet1!A:E,5,0)</f>
        <v>David Spence</v>
      </c>
      <c r="C312" s="19" t="str">
        <f>VLOOKUP(A312,Sheet1!A:I,9,0)</f>
        <v>Male</v>
      </c>
      <c r="D312" s="19">
        <f>VLOOKUP(A312,Sheet1!A:K,11,0)</f>
        <v>48</v>
      </c>
      <c r="E312" s="19" t="str">
        <f>VLOOKUP(A312,Sheet1!A:M,13,0)</f>
        <v>South Korea</v>
      </c>
      <c r="F312" s="19" t="str">
        <f>VLOOKUP(A312,Sheet1!A:N,14,0)</f>
        <v>Korean</v>
      </c>
      <c r="G312" s="19" t="str">
        <f>VLOOKUP(A312,Sheet1!A:O,15,0)</f>
        <v>Cybersecurity</v>
      </c>
      <c r="H312" s="19">
        <f>VLOOKUP(A312,Sheet1!A:Q,17,0)</f>
        <v>21</v>
      </c>
      <c r="I312" s="20">
        <f>VLOOKUP(A312,Sheet1!A:V,22,0)</f>
        <v>40</v>
      </c>
      <c r="J312" s="21">
        <f>VLOOKUP(A312,Sheet1!A:X,24,0)</f>
        <v>0</v>
      </c>
      <c r="K312" s="19" t="str">
        <f>VLOOKUP(A312,Sheet1!A:AB,28,0)</f>
        <v>Yes</v>
      </c>
      <c r="L312" s="27">
        <f>VLOOKUP(A312,Sheet1!A:AD,30,0)</f>
        <v>79.924528301886795</v>
      </c>
    </row>
    <row r="313" spans="1:12" x14ac:dyDescent="0.3">
      <c r="A313" s="14" t="s">
        <v>1624</v>
      </c>
      <c r="B313" s="19" t="str">
        <f>VLOOKUP(A313,Sheet1!A:E,5,0)</f>
        <v>Diana Raymond</v>
      </c>
      <c r="C313" s="19" t="str">
        <f>VLOOKUP(A313,Sheet1!A:I,9,0)</f>
        <v>Female</v>
      </c>
      <c r="D313" s="19">
        <f>VLOOKUP(A313,Sheet1!A:K,11,0)</f>
        <v>48</v>
      </c>
      <c r="E313" s="19" t="str">
        <f>VLOOKUP(A313,Sheet1!A:M,13,0)</f>
        <v>Germany</v>
      </c>
      <c r="F313" s="19" t="str">
        <f>VLOOKUP(A313,Sheet1!A:N,14,0)</f>
        <v>German</v>
      </c>
      <c r="G313" s="19" t="str">
        <f>VLOOKUP(A313,Sheet1!A:O,15,0)</f>
        <v>Mobile Apps</v>
      </c>
      <c r="H313" s="19">
        <f>VLOOKUP(A313,Sheet1!A:Q,17,0)</f>
        <v>28</v>
      </c>
      <c r="I313" s="20">
        <f>VLOOKUP(A313,Sheet1!A:V,22,0)</f>
        <v>30</v>
      </c>
      <c r="J313" s="21">
        <f>VLOOKUP(A313,Sheet1!A:X,24,0)</f>
        <v>4.9000000000000004</v>
      </c>
      <c r="K313" s="19" t="str">
        <f>VLOOKUP(A313,Sheet1!A:AB,28,0)</f>
        <v>No</v>
      </c>
      <c r="L313" s="27">
        <f>VLOOKUP(A313,Sheet1!A:AD,30,0)</f>
        <v>77</v>
      </c>
    </row>
    <row r="314" spans="1:12" x14ac:dyDescent="0.3">
      <c r="A314" s="14" t="s">
        <v>1706</v>
      </c>
      <c r="B314" s="19" t="str">
        <f>VLOOKUP(A314,Sheet1!A:E,5,0)</f>
        <v>Dr. Rhonda</v>
      </c>
      <c r="C314" s="19" t="str">
        <f>VLOOKUP(A314,Sheet1!A:I,9,0)</f>
        <v>Female</v>
      </c>
      <c r="D314" s="19">
        <f>VLOOKUP(A314,Sheet1!A:K,11,0)</f>
        <v>48</v>
      </c>
      <c r="E314" s="19" t="str">
        <f>VLOOKUP(A314,Sheet1!A:M,13,0)</f>
        <v>Australia</v>
      </c>
      <c r="F314" s="19" t="str">
        <f>VLOOKUP(A314,Sheet1!A:N,14,0)</f>
        <v>English</v>
      </c>
      <c r="G314" s="19" t="str">
        <f>VLOOKUP(A314,Sheet1!A:O,15,0)</f>
        <v>Cybersecurity</v>
      </c>
      <c r="H314" s="19">
        <f>VLOOKUP(A314,Sheet1!A:Q,17,0)</f>
        <v>5</v>
      </c>
      <c r="I314" s="20">
        <f>VLOOKUP(A314,Sheet1!A:V,22,0)</f>
        <v>100</v>
      </c>
      <c r="J314" s="21">
        <f>VLOOKUP(A314,Sheet1!A:X,24,0)</f>
        <v>1.8</v>
      </c>
      <c r="K314" s="19" t="str">
        <f>VLOOKUP(A314,Sheet1!A:AB,28,0)</f>
        <v>Yes</v>
      </c>
      <c r="L314" s="27">
        <f>VLOOKUP(A314,Sheet1!A:AD,30,0)</f>
        <v>97</v>
      </c>
    </row>
    <row r="315" spans="1:12" x14ac:dyDescent="0.3">
      <c r="A315" s="14" t="s">
        <v>1449</v>
      </c>
      <c r="B315" s="19" t="str">
        <f>VLOOKUP(A315,Sheet1!A:E,5,0)</f>
        <v>Ernest Cole</v>
      </c>
      <c r="C315" s="19" t="str">
        <f>VLOOKUP(A315,Sheet1!A:I,9,0)</f>
        <v>Male</v>
      </c>
      <c r="D315" s="19">
        <f>VLOOKUP(A315,Sheet1!A:K,11,0)</f>
        <v>48</v>
      </c>
      <c r="E315" s="19" t="str">
        <f>VLOOKUP(A315,Sheet1!A:M,13,0)</f>
        <v>France</v>
      </c>
      <c r="F315" s="19" t="str">
        <f>VLOOKUP(A315,Sheet1!A:N,14,0)</f>
        <v>French</v>
      </c>
      <c r="G315" s="19" t="str">
        <f>VLOOKUP(A315,Sheet1!A:O,15,0)</f>
        <v>AI</v>
      </c>
      <c r="H315" s="19">
        <f>VLOOKUP(A315,Sheet1!A:Q,17,0)</f>
        <v>10</v>
      </c>
      <c r="I315" s="20">
        <f>VLOOKUP(A315,Sheet1!A:V,22,0)</f>
        <v>53.350168350168353</v>
      </c>
      <c r="J315" s="21">
        <f>VLOOKUP(A315,Sheet1!A:X,24,0)</f>
        <v>3.1</v>
      </c>
      <c r="K315" s="19" t="str">
        <f>VLOOKUP(A315,Sheet1!A:AB,28,0)</f>
        <v>No</v>
      </c>
      <c r="L315" s="27">
        <f>VLOOKUP(A315,Sheet1!A:AD,30,0)</f>
        <v>80.166666666666671</v>
      </c>
    </row>
    <row r="316" spans="1:12" x14ac:dyDescent="0.3">
      <c r="A316" s="14" t="s">
        <v>619</v>
      </c>
      <c r="B316" s="19" t="str">
        <f>VLOOKUP(A316,Sheet1!A:E,5,0)</f>
        <v>Jacob Joseph</v>
      </c>
      <c r="C316" s="19" t="str">
        <f>VLOOKUP(A316,Sheet1!A:I,9,0)</f>
        <v>Male</v>
      </c>
      <c r="D316" s="19">
        <f>VLOOKUP(A316,Sheet1!A:K,11,0)</f>
        <v>48</v>
      </c>
      <c r="E316" s="19" t="str">
        <f>VLOOKUP(A316,Sheet1!A:M,13,0)</f>
        <v>Italy</v>
      </c>
      <c r="F316" s="19" t="str">
        <f>VLOOKUP(A316,Sheet1!A:N,14,0)</f>
        <v>Italian</v>
      </c>
      <c r="G316" s="19" t="str">
        <f>VLOOKUP(A316,Sheet1!A:O,15,0)</f>
        <v>Web Development</v>
      </c>
      <c r="H316" s="19">
        <f>VLOOKUP(A316,Sheet1!A:Q,17,0)</f>
        <v>23</v>
      </c>
      <c r="I316" s="20">
        <f>VLOOKUP(A316,Sheet1!A:V,22,0)</f>
        <v>52.660208643815203</v>
      </c>
      <c r="J316" s="21">
        <f>VLOOKUP(A316,Sheet1!A:X,24,0)</f>
        <v>2.1</v>
      </c>
      <c r="K316" s="19" t="str">
        <f>VLOOKUP(A316,Sheet1!A:AB,28,0)</f>
        <v>No</v>
      </c>
      <c r="L316" s="27">
        <f>VLOOKUP(A316,Sheet1!A:AD,30,0)</f>
        <v>68</v>
      </c>
    </row>
    <row r="317" spans="1:12" x14ac:dyDescent="0.3">
      <c r="A317" s="14" t="s">
        <v>1794</v>
      </c>
      <c r="B317" s="19" t="str">
        <f>VLOOKUP(A317,Sheet1!A:E,5,0)</f>
        <v>Jason Johnson</v>
      </c>
      <c r="C317" s="19" t="str">
        <f>VLOOKUP(A317,Sheet1!A:I,9,0)</f>
        <v>Male</v>
      </c>
      <c r="D317" s="19">
        <f>VLOOKUP(A317,Sheet1!A:K,11,0)</f>
        <v>48</v>
      </c>
      <c r="E317" s="19" t="str">
        <f>VLOOKUP(A317,Sheet1!A:M,13,0)</f>
        <v>Spain</v>
      </c>
      <c r="F317" s="19" t="str">
        <f>VLOOKUP(A317,Sheet1!A:N,14,0)</f>
        <v>Spanish</v>
      </c>
      <c r="G317" s="19" t="str">
        <f>VLOOKUP(A317,Sheet1!A:O,15,0)</f>
        <v>Graphic Design</v>
      </c>
      <c r="H317" s="19">
        <f>VLOOKUP(A317,Sheet1!A:Q,17,0)</f>
        <v>16</v>
      </c>
      <c r="I317" s="20">
        <f>VLOOKUP(A317,Sheet1!A:V,22,0)</f>
        <v>30</v>
      </c>
      <c r="J317" s="21">
        <f>VLOOKUP(A317,Sheet1!A:X,24,0)</f>
        <v>2.4746268656716413</v>
      </c>
      <c r="K317" s="19" t="str">
        <f>VLOOKUP(A317,Sheet1!A:AB,28,0)</f>
        <v>No</v>
      </c>
      <c r="L317" s="27">
        <f>VLOOKUP(A317,Sheet1!A:AD,30,0)</f>
        <v>97</v>
      </c>
    </row>
    <row r="318" spans="1:12" x14ac:dyDescent="0.3">
      <c r="A318" s="14" t="s">
        <v>472</v>
      </c>
      <c r="B318" s="19" t="str">
        <f>VLOOKUP(A318,Sheet1!A:E,5,0)</f>
        <v>Jesse Cochran</v>
      </c>
      <c r="C318" s="19" t="str">
        <f>VLOOKUP(A318,Sheet1!A:I,9,0)</f>
        <v>Male</v>
      </c>
      <c r="D318" s="19">
        <f>VLOOKUP(A318,Sheet1!A:K,11,0)</f>
        <v>48</v>
      </c>
      <c r="E318" s="19" t="str">
        <f>VLOOKUP(A318,Sheet1!A:M,13,0)</f>
        <v>Brazil</v>
      </c>
      <c r="F318" s="19" t="str">
        <f>VLOOKUP(A318,Sheet1!A:N,14,0)</f>
        <v>Portuguese</v>
      </c>
      <c r="G318" s="19" t="str">
        <f>VLOOKUP(A318,Sheet1!A:O,15,0)</f>
        <v>Machine Learning</v>
      </c>
      <c r="H318" s="19">
        <f>VLOOKUP(A318,Sheet1!A:Q,17,0)</f>
        <v>18</v>
      </c>
      <c r="I318" s="20">
        <f>VLOOKUP(A318,Sheet1!A:V,22,0)</f>
        <v>40</v>
      </c>
      <c r="J318" s="21">
        <f>VLOOKUP(A318,Sheet1!A:X,24,0)</f>
        <v>2.5491059147180173</v>
      </c>
      <c r="K318" s="19" t="str">
        <f>VLOOKUP(A318,Sheet1!A:AB,28,0)</f>
        <v>Yes</v>
      </c>
      <c r="L318" s="27">
        <f>VLOOKUP(A318,Sheet1!A:AD,30,0)</f>
        <v>88</v>
      </c>
    </row>
    <row r="319" spans="1:12" x14ac:dyDescent="0.3">
      <c r="A319" s="14" t="s">
        <v>875</v>
      </c>
      <c r="B319" s="19" t="str">
        <f>VLOOKUP(A319,Sheet1!A:E,5,0)</f>
        <v>Joanne Reyes</v>
      </c>
      <c r="C319" s="19" t="str">
        <f>VLOOKUP(A319,Sheet1!A:I,9,0)</f>
        <v>Female</v>
      </c>
      <c r="D319" s="19">
        <f>VLOOKUP(A319,Sheet1!A:K,11,0)</f>
        <v>48</v>
      </c>
      <c r="E319" s="19" t="str">
        <f>VLOOKUP(A319,Sheet1!A:M,13,0)</f>
        <v>South Africa</v>
      </c>
      <c r="F319" s="19" t="str">
        <f>VLOOKUP(A319,Sheet1!A:N,14,0)</f>
        <v>Afrikaans</v>
      </c>
      <c r="G319" s="19" t="str">
        <f>VLOOKUP(A319,Sheet1!A:O,15,0)</f>
        <v>Data Analysis</v>
      </c>
      <c r="H319" s="19">
        <f>VLOOKUP(A319,Sheet1!A:Q,17,0)</f>
        <v>21</v>
      </c>
      <c r="I319" s="20">
        <f>VLOOKUP(A319,Sheet1!A:V,22,0)</f>
        <v>40</v>
      </c>
      <c r="J319" s="21">
        <f>VLOOKUP(A319,Sheet1!A:X,24,0)</f>
        <v>2.2999999999999998</v>
      </c>
      <c r="K319" s="19" t="str">
        <f>VLOOKUP(A319,Sheet1!A:AB,28,0)</f>
        <v>No</v>
      </c>
      <c r="L319" s="27">
        <f>VLOOKUP(A319,Sheet1!A:AD,30,0)</f>
        <v>79.467455621301781</v>
      </c>
    </row>
    <row r="320" spans="1:12" x14ac:dyDescent="0.3">
      <c r="A320" s="14" t="s">
        <v>741</v>
      </c>
      <c r="B320" s="19" t="str">
        <f>VLOOKUP(A320,Sheet1!A:E,5,0)</f>
        <v>Justin Johnson</v>
      </c>
      <c r="C320" s="19" t="str">
        <f>VLOOKUP(A320,Sheet1!A:I,9,0)</f>
        <v>Male</v>
      </c>
      <c r="D320" s="19">
        <f>VLOOKUP(A320,Sheet1!A:K,11,0)</f>
        <v>48</v>
      </c>
      <c r="E320" s="19" t="str">
        <f>VLOOKUP(A320,Sheet1!A:M,13,0)</f>
        <v>India</v>
      </c>
      <c r="F320" s="19" t="str">
        <f>VLOOKUP(A320,Sheet1!A:N,14,0)</f>
        <v>Hindi</v>
      </c>
      <c r="G320" s="19" t="str">
        <f>VLOOKUP(A320,Sheet1!A:O,15,0)</f>
        <v>Cybersecurity</v>
      </c>
      <c r="H320" s="19">
        <f>VLOOKUP(A320,Sheet1!A:Q,17,0)</f>
        <v>18</v>
      </c>
      <c r="I320" s="20">
        <f>VLOOKUP(A320,Sheet1!A:V,22,0)</f>
        <v>50</v>
      </c>
      <c r="J320" s="21">
        <f>VLOOKUP(A320,Sheet1!A:X,24,0)</f>
        <v>0</v>
      </c>
      <c r="K320" s="19" t="str">
        <f>VLOOKUP(A320,Sheet1!A:AB,28,0)</f>
        <v>Yes</v>
      </c>
      <c r="L320" s="27">
        <f>VLOOKUP(A320,Sheet1!A:AD,30,0)</f>
        <v>64</v>
      </c>
    </row>
    <row r="321" spans="1:12" x14ac:dyDescent="0.3">
      <c r="A321" s="14" t="s">
        <v>657</v>
      </c>
      <c r="B321" s="19" t="str">
        <f>VLOOKUP(A321,Sheet1!A:E,5,0)</f>
        <v>Kelly Jones</v>
      </c>
      <c r="C321" s="19" t="str">
        <f>VLOOKUP(A321,Sheet1!A:I,9,0)</f>
        <v>Female</v>
      </c>
      <c r="D321" s="19">
        <f>VLOOKUP(A321,Sheet1!A:K,11,0)</f>
        <v>48</v>
      </c>
      <c r="E321" s="19" t="str">
        <f>VLOOKUP(A321,Sheet1!A:M,13,0)</f>
        <v>India</v>
      </c>
      <c r="F321" s="19" t="str">
        <f>VLOOKUP(A321,Sheet1!A:N,14,0)</f>
        <v>Hindi</v>
      </c>
      <c r="G321" s="19" t="str">
        <f>VLOOKUP(A321,Sheet1!A:O,15,0)</f>
        <v>Mobile Apps</v>
      </c>
      <c r="H321" s="19">
        <f>VLOOKUP(A321,Sheet1!A:Q,17,0)</f>
        <v>6</v>
      </c>
      <c r="I321" s="20">
        <f>VLOOKUP(A321,Sheet1!A:V,22,0)</f>
        <v>30</v>
      </c>
      <c r="J321" s="21">
        <f>VLOOKUP(A321,Sheet1!A:X,24,0)</f>
        <v>2.551397515527948</v>
      </c>
      <c r="K321" s="19" t="str">
        <f>VLOOKUP(A321,Sheet1!A:AB,28,0)</f>
        <v>No</v>
      </c>
      <c r="L321" s="27">
        <f>VLOOKUP(A321,Sheet1!A:AD,30,0)</f>
        <v>96</v>
      </c>
    </row>
    <row r="322" spans="1:12" x14ac:dyDescent="0.3">
      <c r="A322" s="14" t="s">
        <v>1213</v>
      </c>
      <c r="B322" s="19" t="str">
        <f>VLOOKUP(A322,Sheet1!A:E,5,0)</f>
        <v>Kimberly Fitzgerald</v>
      </c>
      <c r="C322" s="19" t="str">
        <f>VLOOKUP(A322,Sheet1!A:I,9,0)</f>
        <v>Female</v>
      </c>
      <c r="D322" s="19">
        <f>VLOOKUP(A322,Sheet1!A:K,11,0)</f>
        <v>48</v>
      </c>
      <c r="E322" s="19" t="str">
        <f>VLOOKUP(A322,Sheet1!A:M,13,0)</f>
        <v>Egypt</v>
      </c>
      <c r="F322" s="19" t="str">
        <f>VLOOKUP(A322,Sheet1!A:N,14,0)</f>
        <v>Arabic</v>
      </c>
      <c r="G322" s="19" t="str">
        <f>VLOOKUP(A322,Sheet1!A:O,15,0)</f>
        <v>Graphic Design</v>
      </c>
      <c r="H322" s="19">
        <f>VLOOKUP(A322,Sheet1!A:Q,17,0)</f>
        <v>21</v>
      </c>
      <c r="I322" s="20">
        <f>VLOOKUP(A322,Sheet1!A:V,22,0)</f>
        <v>30</v>
      </c>
      <c r="J322" s="21">
        <f>VLOOKUP(A322,Sheet1!A:X,24,0)</f>
        <v>1.6</v>
      </c>
      <c r="K322" s="19" t="str">
        <f>VLOOKUP(A322,Sheet1!A:AB,28,0)</f>
        <v>Yes</v>
      </c>
      <c r="L322" s="27">
        <f>VLOOKUP(A322,Sheet1!A:AD,30,0)</f>
        <v>67</v>
      </c>
    </row>
    <row r="323" spans="1:12" x14ac:dyDescent="0.3">
      <c r="A323" s="14" t="s">
        <v>319</v>
      </c>
      <c r="B323" s="19" t="str">
        <f>VLOOKUP(A323,Sheet1!A:E,5,0)</f>
        <v>Leah Williams</v>
      </c>
      <c r="C323" s="19" t="str">
        <f>VLOOKUP(A323,Sheet1!A:I,9,0)</f>
        <v>Female</v>
      </c>
      <c r="D323" s="19">
        <f>VLOOKUP(A323,Sheet1!A:K,11,0)</f>
        <v>48</v>
      </c>
      <c r="E323" s="19" t="str">
        <f>VLOOKUP(A323,Sheet1!A:M,13,0)</f>
        <v>Argentina</v>
      </c>
      <c r="F323" s="19" t="str">
        <f>VLOOKUP(A323,Sheet1!A:N,14,0)</f>
        <v>Spanish</v>
      </c>
      <c r="G323" s="19" t="str">
        <f>VLOOKUP(A323,Sheet1!A:O,15,0)</f>
        <v>Machine Learning</v>
      </c>
      <c r="H323" s="19">
        <f>VLOOKUP(A323,Sheet1!A:Q,17,0)</f>
        <v>6</v>
      </c>
      <c r="I323" s="20">
        <f>VLOOKUP(A323,Sheet1!A:V,22,0)</f>
        <v>75</v>
      </c>
      <c r="J323" s="21">
        <f>VLOOKUP(A323,Sheet1!A:X,24,0)</f>
        <v>2.5</v>
      </c>
      <c r="K323" s="19" t="str">
        <f>VLOOKUP(A323,Sheet1!A:AB,28,0)</f>
        <v>Unknown</v>
      </c>
      <c r="L323" s="27">
        <f>VLOOKUP(A323,Sheet1!A:AD,30,0)</f>
        <v>92</v>
      </c>
    </row>
    <row r="324" spans="1:12" x14ac:dyDescent="0.3">
      <c r="A324" s="14" t="s">
        <v>940</v>
      </c>
      <c r="B324" s="19" t="str">
        <f>VLOOKUP(A324,Sheet1!A:E,5,0)</f>
        <v>Linda Schultz</v>
      </c>
      <c r="C324" s="19" t="str">
        <f>VLOOKUP(A324,Sheet1!A:I,9,0)</f>
        <v>Female</v>
      </c>
      <c r="D324" s="19">
        <f>VLOOKUP(A324,Sheet1!A:K,11,0)</f>
        <v>48</v>
      </c>
      <c r="E324" s="19" t="str">
        <f>VLOOKUP(A324,Sheet1!A:M,13,0)</f>
        <v>Argentina</v>
      </c>
      <c r="F324" s="19" t="str">
        <f>VLOOKUP(A324,Sheet1!A:N,14,0)</f>
        <v>Spanish</v>
      </c>
      <c r="G324" s="19" t="str">
        <f>VLOOKUP(A324,Sheet1!A:O,15,0)</f>
        <v>Mobile Apps</v>
      </c>
      <c r="H324" s="19">
        <f>VLOOKUP(A324,Sheet1!A:Q,17,0)</f>
        <v>5</v>
      </c>
      <c r="I324" s="20">
        <f>VLOOKUP(A324,Sheet1!A:V,22,0)</f>
        <v>30</v>
      </c>
      <c r="J324" s="21">
        <f>VLOOKUP(A324,Sheet1!A:X,24,0)</f>
        <v>1.5</v>
      </c>
      <c r="K324" s="19" t="str">
        <f>VLOOKUP(A324,Sheet1!A:AB,28,0)</f>
        <v>No</v>
      </c>
      <c r="L324" s="27">
        <f>VLOOKUP(A324,Sheet1!A:AD,30,0)</f>
        <v>79.471816283924838</v>
      </c>
    </row>
    <row r="325" spans="1:12" x14ac:dyDescent="0.3">
      <c r="A325" s="14" t="s">
        <v>795</v>
      </c>
      <c r="B325" s="19" t="str">
        <f>VLOOKUP(A325,Sheet1!A:E,5,0)</f>
        <v>Matthew Phillips</v>
      </c>
      <c r="C325" s="19" t="str">
        <f>VLOOKUP(A325,Sheet1!A:I,9,0)</f>
        <v>Male</v>
      </c>
      <c r="D325" s="19">
        <f>VLOOKUP(A325,Sheet1!A:K,11,0)</f>
        <v>48</v>
      </c>
      <c r="E325" s="19" t="str">
        <f>VLOOKUP(A325,Sheet1!A:M,13,0)</f>
        <v>United States</v>
      </c>
      <c r="F325" s="19" t="str">
        <f>VLOOKUP(A325,Sheet1!A:N,14,0)</f>
        <v>English</v>
      </c>
      <c r="G325" s="19" t="str">
        <f>VLOOKUP(A325,Sheet1!A:O,15,0)</f>
        <v>Machine Learning</v>
      </c>
      <c r="H325" s="19">
        <f>VLOOKUP(A325,Sheet1!A:Q,17,0)</f>
        <v>21</v>
      </c>
      <c r="I325" s="20">
        <f>VLOOKUP(A325,Sheet1!A:V,22,0)</f>
        <v>50</v>
      </c>
      <c r="J325" s="21">
        <f>VLOOKUP(A325,Sheet1!A:X,24,0)</f>
        <v>4</v>
      </c>
      <c r="K325" s="19" t="str">
        <f>VLOOKUP(A325,Sheet1!A:AB,28,0)</f>
        <v>No</v>
      </c>
      <c r="L325" s="27">
        <f>VLOOKUP(A325,Sheet1!A:AD,30,0)</f>
        <v>78</v>
      </c>
    </row>
    <row r="326" spans="1:12" x14ac:dyDescent="0.3">
      <c r="A326" s="14" t="s">
        <v>1036</v>
      </c>
      <c r="B326" s="19" t="str">
        <f>VLOOKUP(A326,Sheet1!A:E,5,0)</f>
        <v>Monica Smith</v>
      </c>
      <c r="C326" s="19" t="str">
        <f>VLOOKUP(A326,Sheet1!A:I,9,0)</f>
        <v>Female</v>
      </c>
      <c r="D326" s="19">
        <f>VLOOKUP(A326,Sheet1!A:K,11,0)</f>
        <v>48</v>
      </c>
      <c r="E326" s="19" t="str">
        <f>VLOOKUP(A326,Sheet1!A:M,13,0)</f>
        <v>India</v>
      </c>
      <c r="F326" s="19" t="str">
        <f>VLOOKUP(A326,Sheet1!A:N,14,0)</f>
        <v>Hindi</v>
      </c>
      <c r="G326" s="19" t="str">
        <f>VLOOKUP(A326,Sheet1!A:O,15,0)</f>
        <v>Mobile Apps</v>
      </c>
      <c r="H326" s="19">
        <f>VLOOKUP(A326,Sheet1!A:Q,17,0)</f>
        <v>7</v>
      </c>
      <c r="I326" s="20">
        <f>VLOOKUP(A326,Sheet1!A:V,22,0)</f>
        <v>50</v>
      </c>
      <c r="J326" s="21">
        <f>VLOOKUP(A326,Sheet1!A:X,24,0)</f>
        <v>4.7</v>
      </c>
      <c r="K326" s="19" t="str">
        <f>VLOOKUP(A326,Sheet1!A:AB,28,0)</f>
        <v>Yes</v>
      </c>
      <c r="L326" s="27">
        <f>VLOOKUP(A326,Sheet1!A:AD,30,0)</f>
        <v>60</v>
      </c>
    </row>
    <row r="327" spans="1:12" x14ac:dyDescent="0.3">
      <c r="A327" s="14" t="s">
        <v>1052</v>
      </c>
      <c r="B327" s="19" t="str">
        <f>VLOOKUP(A327,Sheet1!A:E,5,0)</f>
        <v>Patrick Welch</v>
      </c>
      <c r="C327" s="19" t="str">
        <f>VLOOKUP(A327,Sheet1!A:I,9,0)</f>
        <v>Male</v>
      </c>
      <c r="D327" s="19">
        <f>VLOOKUP(A327,Sheet1!A:K,11,0)</f>
        <v>48</v>
      </c>
      <c r="E327" s="19" t="str">
        <f>VLOOKUP(A327,Sheet1!A:M,13,0)</f>
        <v>Canada</v>
      </c>
      <c r="F327" s="19" t="str">
        <f>VLOOKUP(A327,Sheet1!A:N,14,0)</f>
        <v>English</v>
      </c>
      <c r="G327" s="19" t="str">
        <f>VLOOKUP(A327,Sheet1!A:O,15,0)</f>
        <v>DevOps</v>
      </c>
      <c r="H327" s="19">
        <f>VLOOKUP(A327,Sheet1!A:Q,17,0)</f>
        <v>21</v>
      </c>
      <c r="I327" s="20">
        <f>VLOOKUP(A327,Sheet1!A:V,22,0)</f>
        <v>75</v>
      </c>
      <c r="J327" s="21">
        <f>VLOOKUP(A327,Sheet1!A:X,24,0)</f>
        <v>2.7</v>
      </c>
      <c r="K327" s="19" t="str">
        <f>VLOOKUP(A327,Sheet1!A:AB,28,0)</f>
        <v>Yes</v>
      </c>
      <c r="L327" s="27">
        <f>VLOOKUP(A327,Sheet1!A:AD,30,0)</f>
        <v>79.506880733944953</v>
      </c>
    </row>
    <row r="328" spans="1:12" x14ac:dyDescent="0.3">
      <c r="A328" s="14" t="s">
        <v>2056</v>
      </c>
      <c r="B328" s="19" t="str">
        <f>VLOOKUP(A328,Sheet1!A:E,5,0)</f>
        <v>Robert Moran</v>
      </c>
      <c r="C328" s="19" t="str">
        <f>VLOOKUP(A328,Sheet1!A:I,9,0)</f>
        <v>Male</v>
      </c>
      <c r="D328" s="19">
        <f>VLOOKUP(A328,Sheet1!A:K,11,0)</f>
        <v>48</v>
      </c>
      <c r="E328" s="19" t="str">
        <f>VLOOKUP(A328,Sheet1!A:M,13,0)</f>
        <v>South Africa</v>
      </c>
      <c r="F328" s="19" t="str">
        <f>VLOOKUP(A328,Sheet1!A:N,14,0)</f>
        <v>Afrikaans</v>
      </c>
      <c r="G328" s="19" t="str">
        <f>VLOOKUP(A328,Sheet1!A:O,15,0)</f>
        <v>Web Development</v>
      </c>
      <c r="H328" s="19">
        <f>VLOOKUP(A328,Sheet1!A:Q,17,0)</f>
        <v>8</v>
      </c>
      <c r="I328" s="20">
        <f>VLOOKUP(A328,Sheet1!A:V,22,0)</f>
        <v>50</v>
      </c>
      <c r="J328" s="21">
        <f>VLOOKUP(A328,Sheet1!A:X,24,0)</f>
        <v>2.592857142857143</v>
      </c>
      <c r="K328" s="19" t="str">
        <f>VLOOKUP(A328,Sheet1!A:AB,28,0)</f>
        <v>Yes</v>
      </c>
      <c r="L328" s="27">
        <f>VLOOKUP(A328,Sheet1!A:AD,30,0)</f>
        <v>73</v>
      </c>
    </row>
    <row r="329" spans="1:12" x14ac:dyDescent="0.3">
      <c r="A329" s="14" t="s">
        <v>1155</v>
      </c>
      <c r="B329" s="19" t="str">
        <f>VLOOKUP(A329,Sheet1!A:E,5,0)</f>
        <v>Stacy Bailey</v>
      </c>
      <c r="C329" s="19" t="str">
        <f>VLOOKUP(A329,Sheet1!A:I,9,0)</f>
        <v>Female</v>
      </c>
      <c r="D329" s="19">
        <f>VLOOKUP(A329,Sheet1!A:K,11,0)</f>
        <v>48</v>
      </c>
      <c r="E329" s="19" t="str">
        <f>VLOOKUP(A329,Sheet1!A:M,13,0)</f>
        <v>India</v>
      </c>
      <c r="F329" s="19" t="str">
        <f>VLOOKUP(A329,Sheet1!A:N,14,0)</f>
        <v>Hindi</v>
      </c>
      <c r="G329" s="19" t="str">
        <f>VLOOKUP(A329,Sheet1!A:O,15,0)</f>
        <v>Mobile Apps</v>
      </c>
      <c r="H329" s="19">
        <f>VLOOKUP(A329,Sheet1!A:Q,17,0)</f>
        <v>28</v>
      </c>
      <c r="I329" s="20">
        <f>VLOOKUP(A329,Sheet1!A:V,22,0)</f>
        <v>20</v>
      </c>
      <c r="J329" s="21">
        <f>VLOOKUP(A329,Sheet1!A:X,24,0)</f>
        <v>0</v>
      </c>
      <c r="K329" s="19" t="str">
        <f>VLOOKUP(A329,Sheet1!A:AB,28,0)</f>
        <v>No</v>
      </c>
      <c r="L329" s="27">
        <f>VLOOKUP(A329,Sheet1!A:AD,30,0)</f>
        <v>88</v>
      </c>
    </row>
    <row r="330" spans="1:12" x14ac:dyDescent="0.3">
      <c r="A330" s="14" t="s">
        <v>603</v>
      </c>
      <c r="B330" s="19" t="str">
        <f>VLOOKUP(A330,Sheet1!A:E,5,0)</f>
        <v>William Knapp</v>
      </c>
      <c r="C330" s="19" t="str">
        <f>VLOOKUP(A330,Sheet1!A:I,9,0)</f>
        <v>Male</v>
      </c>
      <c r="D330" s="19">
        <f>VLOOKUP(A330,Sheet1!A:K,11,0)</f>
        <v>48</v>
      </c>
      <c r="E330" s="19" t="str">
        <f>VLOOKUP(A330,Sheet1!A:M,13,0)</f>
        <v>South Africa</v>
      </c>
      <c r="F330" s="19" t="str">
        <f>VLOOKUP(A330,Sheet1!A:N,14,0)</f>
        <v>Afrikaans</v>
      </c>
      <c r="G330" s="19" t="str">
        <f>VLOOKUP(A330,Sheet1!A:O,15,0)</f>
        <v>UI/UX Design</v>
      </c>
      <c r="H330" s="19">
        <f>VLOOKUP(A330,Sheet1!A:Q,17,0)</f>
        <v>8</v>
      </c>
      <c r="I330" s="20">
        <f>VLOOKUP(A330,Sheet1!A:V,22,0)</f>
        <v>30</v>
      </c>
      <c r="J330" s="21">
        <f>VLOOKUP(A330,Sheet1!A:X,24,0)</f>
        <v>5</v>
      </c>
      <c r="K330" s="19" t="str">
        <f>VLOOKUP(A330,Sheet1!A:AB,28,0)</f>
        <v>Yes</v>
      </c>
      <c r="L330" s="27">
        <f>VLOOKUP(A330,Sheet1!A:AD,30,0)</f>
        <v>99</v>
      </c>
    </row>
    <row r="331" spans="1:12" x14ac:dyDescent="0.3">
      <c r="A331" s="14" t="s">
        <v>1287</v>
      </c>
      <c r="B331" s="19" t="str">
        <f>VLOOKUP(A331,Sheet1!A:E,5,0)</f>
        <v>Willie Clark</v>
      </c>
      <c r="C331" s="19" t="str">
        <f>VLOOKUP(A331,Sheet1!A:I,9,0)</f>
        <v>Male</v>
      </c>
      <c r="D331" s="19">
        <f>VLOOKUP(A331,Sheet1!A:K,11,0)</f>
        <v>48</v>
      </c>
      <c r="E331" s="19" t="str">
        <f>VLOOKUP(A331,Sheet1!A:M,13,0)</f>
        <v>Argentina</v>
      </c>
      <c r="F331" s="19" t="str">
        <f>VLOOKUP(A331,Sheet1!A:N,14,0)</f>
        <v>Spanish</v>
      </c>
      <c r="G331" s="19" t="str">
        <f>VLOOKUP(A331,Sheet1!A:O,15,0)</f>
        <v>Web Development</v>
      </c>
      <c r="H331" s="19">
        <f>VLOOKUP(A331,Sheet1!A:Q,17,0)</f>
        <v>18</v>
      </c>
      <c r="I331" s="20">
        <f>VLOOKUP(A331,Sheet1!A:V,22,0)</f>
        <v>75</v>
      </c>
      <c r="J331" s="21">
        <f>VLOOKUP(A331,Sheet1!A:X,24,0)</f>
        <v>0</v>
      </c>
      <c r="K331" s="19" t="str">
        <f>VLOOKUP(A331,Sheet1!A:AB,28,0)</f>
        <v>No</v>
      </c>
      <c r="L331" s="27">
        <f>VLOOKUP(A331,Sheet1!A:AD,30,0)</f>
        <v>80</v>
      </c>
    </row>
    <row r="332" spans="1:12" x14ac:dyDescent="0.3">
      <c r="A332" s="14" t="s">
        <v>354</v>
      </c>
      <c r="B332" s="19" t="str">
        <f>VLOOKUP(A332,Sheet1!A:E,5,0)</f>
        <v>Alexander Griffin</v>
      </c>
      <c r="C332" s="19" t="str">
        <f>VLOOKUP(A332,Sheet1!A:I,9,0)</f>
        <v>Male</v>
      </c>
      <c r="D332" s="19">
        <f>VLOOKUP(A332,Sheet1!A:K,11,0)</f>
        <v>47</v>
      </c>
      <c r="E332" s="19" t="str">
        <f>VLOOKUP(A332,Sheet1!A:M,13,0)</f>
        <v>France</v>
      </c>
      <c r="F332" s="19" t="str">
        <f>VLOOKUP(A332,Sheet1!A:N,14,0)</f>
        <v>French</v>
      </c>
      <c r="G332" s="19" t="str">
        <f>VLOOKUP(A332,Sheet1!A:O,15,0)</f>
        <v>Machine Learning</v>
      </c>
      <c r="H332" s="19">
        <f>VLOOKUP(A332,Sheet1!A:Q,17,0)</f>
        <v>13</v>
      </c>
      <c r="I332" s="20">
        <f>VLOOKUP(A332,Sheet1!A:V,22,0)</f>
        <v>40</v>
      </c>
      <c r="J332" s="21">
        <f>VLOOKUP(A332,Sheet1!A:X,24,0)</f>
        <v>3.4</v>
      </c>
      <c r="K332" s="19" t="str">
        <f>VLOOKUP(A332,Sheet1!A:AB,28,0)</f>
        <v>Unknown</v>
      </c>
      <c r="L332" s="27">
        <f>VLOOKUP(A332,Sheet1!A:AD,30,0)</f>
        <v>67</v>
      </c>
    </row>
    <row r="333" spans="1:12" x14ac:dyDescent="0.3">
      <c r="A333" s="14" t="s">
        <v>1381</v>
      </c>
      <c r="B333" s="19" t="str">
        <f>VLOOKUP(A333,Sheet1!A:E,5,0)</f>
        <v>Ashley Kemp</v>
      </c>
      <c r="C333" s="19" t="str">
        <f>VLOOKUP(A333,Sheet1!A:I,9,0)</f>
        <v>Female</v>
      </c>
      <c r="D333" s="19">
        <f>VLOOKUP(A333,Sheet1!A:K,11,0)</f>
        <v>47</v>
      </c>
      <c r="E333" s="19" t="str">
        <f>VLOOKUP(A333,Sheet1!A:M,13,0)</f>
        <v>Mexico</v>
      </c>
      <c r="F333" s="19" t="str">
        <f>VLOOKUP(A333,Sheet1!A:N,14,0)</f>
        <v>Spanish</v>
      </c>
      <c r="G333" s="19" t="str">
        <f>VLOOKUP(A333,Sheet1!A:O,15,0)</f>
        <v>AI</v>
      </c>
      <c r="H333" s="19">
        <f>VLOOKUP(A333,Sheet1!A:Q,17,0)</f>
        <v>29</v>
      </c>
      <c r="I333" s="20">
        <f>VLOOKUP(A333,Sheet1!A:V,22,0)</f>
        <v>50</v>
      </c>
      <c r="J333" s="21">
        <f>VLOOKUP(A333,Sheet1!A:X,24,0)</f>
        <v>2.618910256410258</v>
      </c>
      <c r="K333" s="19" t="str">
        <f>VLOOKUP(A333,Sheet1!A:AB,28,0)</f>
        <v>Yes</v>
      </c>
      <c r="L333" s="27">
        <f>VLOOKUP(A333,Sheet1!A:AD,30,0)</f>
        <v>79</v>
      </c>
    </row>
    <row r="334" spans="1:12" x14ac:dyDescent="0.3">
      <c r="A334" s="14" t="s">
        <v>719</v>
      </c>
      <c r="B334" s="19" t="str">
        <f>VLOOKUP(A334,Sheet1!A:E,5,0)</f>
        <v>Brenda Briggs</v>
      </c>
      <c r="C334" s="19" t="str">
        <f>VLOOKUP(A334,Sheet1!A:I,9,0)</f>
        <v>Female</v>
      </c>
      <c r="D334" s="19">
        <f>VLOOKUP(A334,Sheet1!A:K,11,0)</f>
        <v>47</v>
      </c>
      <c r="E334" s="19" t="str">
        <f>VLOOKUP(A334,Sheet1!A:M,13,0)</f>
        <v>Brazil</v>
      </c>
      <c r="F334" s="19" t="str">
        <f>VLOOKUP(A334,Sheet1!A:N,14,0)</f>
        <v>Portuguese</v>
      </c>
      <c r="G334" s="19" t="str">
        <f>VLOOKUP(A334,Sheet1!A:O,15,0)</f>
        <v>DevOps</v>
      </c>
      <c r="H334" s="19">
        <f>VLOOKUP(A334,Sheet1!A:Q,17,0)</f>
        <v>13</v>
      </c>
      <c r="I334" s="20">
        <f>VLOOKUP(A334,Sheet1!A:V,22,0)</f>
        <v>20</v>
      </c>
      <c r="J334" s="21">
        <f>VLOOKUP(A334,Sheet1!A:X,24,0)</f>
        <v>4.5</v>
      </c>
      <c r="K334" s="19" t="str">
        <f>VLOOKUP(A334,Sheet1!A:AB,28,0)</f>
        <v>Unknown</v>
      </c>
      <c r="L334" s="27">
        <f>VLOOKUP(A334,Sheet1!A:AD,30,0)</f>
        <v>91</v>
      </c>
    </row>
    <row r="335" spans="1:12" x14ac:dyDescent="0.3">
      <c r="A335" s="14" t="s">
        <v>338</v>
      </c>
      <c r="B335" s="19" t="str">
        <f>VLOOKUP(A335,Sheet1!A:E,5,0)</f>
        <v>Candice Petersen</v>
      </c>
      <c r="C335" s="19" t="str">
        <f>VLOOKUP(A335,Sheet1!A:I,9,0)</f>
        <v>Female</v>
      </c>
      <c r="D335" s="19">
        <f>VLOOKUP(A335,Sheet1!A:K,11,0)</f>
        <v>47</v>
      </c>
      <c r="E335" s="19" t="str">
        <f>VLOOKUP(A335,Sheet1!A:M,13,0)</f>
        <v>Italy</v>
      </c>
      <c r="F335" s="19" t="str">
        <f>VLOOKUP(A335,Sheet1!A:N,14,0)</f>
        <v>Italian</v>
      </c>
      <c r="G335" s="19" t="str">
        <f>VLOOKUP(A335,Sheet1!A:O,15,0)</f>
        <v>DevOps</v>
      </c>
      <c r="H335" s="19">
        <f>VLOOKUP(A335,Sheet1!A:Q,17,0)</f>
        <v>5</v>
      </c>
      <c r="I335" s="20">
        <f>VLOOKUP(A335,Sheet1!A:V,22,0)</f>
        <v>40</v>
      </c>
      <c r="J335" s="21">
        <f>VLOOKUP(A335,Sheet1!A:X,24,0)</f>
        <v>3.7</v>
      </c>
      <c r="K335" s="19" t="str">
        <f>VLOOKUP(A335,Sheet1!A:AB,28,0)</f>
        <v>No</v>
      </c>
      <c r="L335" s="27">
        <f>VLOOKUP(A335,Sheet1!A:AD,30,0)</f>
        <v>93</v>
      </c>
    </row>
    <row r="336" spans="1:12" x14ac:dyDescent="0.3">
      <c r="A336" s="14" t="s">
        <v>1133</v>
      </c>
      <c r="B336" s="19" t="str">
        <f>VLOOKUP(A336,Sheet1!A:E,5,0)</f>
        <v>Christina King</v>
      </c>
      <c r="C336" s="19" t="str">
        <f>VLOOKUP(A336,Sheet1!A:I,9,0)</f>
        <v>Female</v>
      </c>
      <c r="D336" s="19">
        <f>VLOOKUP(A336,Sheet1!A:K,11,0)</f>
        <v>47</v>
      </c>
      <c r="E336" s="19" t="str">
        <f>VLOOKUP(A336,Sheet1!A:M,13,0)</f>
        <v>China</v>
      </c>
      <c r="F336" s="19" t="str">
        <f>VLOOKUP(A336,Sheet1!A:N,14,0)</f>
        <v>Mandarin</v>
      </c>
      <c r="G336" s="19" t="str">
        <f>VLOOKUP(A336,Sheet1!A:O,15,0)</f>
        <v>Cybersecurity</v>
      </c>
      <c r="H336" s="19">
        <f>VLOOKUP(A336,Sheet1!A:Q,17,0)</f>
        <v>21</v>
      </c>
      <c r="I336" s="20">
        <f>VLOOKUP(A336,Sheet1!A:V,22,0)</f>
        <v>100</v>
      </c>
      <c r="J336" s="21">
        <f>VLOOKUP(A336,Sheet1!A:X,24,0)</f>
        <v>0</v>
      </c>
      <c r="K336" s="19" t="str">
        <f>VLOOKUP(A336,Sheet1!A:AB,28,0)</f>
        <v>No</v>
      </c>
      <c r="L336" s="27">
        <f>VLOOKUP(A336,Sheet1!A:AD,30,0)</f>
        <v>79.760598503740653</v>
      </c>
    </row>
    <row r="337" spans="1:12" x14ac:dyDescent="0.3">
      <c r="A337" s="14" t="s">
        <v>216</v>
      </c>
      <c r="B337" s="19" t="str">
        <f>VLOOKUP(A337,Sheet1!A:E,5,0)</f>
        <v>Eddie Todd</v>
      </c>
      <c r="C337" s="19" t="str">
        <f>VLOOKUP(A337,Sheet1!A:I,9,0)</f>
        <v>Male</v>
      </c>
      <c r="D337" s="19">
        <f>VLOOKUP(A337,Sheet1!A:K,11,0)</f>
        <v>47</v>
      </c>
      <c r="E337" s="19" t="str">
        <f>VLOOKUP(A337,Sheet1!A:M,13,0)</f>
        <v>Germany</v>
      </c>
      <c r="F337" s="19" t="str">
        <f>VLOOKUP(A337,Sheet1!A:N,14,0)</f>
        <v>German</v>
      </c>
      <c r="G337" s="19" t="str">
        <f>VLOOKUP(A337,Sheet1!A:O,15,0)</f>
        <v>AI</v>
      </c>
      <c r="H337" s="19">
        <f>VLOOKUP(A337,Sheet1!A:Q,17,0)</f>
        <v>18</v>
      </c>
      <c r="I337" s="20">
        <f>VLOOKUP(A337,Sheet1!A:V,22,0)</f>
        <v>75</v>
      </c>
      <c r="J337" s="21">
        <f>VLOOKUP(A337,Sheet1!A:X,24,0)</f>
        <v>0</v>
      </c>
      <c r="K337" s="19" t="str">
        <f>VLOOKUP(A337,Sheet1!A:AB,28,0)</f>
        <v>No</v>
      </c>
      <c r="L337" s="27">
        <f>VLOOKUP(A337,Sheet1!A:AD,30,0)</f>
        <v>79.423969072164951</v>
      </c>
    </row>
    <row r="338" spans="1:12" x14ac:dyDescent="0.3">
      <c r="A338" s="14" t="s">
        <v>448</v>
      </c>
      <c r="B338" s="19" t="str">
        <f>VLOOKUP(A338,Sheet1!A:E,5,0)</f>
        <v>Frederick Ware</v>
      </c>
      <c r="C338" s="19" t="str">
        <f>VLOOKUP(A338,Sheet1!A:I,9,0)</f>
        <v>Male</v>
      </c>
      <c r="D338" s="19">
        <f>VLOOKUP(A338,Sheet1!A:K,11,0)</f>
        <v>47</v>
      </c>
      <c r="E338" s="19" t="str">
        <f>VLOOKUP(A338,Sheet1!A:M,13,0)</f>
        <v>India</v>
      </c>
      <c r="F338" s="19" t="str">
        <f>VLOOKUP(A338,Sheet1!A:N,14,0)</f>
        <v>Hindi</v>
      </c>
      <c r="G338" s="19" t="str">
        <f>VLOOKUP(A338,Sheet1!A:O,15,0)</f>
        <v>DevOps</v>
      </c>
      <c r="H338" s="19">
        <f>VLOOKUP(A338,Sheet1!A:Q,17,0)</f>
        <v>8</v>
      </c>
      <c r="I338" s="20">
        <f>VLOOKUP(A338,Sheet1!A:V,22,0)</f>
        <v>20</v>
      </c>
      <c r="J338" s="21">
        <f>VLOOKUP(A338,Sheet1!A:X,24,0)</f>
        <v>4.5</v>
      </c>
      <c r="K338" s="19" t="str">
        <f>VLOOKUP(A338,Sheet1!A:AB,28,0)</f>
        <v>Yes</v>
      </c>
      <c r="L338" s="27">
        <f>VLOOKUP(A338,Sheet1!A:AD,30,0)</f>
        <v>72</v>
      </c>
    </row>
    <row r="339" spans="1:12" x14ac:dyDescent="0.3">
      <c r="A339" s="14" t="s">
        <v>1261</v>
      </c>
      <c r="B339" s="19" t="str">
        <f>VLOOKUP(A339,Sheet1!A:E,5,0)</f>
        <v>Gregory Randall</v>
      </c>
      <c r="C339" s="19" t="str">
        <f>VLOOKUP(A339,Sheet1!A:I,9,0)</f>
        <v>Male</v>
      </c>
      <c r="D339" s="19">
        <f>VLOOKUP(A339,Sheet1!A:K,11,0)</f>
        <v>47</v>
      </c>
      <c r="E339" s="19" t="str">
        <f>VLOOKUP(A339,Sheet1!A:M,13,0)</f>
        <v>United States</v>
      </c>
      <c r="F339" s="19" t="str">
        <f>VLOOKUP(A339,Sheet1!A:N,14,0)</f>
        <v>English</v>
      </c>
      <c r="G339" s="19" t="str">
        <f>VLOOKUP(A339,Sheet1!A:O,15,0)</f>
        <v>UI/UX Design</v>
      </c>
      <c r="H339" s="19">
        <f>VLOOKUP(A339,Sheet1!A:Q,17,0)</f>
        <v>4</v>
      </c>
      <c r="I339" s="20">
        <f>VLOOKUP(A339,Sheet1!A:V,22,0)</f>
        <v>20</v>
      </c>
      <c r="J339" s="21">
        <f>VLOOKUP(A339,Sheet1!A:X,24,0)</f>
        <v>4.2</v>
      </c>
      <c r="K339" s="19" t="str">
        <f>VLOOKUP(A339,Sheet1!A:AB,28,0)</f>
        <v>Unknown</v>
      </c>
      <c r="L339" s="27">
        <f>VLOOKUP(A339,Sheet1!A:AD,30,0)</f>
        <v>82</v>
      </c>
    </row>
    <row r="340" spans="1:12" x14ac:dyDescent="0.3">
      <c r="A340" s="14" t="s">
        <v>1439</v>
      </c>
      <c r="B340" s="19" t="str">
        <f>VLOOKUP(A340,Sheet1!A:E,5,0)</f>
        <v>Jacob Jones</v>
      </c>
      <c r="C340" s="19" t="str">
        <f>VLOOKUP(A340,Sheet1!A:I,9,0)</f>
        <v>Male</v>
      </c>
      <c r="D340" s="19">
        <f>VLOOKUP(A340,Sheet1!A:K,11,0)</f>
        <v>47</v>
      </c>
      <c r="E340" s="19" t="str">
        <f>VLOOKUP(A340,Sheet1!A:M,13,0)</f>
        <v>Egypt</v>
      </c>
      <c r="F340" s="19" t="str">
        <f>VLOOKUP(A340,Sheet1!A:N,14,0)</f>
        <v>Arabic</v>
      </c>
      <c r="G340" s="19" t="str">
        <f>VLOOKUP(A340,Sheet1!A:O,15,0)</f>
        <v>AI</v>
      </c>
      <c r="H340" s="19">
        <f>VLOOKUP(A340,Sheet1!A:Q,17,0)</f>
        <v>2</v>
      </c>
      <c r="I340" s="20">
        <f>VLOOKUP(A340,Sheet1!A:V,22,0)</f>
        <v>50</v>
      </c>
      <c r="J340" s="21">
        <f>VLOOKUP(A340,Sheet1!A:X,24,0)</f>
        <v>2.7</v>
      </c>
      <c r="K340" s="19" t="str">
        <f>VLOOKUP(A340,Sheet1!A:AB,28,0)</f>
        <v>No</v>
      </c>
      <c r="L340" s="27">
        <f>VLOOKUP(A340,Sheet1!A:AD,30,0)</f>
        <v>96</v>
      </c>
    </row>
    <row r="341" spans="1:12" x14ac:dyDescent="0.3">
      <c r="A341" s="14" t="s">
        <v>1201</v>
      </c>
      <c r="B341" s="19" t="str">
        <f>VLOOKUP(A341,Sheet1!A:E,5,0)</f>
        <v>James Hinton</v>
      </c>
      <c r="C341" s="19" t="str">
        <f>VLOOKUP(A341,Sheet1!A:I,9,0)</f>
        <v>Male</v>
      </c>
      <c r="D341" s="19">
        <f>VLOOKUP(A341,Sheet1!A:K,11,0)</f>
        <v>47</v>
      </c>
      <c r="E341" s="19" t="str">
        <f>VLOOKUP(A341,Sheet1!A:M,13,0)</f>
        <v>Turkey</v>
      </c>
      <c r="F341" s="19" t="str">
        <f>VLOOKUP(A341,Sheet1!A:N,14,0)</f>
        <v>Turkish</v>
      </c>
      <c r="G341" s="19" t="str">
        <f>VLOOKUP(A341,Sheet1!A:O,15,0)</f>
        <v>DevOps</v>
      </c>
      <c r="H341" s="19">
        <f>VLOOKUP(A341,Sheet1!A:Q,17,0)</f>
        <v>1</v>
      </c>
      <c r="I341" s="20">
        <f>VLOOKUP(A341,Sheet1!A:V,22,0)</f>
        <v>50</v>
      </c>
      <c r="J341" s="21">
        <f>VLOOKUP(A341,Sheet1!A:X,24,0)</f>
        <v>3.9</v>
      </c>
      <c r="K341" s="19" t="str">
        <f>VLOOKUP(A341,Sheet1!A:AB,28,0)</f>
        <v>Yes</v>
      </c>
      <c r="L341" s="27">
        <f>VLOOKUP(A341,Sheet1!A:AD,30,0)</f>
        <v>88</v>
      </c>
    </row>
    <row r="342" spans="1:12" x14ac:dyDescent="0.3">
      <c r="A342" s="14" t="s">
        <v>513</v>
      </c>
      <c r="B342" s="19" t="str">
        <f>VLOOKUP(A342,Sheet1!A:E,5,0)</f>
        <v>Jennifer Rowe</v>
      </c>
      <c r="C342" s="19" t="str">
        <f>VLOOKUP(A342,Sheet1!A:I,9,0)</f>
        <v>Female</v>
      </c>
      <c r="D342" s="19">
        <f>VLOOKUP(A342,Sheet1!A:K,11,0)</f>
        <v>47</v>
      </c>
      <c r="E342" s="19" t="str">
        <f>VLOOKUP(A342,Sheet1!A:M,13,0)</f>
        <v>Germany</v>
      </c>
      <c r="F342" s="19" t="str">
        <f>VLOOKUP(A342,Sheet1!A:N,14,0)</f>
        <v>German</v>
      </c>
      <c r="G342" s="19" t="str">
        <f>VLOOKUP(A342,Sheet1!A:O,15,0)</f>
        <v>Data Analysis</v>
      </c>
      <c r="H342" s="19">
        <f>VLOOKUP(A342,Sheet1!A:Q,17,0)</f>
        <v>15</v>
      </c>
      <c r="I342" s="20">
        <f>VLOOKUP(A342,Sheet1!A:V,22,0)</f>
        <v>40</v>
      </c>
      <c r="J342" s="21">
        <f>VLOOKUP(A342,Sheet1!A:X,24,0)</f>
        <v>2.1</v>
      </c>
      <c r="K342" s="19" t="str">
        <f>VLOOKUP(A342,Sheet1!A:AB,28,0)</f>
        <v>Yes</v>
      </c>
      <c r="L342" s="27">
        <f>VLOOKUP(A342,Sheet1!A:AD,30,0)</f>
        <v>94</v>
      </c>
    </row>
    <row r="343" spans="1:12" x14ac:dyDescent="0.3">
      <c r="A343" s="14" t="s">
        <v>749</v>
      </c>
      <c r="B343" s="19" t="str">
        <f>VLOOKUP(A343,Sheet1!A:E,5,0)</f>
        <v>Jessica Smith</v>
      </c>
      <c r="C343" s="19" t="str">
        <f>VLOOKUP(A343,Sheet1!A:I,9,0)</f>
        <v>Female</v>
      </c>
      <c r="D343" s="19">
        <f>VLOOKUP(A343,Sheet1!A:K,11,0)</f>
        <v>47</v>
      </c>
      <c r="E343" s="19" t="str">
        <f>VLOOKUP(A343,Sheet1!A:M,13,0)</f>
        <v>China</v>
      </c>
      <c r="F343" s="19" t="str">
        <f>VLOOKUP(A343,Sheet1!A:N,14,0)</f>
        <v>Mandarin</v>
      </c>
      <c r="G343" s="19" t="str">
        <f>VLOOKUP(A343,Sheet1!A:O,15,0)</f>
        <v>Mobile Apps</v>
      </c>
      <c r="H343" s="19">
        <f>VLOOKUP(A343,Sheet1!A:Q,17,0)</f>
        <v>5</v>
      </c>
      <c r="I343" s="20">
        <f>VLOOKUP(A343,Sheet1!A:V,22,0)</f>
        <v>20</v>
      </c>
      <c r="J343" s="21">
        <f>VLOOKUP(A343,Sheet1!A:X,24,0)</f>
        <v>1.9</v>
      </c>
      <c r="K343" s="19" t="str">
        <f>VLOOKUP(A343,Sheet1!A:AB,28,0)</f>
        <v>No</v>
      </c>
      <c r="L343" s="27">
        <f>VLOOKUP(A343,Sheet1!A:AD,30,0)</f>
        <v>79.416815742397134</v>
      </c>
    </row>
    <row r="344" spans="1:12" x14ac:dyDescent="0.3">
      <c r="A344" s="14" t="s">
        <v>801</v>
      </c>
      <c r="B344" s="19" t="str">
        <f>VLOOKUP(A344,Sheet1!A:E,5,0)</f>
        <v>Jessica Vance</v>
      </c>
      <c r="C344" s="19" t="str">
        <f>VLOOKUP(A344,Sheet1!A:I,9,0)</f>
        <v>Female</v>
      </c>
      <c r="D344" s="19">
        <f>VLOOKUP(A344,Sheet1!A:K,11,0)</f>
        <v>47</v>
      </c>
      <c r="E344" s="19" t="str">
        <f>VLOOKUP(A344,Sheet1!A:M,13,0)</f>
        <v>Italy</v>
      </c>
      <c r="F344" s="19" t="str">
        <f>VLOOKUP(A344,Sheet1!A:N,14,0)</f>
        <v>Italian</v>
      </c>
      <c r="G344" s="19" t="str">
        <f>VLOOKUP(A344,Sheet1!A:O,15,0)</f>
        <v>Cybersecurity</v>
      </c>
      <c r="H344" s="19">
        <f>VLOOKUP(A344,Sheet1!A:Q,17,0)</f>
        <v>12</v>
      </c>
      <c r="I344" s="20">
        <f>VLOOKUP(A344,Sheet1!A:V,22,0)</f>
        <v>50</v>
      </c>
      <c r="J344" s="21">
        <f>VLOOKUP(A344,Sheet1!A:X,24,0)</f>
        <v>2.1</v>
      </c>
      <c r="K344" s="19" t="str">
        <f>VLOOKUP(A344,Sheet1!A:AB,28,0)</f>
        <v>Yes</v>
      </c>
      <c r="L344" s="27">
        <f>VLOOKUP(A344,Sheet1!A:AD,30,0)</f>
        <v>67</v>
      </c>
    </row>
    <row r="345" spans="1:12" x14ac:dyDescent="0.3">
      <c r="A345" s="14" t="s">
        <v>1425</v>
      </c>
      <c r="B345" s="19" t="str">
        <f>VLOOKUP(A345,Sheet1!A:E,5,0)</f>
        <v>Juan Elliott</v>
      </c>
      <c r="C345" s="19" t="str">
        <f>VLOOKUP(A345,Sheet1!A:I,9,0)</f>
        <v>Male</v>
      </c>
      <c r="D345" s="19">
        <f>VLOOKUP(A345,Sheet1!A:K,11,0)</f>
        <v>47</v>
      </c>
      <c r="E345" s="19" t="str">
        <f>VLOOKUP(A345,Sheet1!A:M,13,0)</f>
        <v>South Korea</v>
      </c>
      <c r="F345" s="19" t="str">
        <f>VLOOKUP(A345,Sheet1!A:N,14,0)</f>
        <v>Korean</v>
      </c>
      <c r="G345" s="19" t="str">
        <f>VLOOKUP(A345,Sheet1!A:O,15,0)</f>
        <v>UI/UX Design</v>
      </c>
      <c r="H345" s="19">
        <f>VLOOKUP(A345,Sheet1!A:Q,17,0)</f>
        <v>17</v>
      </c>
      <c r="I345" s="20">
        <f>VLOOKUP(A345,Sheet1!A:V,22,0)</f>
        <v>50</v>
      </c>
      <c r="J345" s="21">
        <f>VLOOKUP(A345,Sheet1!A:X,24,0)</f>
        <v>1.2</v>
      </c>
      <c r="K345" s="19" t="str">
        <f>VLOOKUP(A345,Sheet1!A:AB,28,0)</f>
        <v>No</v>
      </c>
      <c r="L345" s="27">
        <f>VLOOKUP(A345,Sheet1!A:AD,30,0)</f>
        <v>80.071428571428569</v>
      </c>
    </row>
    <row r="346" spans="1:12" x14ac:dyDescent="0.3">
      <c r="A346" s="14" t="s">
        <v>1891</v>
      </c>
      <c r="B346" s="19" t="str">
        <f>VLOOKUP(A346,Sheet1!A:E,5,0)</f>
        <v>Kathleen Hendrix</v>
      </c>
      <c r="C346" s="19" t="str">
        <f>VLOOKUP(A346,Sheet1!A:I,9,0)</f>
        <v>Female</v>
      </c>
      <c r="D346" s="19">
        <f>VLOOKUP(A346,Sheet1!A:K,11,0)</f>
        <v>47</v>
      </c>
      <c r="E346" s="19" t="str">
        <f>VLOOKUP(A346,Sheet1!A:M,13,0)</f>
        <v>Russia</v>
      </c>
      <c r="F346" s="19" t="str">
        <f>VLOOKUP(A346,Sheet1!A:N,14,0)</f>
        <v>Russian</v>
      </c>
      <c r="G346" s="19" t="str">
        <f>VLOOKUP(A346,Sheet1!A:O,15,0)</f>
        <v>UI/UX Design</v>
      </c>
      <c r="H346" s="19">
        <f>VLOOKUP(A346,Sheet1!A:Q,17,0)</f>
        <v>3</v>
      </c>
      <c r="I346" s="20">
        <f>VLOOKUP(A346,Sheet1!A:V,22,0)</f>
        <v>40</v>
      </c>
      <c r="J346" s="21">
        <f>VLOOKUP(A346,Sheet1!A:X,24,0)</f>
        <v>4.4000000000000004</v>
      </c>
      <c r="K346" s="19" t="str">
        <f>VLOOKUP(A346,Sheet1!A:AB,28,0)</f>
        <v>Yes</v>
      </c>
      <c r="L346" s="27">
        <f>VLOOKUP(A346,Sheet1!A:AD,30,0)</f>
        <v>92</v>
      </c>
    </row>
    <row r="347" spans="1:12" x14ac:dyDescent="0.3">
      <c r="A347" s="14" t="s">
        <v>1257</v>
      </c>
      <c r="B347" s="19" t="str">
        <f>VLOOKUP(A347,Sheet1!A:E,5,0)</f>
        <v>Kenneth Stevenson</v>
      </c>
      <c r="C347" s="19" t="str">
        <f>VLOOKUP(A347,Sheet1!A:I,9,0)</f>
        <v>Male</v>
      </c>
      <c r="D347" s="19">
        <f>VLOOKUP(A347,Sheet1!A:K,11,0)</f>
        <v>47</v>
      </c>
      <c r="E347" s="19" t="str">
        <f>VLOOKUP(A347,Sheet1!A:M,13,0)</f>
        <v>Egypt</v>
      </c>
      <c r="F347" s="19" t="str">
        <f>VLOOKUP(A347,Sheet1!A:N,14,0)</f>
        <v>Arabic</v>
      </c>
      <c r="G347" s="19" t="str">
        <f>VLOOKUP(A347,Sheet1!A:O,15,0)</f>
        <v>DevOps</v>
      </c>
      <c r="H347" s="19">
        <f>VLOOKUP(A347,Sheet1!A:Q,17,0)</f>
        <v>28</v>
      </c>
      <c r="I347" s="20">
        <f>VLOOKUP(A347,Sheet1!A:V,22,0)</f>
        <v>50</v>
      </c>
      <c r="J347" s="21">
        <f>VLOOKUP(A347,Sheet1!A:X,24,0)</f>
        <v>2.9</v>
      </c>
      <c r="K347" s="19" t="str">
        <f>VLOOKUP(A347,Sheet1!A:AB,28,0)</f>
        <v>Yes</v>
      </c>
      <c r="L347" s="27">
        <f>VLOOKUP(A347,Sheet1!A:AD,30,0)</f>
        <v>79.916666666666671</v>
      </c>
    </row>
    <row r="348" spans="1:12" x14ac:dyDescent="0.3">
      <c r="A348" s="14" t="s">
        <v>585</v>
      </c>
      <c r="B348" s="19" t="str">
        <f>VLOOKUP(A348,Sheet1!A:E,5,0)</f>
        <v>Kristen Williams</v>
      </c>
      <c r="C348" s="19" t="str">
        <f>VLOOKUP(A348,Sheet1!A:I,9,0)</f>
        <v>Female</v>
      </c>
      <c r="D348" s="19">
        <f>VLOOKUP(A348,Sheet1!A:K,11,0)</f>
        <v>47</v>
      </c>
      <c r="E348" s="19" t="str">
        <f>VLOOKUP(A348,Sheet1!A:M,13,0)</f>
        <v>United States</v>
      </c>
      <c r="F348" s="19" t="str">
        <f>VLOOKUP(A348,Sheet1!A:N,14,0)</f>
        <v>English</v>
      </c>
      <c r="G348" s="19" t="str">
        <f>VLOOKUP(A348,Sheet1!A:O,15,0)</f>
        <v>UI/UX Design</v>
      </c>
      <c r="H348" s="19">
        <f>VLOOKUP(A348,Sheet1!A:Q,17,0)</f>
        <v>18</v>
      </c>
      <c r="I348" s="20">
        <f>VLOOKUP(A348,Sheet1!A:V,22,0)</f>
        <v>40</v>
      </c>
      <c r="J348" s="21">
        <f>VLOOKUP(A348,Sheet1!A:X,24,0)</f>
        <v>3.4</v>
      </c>
      <c r="K348" s="19" t="str">
        <f>VLOOKUP(A348,Sheet1!A:AB,28,0)</f>
        <v>No</v>
      </c>
      <c r="L348" s="27">
        <f>VLOOKUP(A348,Sheet1!A:AD,30,0)</f>
        <v>60</v>
      </c>
    </row>
    <row r="349" spans="1:12" x14ac:dyDescent="0.3">
      <c r="A349" s="14" t="s">
        <v>1788</v>
      </c>
      <c r="B349" s="19" t="str">
        <f>VLOOKUP(A349,Sheet1!A:E,5,0)</f>
        <v>Linda Williamson</v>
      </c>
      <c r="C349" s="19" t="str">
        <f>VLOOKUP(A349,Sheet1!A:I,9,0)</f>
        <v>Female</v>
      </c>
      <c r="D349" s="19">
        <f>VLOOKUP(A349,Sheet1!A:K,11,0)</f>
        <v>47</v>
      </c>
      <c r="E349" s="19" t="str">
        <f>VLOOKUP(A349,Sheet1!A:M,13,0)</f>
        <v>France</v>
      </c>
      <c r="F349" s="19" t="str">
        <f>VLOOKUP(A349,Sheet1!A:N,14,0)</f>
        <v>French</v>
      </c>
      <c r="G349" s="19" t="str">
        <f>VLOOKUP(A349,Sheet1!A:O,15,0)</f>
        <v>Cybersecurity</v>
      </c>
      <c r="H349" s="19">
        <f>VLOOKUP(A349,Sheet1!A:Q,17,0)</f>
        <v>16</v>
      </c>
      <c r="I349" s="20">
        <f>VLOOKUP(A349,Sheet1!A:V,22,0)</f>
        <v>50</v>
      </c>
      <c r="J349" s="21">
        <f>VLOOKUP(A349,Sheet1!A:X,24,0)</f>
        <v>1.9</v>
      </c>
      <c r="K349" s="19" t="str">
        <f>VLOOKUP(A349,Sheet1!A:AB,28,0)</f>
        <v>No</v>
      </c>
      <c r="L349" s="27">
        <f>VLOOKUP(A349,Sheet1!A:AD,30,0)</f>
        <v>71</v>
      </c>
    </row>
    <row r="350" spans="1:12" x14ac:dyDescent="0.3">
      <c r="A350" s="14" t="s">
        <v>1490</v>
      </c>
      <c r="B350" s="19" t="str">
        <f>VLOOKUP(A350,Sheet1!A:E,5,0)</f>
        <v>Martha Sweeney</v>
      </c>
      <c r="C350" s="19" t="str">
        <f>VLOOKUP(A350,Sheet1!A:I,9,0)</f>
        <v>Female</v>
      </c>
      <c r="D350" s="19">
        <f>VLOOKUP(A350,Sheet1!A:K,11,0)</f>
        <v>47</v>
      </c>
      <c r="E350" s="19" t="str">
        <f>VLOOKUP(A350,Sheet1!A:M,13,0)</f>
        <v>Turkey</v>
      </c>
      <c r="F350" s="19" t="str">
        <f>VLOOKUP(A350,Sheet1!A:N,14,0)</f>
        <v>Turkish</v>
      </c>
      <c r="G350" s="19" t="str">
        <f>VLOOKUP(A350,Sheet1!A:O,15,0)</f>
        <v>Graphic Design</v>
      </c>
      <c r="H350" s="19">
        <f>VLOOKUP(A350,Sheet1!A:Q,17,0)</f>
        <v>22</v>
      </c>
      <c r="I350" s="20">
        <f>VLOOKUP(A350,Sheet1!A:V,22,0)</f>
        <v>100</v>
      </c>
      <c r="J350" s="21">
        <f>VLOOKUP(A350,Sheet1!A:X,24,0)</f>
        <v>4.4000000000000004</v>
      </c>
      <c r="K350" s="19" t="str">
        <f>VLOOKUP(A350,Sheet1!A:AB,28,0)</f>
        <v>No</v>
      </c>
      <c r="L350" s="27">
        <f>VLOOKUP(A350,Sheet1!A:AD,30,0)</f>
        <v>70</v>
      </c>
    </row>
    <row r="351" spans="1:12" x14ac:dyDescent="0.3">
      <c r="A351" s="14" t="s">
        <v>1992</v>
      </c>
      <c r="B351" s="19" t="str">
        <f>VLOOKUP(A351,Sheet1!A:E,5,0)</f>
        <v>Matthew White</v>
      </c>
      <c r="C351" s="19" t="str">
        <f>VLOOKUP(A351,Sheet1!A:I,9,0)</f>
        <v>Male</v>
      </c>
      <c r="D351" s="19">
        <f>VLOOKUP(A351,Sheet1!A:K,11,0)</f>
        <v>47</v>
      </c>
      <c r="E351" s="19" t="str">
        <f>VLOOKUP(A351,Sheet1!A:M,13,0)</f>
        <v>Turkey</v>
      </c>
      <c r="F351" s="19" t="str">
        <f>VLOOKUP(A351,Sheet1!A:N,14,0)</f>
        <v>Turkish</v>
      </c>
      <c r="G351" s="19" t="str">
        <f>VLOOKUP(A351,Sheet1!A:O,15,0)</f>
        <v>DevOps</v>
      </c>
      <c r="H351" s="19">
        <f>VLOOKUP(A351,Sheet1!A:Q,17,0)</f>
        <v>16</v>
      </c>
      <c r="I351" s="20">
        <f>VLOOKUP(A351,Sheet1!A:V,22,0)</f>
        <v>100</v>
      </c>
      <c r="J351" s="21">
        <f>VLOOKUP(A351,Sheet1!A:X,24,0)</f>
        <v>3.3</v>
      </c>
      <c r="K351" s="19" t="str">
        <f>VLOOKUP(A351,Sheet1!A:AB,28,0)</f>
        <v>No</v>
      </c>
      <c r="L351" s="27">
        <f>VLOOKUP(A351,Sheet1!A:AD,30,0)</f>
        <v>65</v>
      </c>
    </row>
    <row r="352" spans="1:12" x14ac:dyDescent="0.3">
      <c r="A352" s="14" t="s">
        <v>136</v>
      </c>
      <c r="B352" s="19" t="str">
        <f>VLOOKUP(A352,Sheet1!A:E,5,0)</f>
        <v>Megan Jones</v>
      </c>
      <c r="C352" s="19" t="str">
        <f>VLOOKUP(A352,Sheet1!A:I,9,0)</f>
        <v>Female</v>
      </c>
      <c r="D352" s="19">
        <f>VLOOKUP(A352,Sheet1!A:K,11,0)</f>
        <v>47</v>
      </c>
      <c r="E352" s="19" t="str">
        <f>VLOOKUP(A352,Sheet1!A:M,13,0)</f>
        <v>Canada</v>
      </c>
      <c r="F352" s="19" t="str">
        <f>VLOOKUP(A352,Sheet1!A:N,14,0)</f>
        <v>English</v>
      </c>
      <c r="G352" s="19" t="str">
        <f>VLOOKUP(A352,Sheet1!A:O,15,0)</f>
        <v>AI</v>
      </c>
      <c r="H352" s="19">
        <f>VLOOKUP(A352,Sheet1!A:Q,17,0)</f>
        <v>22</v>
      </c>
      <c r="I352" s="20">
        <f>VLOOKUP(A352,Sheet1!A:V,22,0)</f>
        <v>30</v>
      </c>
      <c r="J352" s="21">
        <f>VLOOKUP(A352,Sheet1!A:X,24,0)</f>
        <v>1.3</v>
      </c>
      <c r="K352" s="19" t="str">
        <f>VLOOKUP(A352,Sheet1!A:AB,28,0)</f>
        <v>No</v>
      </c>
      <c r="L352" s="27">
        <f>VLOOKUP(A352,Sheet1!A:AD,30,0)</f>
        <v>62</v>
      </c>
    </row>
    <row r="353" spans="1:12" x14ac:dyDescent="0.3">
      <c r="A353" s="14" t="s">
        <v>635</v>
      </c>
      <c r="B353" s="19" t="str">
        <f>VLOOKUP(A353,Sheet1!A:E,5,0)</f>
        <v>Melanie Harris</v>
      </c>
      <c r="C353" s="19" t="str">
        <f>VLOOKUP(A353,Sheet1!A:I,9,0)</f>
        <v>Female</v>
      </c>
      <c r="D353" s="19">
        <f>VLOOKUP(A353,Sheet1!A:K,11,0)</f>
        <v>47</v>
      </c>
      <c r="E353" s="19" t="str">
        <f>VLOOKUP(A353,Sheet1!A:M,13,0)</f>
        <v>South Africa</v>
      </c>
      <c r="F353" s="19" t="str">
        <f>VLOOKUP(A353,Sheet1!A:N,14,0)</f>
        <v>Afrikaans</v>
      </c>
      <c r="G353" s="19" t="str">
        <f>VLOOKUP(A353,Sheet1!A:O,15,0)</f>
        <v>Mobile Apps</v>
      </c>
      <c r="H353" s="19">
        <f>VLOOKUP(A353,Sheet1!A:Q,17,0)</f>
        <v>14</v>
      </c>
      <c r="I353" s="20">
        <f>VLOOKUP(A353,Sheet1!A:V,22,0)</f>
        <v>52.703313253012048</v>
      </c>
      <c r="J353" s="21">
        <f>VLOOKUP(A353,Sheet1!A:X,24,0)</f>
        <v>2.5565950920245379</v>
      </c>
      <c r="K353" s="19" t="str">
        <f>VLOOKUP(A353,Sheet1!A:AB,28,0)</f>
        <v>No</v>
      </c>
      <c r="L353" s="27">
        <f>VLOOKUP(A353,Sheet1!A:AD,30,0)</f>
        <v>69</v>
      </c>
    </row>
    <row r="354" spans="1:12" x14ac:dyDescent="0.3">
      <c r="A354" s="14" t="s">
        <v>450</v>
      </c>
      <c r="B354" s="19" t="str">
        <f>VLOOKUP(A354,Sheet1!A:E,5,0)</f>
        <v>Michael Black</v>
      </c>
      <c r="C354" s="19" t="str">
        <f>VLOOKUP(A354,Sheet1!A:I,9,0)</f>
        <v>Male</v>
      </c>
      <c r="D354" s="19">
        <f>VLOOKUP(A354,Sheet1!A:K,11,0)</f>
        <v>47</v>
      </c>
      <c r="E354" s="19" t="str">
        <f>VLOOKUP(A354,Sheet1!A:M,13,0)</f>
        <v>South Africa</v>
      </c>
      <c r="F354" s="19" t="str">
        <f>VLOOKUP(A354,Sheet1!A:N,14,0)</f>
        <v>Afrikaans</v>
      </c>
      <c r="G354" s="19" t="str">
        <f>VLOOKUP(A354,Sheet1!A:O,15,0)</f>
        <v>AI</v>
      </c>
      <c r="H354" s="19">
        <f>VLOOKUP(A354,Sheet1!A:Q,17,0)</f>
        <v>14</v>
      </c>
      <c r="I354" s="20">
        <f>VLOOKUP(A354,Sheet1!A:V,22,0)</f>
        <v>30</v>
      </c>
      <c r="J354" s="21">
        <f>VLOOKUP(A354,Sheet1!A:X,24,0)</f>
        <v>0</v>
      </c>
      <c r="K354" s="19" t="str">
        <f>VLOOKUP(A354,Sheet1!A:AB,28,0)</f>
        <v>Yes</v>
      </c>
      <c r="L354" s="27">
        <f>VLOOKUP(A354,Sheet1!A:AD,30,0)</f>
        <v>86</v>
      </c>
    </row>
    <row r="355" spans="1:12" x14ac:dyDescent="0.3">
      <c r="A355" s="14" t="s">
        <v>416</v>
      </c>
      <c r="B355" s="19" t="str">
        <f>VLOOKUP(A355,Sheet1!A:E,5,0)</f>
        <v>Michelle Wu</v>
      </c>
      <c r="C355" s="19" t="str">
        <f>VLOOKUP(A355,Sheet1!A:I,9,0)</f>
        <v>Female</v>
      </c>
      <c r="D355" s="19">
        <f>VLOOKUP(A355,Sheet1!A:K,11,0)</f>
        <v>47</v>
      </c>
      <c r="E355" s="19" t="str">
        <f>VLOOKUP(A355,Sheet1!A:M,13,0)</f>
        <v>Indonesia</v>
      </c>
      <c r="F355" s="19" t="str">
        <f>VLOOKUP(A355,Sheet1!A:N,14,0)</f>
        <v>Indonesian</v>
      </c>
      <c r="G355" s="19" t="str">
        <f>VLOOKUP(A355,Sheet1!A:O,15,0)</f>
        <v>UI/UX Design</v>
      </c>
      <c r="H355" s="19">
        <f>VLOOKUP(A355,Sheet1!A:Q,17,0)</f>
        <v>12</v>
      </c>
      <c r="I355" s="20">
        <f>VLOOKUP(A355,Sheet1!A:V,22,0)</f>
        <v>40</v>
      </c>
      <c r="J355" s="21">
        <f>VLOOKUP(A355,Sheet1!A:X,24,0)</f>
        <v>4.5</v>
      </c>
      <c r="K355" s="19" t="str">
        <f>VLOOKUP(A355,Sheet1!A:AB,28,0)</f>
        <v>No</v>
      </c>
      <c r="L355" s="27">
        <f>VLOOKUP(A355,Sheet1!A:AD,30,0)</f>
        <v>62</v>
      </c>
    </row>
    <row r="356" spans="1:12" x14ac:dyDescent="0.3">
      <c r="A356" s="14" t="s">
        <v>404</v>
      </c>
      <c r="B356" s="19" t="str">
        <f>VLOOKUP(A356,Sheet1!A:E,5,0)</f>
        <v>Mitchell Martin</v>
      </c>
      <c r="C356" s="19" t="str">
        <f>VLOOKUP(A356,Sheet1!A:I,9,0)</f>
        <v>Male</v>
      </c>
      <c r="D356" s="19">
        <f>VLOOKUP(A356,Sheet1!A:K,11,0)</f>
        <v>47</v>
      </c>
      <c r="E356" s="19" t="str">
        <f>VLOOKUP(A356,Sheet1!A:M,13,0)</f>
        <v>South Korea</v>
      </c>
      <c r="F356" s="19" t="str">
        <f>VLOOKUP(A356,Sheet1!A:N,14,0)</f>
        <v>Korean</v>
      </c>
      <c r="G356" s="19" t="str">
        <f>VLOOKUP(A356,Sheet1!A:O,15,0)</f>
        <v>DevOps</v>
      </c>
      <c r="H356" s="19">
        <f>VLOOKUP(A356,Sheet1!A:Q,17,0)</f>
        <v>29</v>
      </c>
      <c r="I356" s="20">
        <f>VLOOKUP(A356,Sheet1!A:V,22,0)</f>
        <v>40</v>
      </c>
      <c r="J356" s="21">
        <f>VLOOKUP(A356,Sheet1!A:X,24,0)</f>
        <v>4.3</v>
      </c>
      <c r="K356" s="19" t="str">
        <f>VLOOKUP(A356,Sheet1!A:AB,28,0)</f>
        <v>Yes</v>
      </c>
      <c r="L356" s="27">
        <f>VLOOKUP(A356,Sheet1!A:AD,30,0)</f>
        <v>95</v>
      </c>
    </row>
    <row r="357" spans="1:12" x14ac:dyDescent="0.3">
      <c r="A357" s="14" t="s">
        <v>182</v>
      </c>
      <c r="B357" s="19" t="str">
        <f>VLOOKUP(A357,Sheet1!A:E,5,0)</f>
        <v>Samantha Simmons</v>
      </c>
      <c r="C357" s="19" t="str">
        <f>VLOOKUP(A357,Sheet1!A:I,9,0)</f>
        <v>Female</v>
      </c>
      <c r="D357" s="19">
        <f>VLOOKUP(A357,Sheet1!A:K,11,0)</f>
        <v>47</v>
      </c>
      <c r="E357" s="19" t="str">
        <f>VLOOKUP(A357,Sheet1!A:M,13,0)</f>
        <v>Egypt</v>
      </c>
      <c r="F357" s="19" t="str">
        <f>VLOOKUP(A357,Sheet1!A:N,14,0)</f>
        <v>Arabic</v>
      </c>
      <c r="G357" s="19" t="str">
        <f>VLOOKUP(A357,Sheet1!A:O,15,0)</f>
        <v>DevOps</v>
      </c>
      <c r="H357" s="19">
        <f>VLOOKUP(A357,Sheet1!A:Q,17,0)</f>
        <v>15</v>
      </c>
      <c r="I357" s="20">
        <f>VLOOKUP(A357,Sheet1!A:V,22,0)</f>
        <v>30</v>
      </c>
      <c r="J357" s="21">
        <f>VLOOKUP(A357,Sheet1!A:X,24,0)</f>
        <v>4.5</v>
      </c>
      <c r="K357" s="19" t="str">
        <f>VLOOKUP(A357,Sheet1!A:AB,28,0)</f>
        <v>Yes</v>
      </c>
      <c r="L357" s="27">
        <f>VLOOKUP(A357,Sheet1!A:AD,30,0)</f>
        <v>85</v>
      </c>
    </row>
    <row r="358" spans="1:12" x14ac:dyDescent="0.3">
      <c r="A358" s="14" t="s">
        <v>936</v>
      </c>
      <c r="B358" s="19" t="str">
        <f>VLOOKUP(A358,Sheet1!A:E,5,0)</f>
        <v>Sheila Smith</v>
      </c>
      <c r="C358" s="19" t="str">
        <f>VLOOKUP(A358,Sheet1!A:I,9,0)</f>
        <v>Female</v>
      </c>
      <c r="D358" s="19">
        <f>VLOOKUP(A358,Sheet1!A:K,11,0)</f>
        <v>47</v>
      </c>
      <c r="E358" s="19" t="str">
        <f>VLOOKUP(A358,Sheet1!A:M,13,0)</f>
        <v>India</v>
      </c>
      <c r="F358" s="19" t="str">
        <f>VLOOKUP(A358,Sheet1!A:N,14,0)</f>
        <v>Hindi</v>
      </c>
      <c r="G358" s="19" t="str">
        <f>VLOOKUP(A358,Sheet1!A:O,15,0)</f>
        <v>Cybersecurity</v>
      </c>
      <c r="H358" s="19">
        <f>VLOOKUP(A358,Sheet1!A:Q,17,0)</f>
        <v>22</v>
      </c>
      <c r="I358" s="20">
        <f>VLOOKUP(A358,Sheet1!A:V,22,0)</f>
        <v>53.821292775665398</v>
      </c>
      <c r="J358" s="21">
        <f>VLOOKUP(A358,Sheet1!A:X,24,0)</f>
        <v>1.4</v>
      </c>
      <c r="K358" s="19" t="str">
        <f>VLOOKUP(A358,Sheet1!A:AB,28,0)</f>
        <v>Yes</v>
      </c>
      <c r="L358" s="27">
        <f>VLOOKUP(A358,Sheet1!A:AD,30,0)</f>
        <v>72</v>
      </c>
    </row>
    <row r="359" spans="1:12" x14ac:dyDescent="0.3">
      <c r="A359" s="14" t="s">
        <v>1964</v>
      </c>
      <c r="B359" s="19" t="str">
        <f>VLOOKUP(A359,Sheet1!A:E,5,0)</f>
        <v>Tony Hester</v>
      </c>
      <c r="C359" s="19" t="str">
        <f>VLOOKUP(A359,Sheet1!A:I,9,0)</f>
        <v>Male</v>
      </c>
      <c r="D359" s="19">
        <f>VLOOKUP(A359,Sheet1!A:K,11,0)</f>
        <v>47</v>
      </c>
      <c r="E359" s="19" t="str">
        <f>VLOOKUP(A359,Sheet1!A:M,13,0)</f>
        <v>South Korea</v>
      </c>
      <c r="F359" s="19" t="str">
        <f>VLOOKUP(A359,Sheet1!A:N,14,0)</f>
        <v>Korean</v>
      </c>
      <c r="G359" s="19" t="str">
        <f>VLOOKUP(A359,Sheet1!A:O,15,0)</f>
        <v>Mobile Apps</v>
      </c>
      <c r="H359" s="19">
        <f>VLOOKUP(A359,Sheet1!A:Q,17,0)</f>
        <v>7</v>
      </c>
      <c r="I359" s="20">
        <f>VLOOKUP(A359,Sheet1!A:V,22,0)</f>
        <v>30</v>
      </c>
      <c r="J359" s="21">
        <f>VLOOKUP(A359,Sheet1!A:X,24,0)</f>
        <v>2.383018867924529</v>
      </c>
      <c r="K359" s="19" t="str">
        <f>VLOOKUP(A359,Sheet1!A:AB,28,0)</f>
        <v>Unknown</v>
      </c>
      <c r="L359" s="27">
        <f>VLOOKUP(A359,Sheet1!A:AD,30,0)</f>
        <v>69</v>
      </c>
    </row>
    <row r="360" spans="1:12" x14ac:dyDescent="0.3">
      <c r="A360" s="14" t="s">
        <v>1909</v>
      </c>
      <c r="B360" s="19" t="str">
        <f>VLOOKUP(A360,Sheet1!A:E,5,0)</f>
        <v>William Hartman</v>
      </c>
      <c r="C360" s="19" t="str">
        <f>VLOOKUP(A360,Sheet1!A:I,9,0)</f>
        <v>Male</v>
      </c>
      <c r="D360" s="19">
        <f>VLOOKUP(A360,Sheet1!A:K,11,0)</f>
        <v>47</v>
      </c>
      <c r="E360" s="19" t="str">
        <f>VLOOKUP(A360,Sheet1!A:M,13,0)</f>
        <v>India</v>
      </c>
      <c r="F360" s="19" t="str">
        <f>VLOOKUP(A360,Sheet1!A:N,14,0)</f>
        <v>Hindi</v>
      </c>
      <c r="G360" s="19" t="str">
        <f>VLOOKUP(A360,Sheet1!A:O,15,0)</f>
        <v>Blockchain Development</v>
      </c>
      <c r="H360" s="19">
        <f>VLOOKUP(A360,Sheet1!A:Q,17,0)</f>
        <v>10</v>
      </c>
      <c r="I360" s="20">
        <f>VLOOKUP(A360,Sheet1!A:V,22,0)</f>
        <v>75</v>
      </c>
      <c r="J360" s="21">
        <f>VLOOKUP(A360,Sheet1!A:X,24,0)</f>
        <v>1.9</v>
      </c>
      <c r="K360" s="19" t="str">
        <f>VLOOKUP(A360,Sheet1!A:AB,28,0)</f>
        <v>Unknown</v>
      </c>
      <c r="L360" s="27">
        <f>VLOOKUP(A360,Sheet1!A:AD,30,0)</f>
        <v>80.948717948717942</v>
      </c>
    </row>
    <row r="361" spans="1:12" x14ac:dyDescent="0.3">
      <c r="A361" s="14" t="s">
        <v>1367</v>
      </c>
      <c r="B361" s="19" t="str">
        <f>VLOOKUP(A361,Sheet1!A:E,5,0)</f>
        <v>Alison Clark</v>
      </c>
      <c r="C361" s="19" t="str">
        <f>VLOOKUP(A361,Sheet1!A:I,9,0)</f>
        <v>Female</v>
      </c>
      <c r="D361" s="19">
        <f>VLOOKUP(A361,Sheet1!A:K,11,0)</f>
        <v>46</v>
      </c>
      <c r="E361" s="19" t="str">
        <f>VLOOKUP(A361,Sheet1!A:M,13,0)</f>
        <v>Australia</v>
      </c>
      <c r="F361" s="19" t="str">
        <f>VLOOKUP(A361,Sheet1!A:N,14,0)</f>
        <v>English</v>
      </c>
      <c r="G361" s="19" t="str">
        <f>VLOOKUP(A361,Sheet1!A:O,15,0)</f>
        <v>Cybersecurity</v>
      </c>
      <c r="H361" s="19">
        <f>VLOOKUP(A361,Sheet1!A:Q,17,0)</f>
        <v>25</v>
      </c>
      <c r="I361" s="20">
        <f>VLOOKUP(A361,Sheet1!A:V,22,0)</f>
        <v>100</v>
      </c>
      <c r="J361" s="21">
        <f>VLOOKUP(A361,Sheet1!A:X,24,0)</f>
        <v>1.3</v>
      </c>
      <c r="K361" s="19" t="str">
        <f>VLOOKUP(A361,Sheet1!A:AB,28,0)</f>
        <v>No</v>
      </c>
      <c r="L361" s="27">
        <f>VLOOKUP(A361,Sheet1!A:AD,30,0)</f>
        <v>80</v>
      </c>
    </row>
    <row r="362" spans="1:12" x14ac:dyDescent="0.3">
      <c r="A362" s="14" t="s">
        <v>1879</v>
      </c>
      <c r="B362" s="19" t="str">
        <f>VLOOKUP(A362,Sheet1!A:E,5,0)</f>
        <v>Anthony Hernandez</v>
      </c>
      <c r="C362" s="19" t="str">
        <f>VLOOKUP(A362,Sheet1!A:I,9,0)</f>
        <v>Male</v>
      </c>
      <c r="D362" s="19">
        <f>VLOOKUP(A362,Sheet1!A:K,11,0)</f>
        <v>46</v>
      </c>
      <c r="E362" s="19" t="str">
        <f>VLOOKUP(A362,Sheet1!A:M,13,0)</f>
        <v>Canada</v>
      </c>
      <c r="F362" s="19" t="str">
        <f>VLOOKUP(A362,Sheet1!A:N,14,0)</f>
        <v>English</v>
      </c>
      <c r="G362" s="19" t="str">
        <f>VLOOKUP(A362,Sheet1!A:O,15,0)</f>
        <v>Graphic Design</v>
      </c>
      <c r="H362" s="19">
        <f>VLOOKUP(A362,Sheet1!A:Q,17,0)</f>
        <v>20</v>
      </c>
      <c r="I362" s="20">
        <f>VLOOKUP(A362,Sheet1!A:V,22,0)</f>
        <v>20</v>
      </c>
      <c r="J362" s="21">
        <f>VLOOKUP(A362,Sheet1!A:X,24,0)</f>
        <v>1.2</v>
      </c>
      <c r="K362" s="19" t="str">
        <f>VLOOKUP(A362,Sheet1!A:AB,28,0)</f>
        <v>No</v>
      </c>
      <c r="L362" s="27">
        <f>VLOOKUP(A362,Sheet1!A:AD,30,0)</f>
        <v>74</v>
      </c>
    </row>
    <row r="363" spans="1:12" x14ac:dyDescent="0.3">
      <c r="A363" s="14" t="s">
        <v>1241</v>
      </c>
      <c r="B363" s="19" t="str">
        <f>VLOOKUP(A363,Sheet1!A:E,5,0)</f>
        <v>Antonio Johnson</v>
      </c>
      <c r="C363" s="19" t="str">
        <f>VLOOKUP(A363,Sheet1!A:I,9,0)</f>
        <v>Male</v>
      </c>
      <c r="D363" s="19">
        <f>VLOOKUP(A363,Sheet1!A:K,11,0)</f>
        <v>46</v>
      </c>
      <c r="E363" s="19" t="str">
        <f>VLOOKUP(A363,Sheet1!A:M,13,0)</f>
        <v>Mexico</v>
      </c>
      <c r="F363" s="19" t="str">
        <f>VLOOKUP(A363,Sheet1!A:N,14,0)</f>
        <v>Spanish</v>
      </c>
      <c r="G363" s="19" t="str">
        <f>VLOOKUP(A363,Sheet1!A:O,15,0)</f>
        <v>Graphic Design</v>
      </c>
      <c r="H363" s="19">
        <f>VLOOKUP(A363,Sheet1!A:Q,17,0)</f>
        <v>11</v>
      </c>
      <c r="I363" s="20">
        <f>VLOOKUP(A363,Sheet1!A:V,22,0)</f>
        <v>53.810741687979537</v>
      </c>
      <c r="J363" s="21">
        <f>VLOOKUP(A363,Sheet1!A:X,24,0)</f>
        <v>1.8</v>
      </c>
      <c r="K363" s="19" t="str">
        <f>VLOOKUP(A363,Sheet1!A:AB,28,0)</f>
        <v>Yes</v>
      </c>
      <c r="L363" s="27">
        <f>VLOOKUP(A363,Sheet1!A:AD,30,0)</f>
        <v>91</v>
      </c>
    </row>
    <row r="364" spans="1:12" x14ac:dyDescent="0.3">
      <c r="A364" s="14" t="s">
        <v>1000</v>
      </c>
      <c r="B364" s="19" t="str">
        <f>VLOOKUP(A364,Sheet1!A:E,5,0)</f>
        <v>Curtis Maxwell</v>
      </c>
      <c r="C364" s="19" t="str">
        <f>VLOOKUP(A364,Sheet1!A:I,9,0)</f>
        <v>Male</v>
      </c>
      <c r="D364" s="19">
        <f>VLOOKUP(A364,Sheet1!A:K,11,0)</f>
        <v>46</v>
      </c>
      <c r="E364" s="19" t="str">
        <f>VLOOKUP(A364,Sheet1!A:M,13,0)</f>
        <v>Indonesia</v>
      </c>
      <c r="F364" s="19" t="str">
        <f>VLOOKUP(A364,Sheet1!A:N,14,0)</f>
        <v>Indonesian</v>
      </c>
      <c r="G364" s="19" t="str">
        <f>VLOOKUP(A364,Sheet1!A:O,15,0)</f>
        <v>AI</v>
      </c>
      <c r="H364" s="19">
        <f>VLOOKUP(A364,Sheet1!A:Q,17,0)</f>
        <v>16</v>
      </c>
      <c r="I364" s="20">
        <f>VLOOKUP(A364,Sheet1!A:V,22,0)</f>
        <v>20</v>
      </c>
      <c r="J364" s="21">
        <f>VLOOKUP(A364,Sheet1!A:X,24,0)</f>
        <v>4.8</v>
      </c>
      <c r="K364" s="19" t="str">
        <f>VLOOKUP(A364,Sheet1!A:AB,28,0)</f>
        <v>Yes</v>
      </c>
      <c r="L364" s="27">
        <f>VLOOKUP(A364,Sheet1!A:AD,30,0)</f>
        <v>86</v>
      </c>
    </row>
    <row r="365" spans="1:12" x14ac:dyDescent="0.3">
      <c r="A365" s="14" t="s">
        <v>1345</v>
      </c>
      <c r="B365" s="19" t="str">
        <f>VLOOKUP(A365,Sheet1!A:E,5,0)</f>
        <v>Denise Erickson</v>
      </c>
      <c r="C365" s="19" t="str">
        <f>VLOOKUP(A365,Sheet1!A:I,9,0)</f>
        <v>Female</v>
      </c>
      <c r="D365" s="19">
        <f>VLOOKUP(A365,Sheet1!A:K,11,0)</f>
        <v>46</v>
      </c>
      <c r="E365" s="19" t="str">
        <f>VLOOKUP(A365,Sheet1!A:M,13,0)</f>
        <v>Italy</v>
      </c>
      <c r="F365" s="19" t="str">
        <f>VLOOKUP(A365,Sheet1!A:N,14,0)</f>
        <v>Italian</v>
      </c>
      <c r="G365" s="19" t="str">
        <f>VLOOKUP(A365,Sheet1!A:O,15,0)</f>
        <v>Mobile Apps</v>
      </c>
      <c r="H365" s="19">
        <f>VLOOKUP(A365,Sheet1!A:Q,17,0)</f>
        <v>13</v>
      </c>
      <c r="I365" s="20">
        <f>VLOOKUP(A365,Sheet1!A:V,22,0)</f>
        <v>100</v>
      </c>
      <c r="J365" s="21">
        <f>VLOOKUP(A365,Sheet1!A:X,24,0)</f>
        <v>4.4000000000000004</v>
      </c>
      <c r="K365" s="19" t="str">
        <f>VLOOKUP(A365,Sheet1!A:AB,28,0)</f>
        <v>Yes</v>
      </c>
      <c r="L365" s="27">
        <f>VLOOKUP(A365,Sheet1!A:AD,30,0)</f>
        <v>97</v>
      </c>
    </row>
    <row r="366" spans="1:12" x14ac:dyDescent="0.3">
      <c r="A366" s="14" t="s">
        <v>1339</v>
      </c>
      <c r="B366" s="19" t="str">
        <f>VLOOKUP(A366,Sheet1!A:E,5,0)</f>
        <v>Heidi Dixon</v>
      </c>
      <c r="C366" s="19" t="str">
        <f>VLOOKUP(A366,Sheet1!A:I,9,0)</f>
        <v>Female</v>
      </c>
      <c r="D366" s="19">
        <f>VLOOKUP(A366,Sheet1!A:K,11,0)</f>
        <v>46</v>
      </c>
      <c r="E366" s="19" t="str">
        <f>VLOOKUP(A366,Sheet1!A:M,13,0)</f>
        <v>China</v>
      </c>
      <c r="F366" s="19" t="str">
        <f>VLOOKUP(A366,Sheet1!A:N,14,0)</f>
        <v>Mandarin</v>
      </c>
      <c r="G366" s="19" t="str">
        <f>VLOOKUP(A366,Sheet1!A:O,15,0)</f>
        <v>DevOps</v>
      </c>
      <c r="H366" s="19">
        <f>VLOOKUP(A366,Sheet1!A:Q,17,0)</f>
        <v>5</v>
      </c>
      <c r="I366" s="20">
        <f>VLOOKUP(A366,Sheet1!A:V,22,0)</f>
        <v>30</v>
      </c>
      <c r="J366" s="21">
        <f>VLOOKUP(A366,Sheet1!A:X,24,0)</f>
        <v>2</v>
      </c>
      <c r="K366" s="19" t="str">
        <f>VLOOKUP(A366,Sheet1!A:AB,28,0)</f>
        <v>Yes</v>
      </c>
      <c r="L366" s="27">
        <f>VLOOKUP(A366,Sheet1!A:AD,30,0)</f>
        <v>64</v>
      </c>
    </row>
    <row r="367" spans="1:12" x14ac:dyDescent="0.3">
      <c r="A367" s="14" t="s">
        <v>1846</v>
      </c>
      <c r="B367" s="19" t="str">
        <f>VLOOKUP(A367,Sheet1!A:E,5,0)</f>
        <v>Jeremiah Thompson</v>
      </c>
      <c r="C367" s="19" t="str">
        <f>VLOOKUP(A367,Sheet1!A:I,9,0)</f>
        <v>Male</v>
      </c>
      <c r="D367" s="19">
        <f>VLOOKUP(A367,Sheet1!A:K,11,0)</f>
        <v>46</v>
      </c>
      <c r="E367" s="19" t="str">
        <f>VLOOKUP(A367,Sheet1!A:M,13,0)</f>
        <v>United States</v>
      </c>
      <c r="F367" s="19" t="str">
        <f>VLOOKUP(A367,Sheet1!A:N,14,0)</f>
        <v>English</v>
      </c>
      <c r="G367" s="19" t="str">
        <f>VLOOKUP(A367,Sheet1!A:O,15,0)</f>
        <v>UI/UX Design</v>
      </c>
      <c r="H367" s="19">
        <f>VLOOKUP(A367,Sheet1!A:Q,17,0)</f>
        <v>24</v>
      </c>
      <c r="I367" s="20">
        <f>VLOOKUP(A367,Sheet1!A:V,22,0)</f>
        <v>40</v>
      </c>
      <c r="J367" s="21">
        <f>VLOOKUP(A367,Sheet1!A:X,24,0)</f>
        <v>3.3</v>
      </c>
      <c r="K367" s="19" t="str">
        <f>VLOOKUP(A367,Sheet1!A:AB,28,0)</f>
        <v>Yes</v>
      </c>
      <c r="L367" s="27">
        <f>VLOOKUP(A367,Sheet1!A:AD,30,0)</f>
        <v>87</v>
      </c>
    </row>
    <row r="368" spans="1:12" x14ac:dyDescent="0.3">
      <c r="A368" s="14" t="s">
        <v>2074</v>
      </c>
      <c r="B368" s="19" t="str">
        <f>VLOOKUP(A368,Sheet1!A:E,5,0)</f>
        <v>Jim Weiss</v>
      </c>
      <c r="C368" s="19" t="str">
        <f>VLOOKUP(A368,Sheet1!A:I,9,0)</f>
        <v>Male</v>
      </c>
      <c r="D368" s="19">
        <f>VLOOKUP(A368,Sheet1!A:K,11,0)</f>
        <v>46</v>
      </c>
      <c r="E368" s="19" t="str">
        <f>VLOOKUP(A368,Sheet1!A:M,13,0)</f>
        <v>Russia</v>
      </c>
      <c r="F368" s="19" t="str">
        <f>VLOOKUP(A368,Sheet1!A:N,14,0)</f>
        <v>Russian</v>
      </c>
      <c r="G368" s="19" t="str">
        <f>VLOOKUP(A368,Sheet1!A:O,15,0)</f>
        <v>Mobile Apps</v>
      </c>
      <c r="H368" s="19">
        <f>VLOOKUP(A368,Sheet1!A:Q,17,0)</f>
        <v>8</v>
      </c>
      <c r="I368" s="20">
        <f>VLOOKUP(A368,Sheet1!A:V,22,0)</f>
        <v>20</v>
      </c>
      <c r="J368" s="21">
        <f>VLOOKUP(A368,Sheet1!A:X,24,0)</f>
        <v>2.2000000000000002</v>
      </c>
      <c r="K368" s="19" t="str">
        <f>VLOOKUP(A368,Sheet1!A:AB,28,0)</f>
        <v>Unknown</v>
      </c>
      <c r="L368" s="27">
        <f>VLOOKUP(A368,Sheet1!A:AD,30,0)</f>
        <v>89</v>
      </c>
    </row>
    <row r="369" spans="1:12" x14ac:dyDescent="0.3">
      <c r="A369" s="14" t="s">
        <v>1389</v>
      </c>
      <c r="B369" s="19" t="str">
        <f>VLOOKUP(A369,Sheet1!A:E,5,0)</f>
        <v>Joel Randolph</v>
      </c>
      <c r="C369" s="19" t="str">
        <f>VLOOKUP(A369,Sheet1!A:I,9,0)</f>
        <v>Male</v>
      </c>
      <c r="D369" s="19">
        <f>VLOOKUP(A369,Sheet1!A:K,11,0)</f>
        <v>46</v>
      </c>
      <c r="E369" s="19" t="str">
        <f>VLOOKUP(A369,Sheet1!A:M,13,0)</f>
        <v>Brazil</v>
      </c>
      <c r="F369" s="19" t="str">
        <f>VLOOKUP(A369,Sheet1!A:N,14,0)</f>
        <v>Portuguese</v>
      </c>
      <c r="G369" s="19" t="str">
        <f>VLOOKUP(A369,Sheet1!A:O,15,0)</f>
        <v>Machine Learning</v>
      </c>
      <c r="H369" s="19">
        <f>VLOOKUP(A369,Sheet1!A:Q,17,0)</f>
        <v>20</v>
      </c>
      <c r="I369" s="20">
        <f>VLOOKUP(A369,Sheet1!A:V,22,0)</f>
        <v>53.4984520123839</v>
      </c>
      <c r="J369" s="21">
        <f>VLOOKUP(A369,Sheet1!A:X,24,0)</f>
        <v>4.8</v>
      </c>
      <c r="K369" s="19" t="str">
        <f>VLOOKUP(A369,Sheet1!A:AB,28,0)</f>
        <v>Yes</v>
      </c>
      <c r="L369" s="27">
        <f>VLOOKUP(A369,Sheet1!A:AD,30,0)</f>
        <v>82</v>
      </c>
    </row>
    <row r="370" spans="1:12" x14ac:dyDescent="0.3">
      <c r="A370" s="14" t="s">
        <v>2084</v>
      </c>
      <c r="B370" s="19" t="str">
        <f>VLOOKUP(A370,Sheet1!A:E,5,0)</f>
        <v>John Obrien</v>
      </c>
      <c r="C370" s="19" t="str">
        <f>VLOOKUP(A370,Sheet1!A:I,9,0)</f>
        <v>Male</v>
      </c>
      <c r="D370" s="19">
        <f>VLOOKUP(A370,Sheet1!A:K,11,0)</f>
        <v>46</v>
      </c>
      <c r="E370" s="19" t="str">
        <f>VLOOKUP(A370,Sheet1!A:M,13,0)</f>
        <v>Russia</v>
      </c>
      <c r="F370" s="19" t="str">
        <f>VLOOKUP(A370,Sheet1!A:N,14,0)</f>
        <v>Russian</v>
      </c>
      <c r="G370" s="19" t="str">
        <f>VLOOKUP(A370,Sheet1!A:O,15,0)</f>
        <v>Machine Learning</v>
      </c>
      <c r="H370" s="19">
        <f>VLOOKUP(A370,Sheet1!A:Q,17,0)</f>
        <v>22</v>
      </c>
      <c r="I370" s="20">
        <f>VLOOKUP(A370,Sheet1!A:V,22,0)</f>
        <v>100</v>
      </c>
      <c r="J370" s="21">
        <f>VLOOKUP(A370,Sheet1!A:X,24,0)</f>
        <v>2.8</v>
      </c>
      <c r="K370" s="19" t="str">
        <f>VLOOKUP(A370,Sheet1!A:AB,28,0)</f>
        <v>Yes</v>
      </c>
      <c r="L370" s="27">
        <f>VLOOKUP(A370,Sheet1!A:AD,30,0)</f>
        <v>97</v>
      </c>
    </row>
    <row r="371" spans="1:12" x14ac:dyDescent="0.3">
      <c r="A371" s="14" t="s">
        <v>675</v>
      </c>
      <c r="B371" s="19" t="str">
        <f>VLOOKUP(A371,Sheet1!A:E,5,0)</f>
        <v>Joseph Mendoza</v>
      </c>
      <c r="C371" s="19" t="str">
        <f>VLOOKUP(A371,Sheet1!A:I,9,0)</f>
        <v>Male</v>
      </c>
      <c r="D371" s="19">
        <f>VLOOKUP(A371,Sheet1!A:K,11,0)</f>
        <v>46</v>
      </c>
      <c r="E371" s="19" t="str">
        <f>VLOOKUP(A371,Sheet1!A:M,13,0)</f>
        <v>Indonesia</v>
      </c>
      <c r="F371" s="19" t="str">
        <f>VLOOKUP(A371,Sheet1!A:N,14,0)</f>
        <v>Indonesian</v>
      </c>
      <c r="G371" s="19" t="str">
        <f>VLOOKUP(A371,Sheet1!A:O,15,0)</f>
        <v>UI/UX Design</v>
      </c>
      <c r="H371" s="19">
        <f>VLOOKUP(A371,Sheet1!A:Q,17,0)</f>
        <v>0</v>
      </c>
      <c r="I371" s="20">
        <f>VLOOKUP(A371,Sheet1!A:V,22,0)</f>
        <v>52.623839009287927</v>
      </c>
      <c r="J371" s="21">
        <f>VLOOKUP(A371,Sheet1!A:X,24,0)</f>
        <v>1.8</v>
      </c>
      <c r="K371" s="19" t="str">
        <f>VLOOKUP(A371,Sheet1!A:AB,28,0)</f>
        <v>No</v>
      </c>
      <c r="L371" s="27">
        <f>VLOOKUP(A371,Sheet1!A:AD,30,0)</f>
        <v>88</v>
      </c>
    </row>
    <row r="372" spans="1:12" x14ac:dyDescent="0.3">
      <c r="A372" s="14" t="s">
        <v>313</v>
      </c>
      <c r="B372" s="19" t="str">
        <f>VLOOKUP(A372,Sheet1!A:E,5,0)</f>
        <v>Kimberly Griffin</v>
      </c>
      <c r="C372" s="19" t="str">
        <f>VLOOKUP(A372,Sheet1!A:I,9,0)</f>
        <v>Female</v>
      </c>
      <c r="D372" s="19">
        <f>VLOOKUP(A372,Sheet1!A:K,11,0)</f>
        <v>46</v>
      </c>
      <c r="E372" s="19" t="str">
        <f>VLOOKUP(A372,Sheet1!A:M,13,0)</f>
        <v>United States</v>
      </c>
      <c r="F372" s="19" t="str">
        <f>VLOOKUP(A372,Sheet1!A:N,14,0)</f>
        <v>English</v>
      </c>
      <c r="G372" s="19" t="str">
        <f>VLOOKUP(A372,Sheet1!A:O,15,0)</f>
        <v>AI</v>
      </c>
      <c r="H372" s="19">
        <f>VLOOKUP(A372,Sheet1!A:Q,17,0)</f>
        <v>9</v>
      </c>
      <c r="I372" s="20">
        <f>VLOOKUP(A372,Sheet1!A:V,22,0)</f>
        <v>30</v>
      </c>
      <c r="J372" s="21">
        <f>VLOOKUP(A372,Sheet1!A:X,24,0)</f>
        <v>3.5</v>
      </c>
      <c r="K372" s="19" t="str">
        <f>VLOOKUP(A372,Sheet1!A:AB,28,0)</f>
        <v>Unknown</v>
      </c>
      <c r="L372" s="27">
        <f>VLOOKUP(A372,Sheet1!A:AD,30,0)</f>
        <v>72</v>
      </c>
    </row>
    <row r="373" spans="1:12" x14ac:dyDescent="0.3">
      <c r="A373" s="14" t="s">
        <v>667</v>
      </c>
      <c r="B373" s="19" t="str">
        <f>VLOOKUP(A373,Sheet1!A:E,5,0)</f>
        <v>Lauren Ross</v>
      </c>
      <c r="C373" s="19" t="str">
        <f>VLOOKUP(A373,Sheet1!A:I,9,0)</f>
        <v>Female</v>
      </c>
      <c r="D373" s="19">
        <f>VLOOKUP(A373,Sheet1!A:K,11,0)</f>
        <v>46</v>
      </c>
      <c r="E373" s="19" t="str">
        <f>VLOOKUP(A373,Sheet1!A:M,13,0)</f>
        <v>South Korea</v>
      </c>
      <c r="F373" s="19" t="str">
        <f>VLOOKUP(A373,Sheet1!A:N,14,0)</f>
        <v>Korean</v>
      </c>
      <c r="G373" s="19" t="str">
        <f>VLOOKUP(A373,Sheet1!A:O,15,0)</f>
        <v>Machine Learning</v>
      </c>
      <c r="H373" s="19">
        <f>VLOOKUP(A373,Sheet1!A:Q,17,0)</f>
        <v>12</v>
      </c>
      <c r="I373" s="20">
        <f>VLOOKUP(A373,Sheet1!A:V,22,0)</f>
        <v>20</v>
      </c>
      <c r="J373" s="21">
        <f>VLOOKUP(A373,Sheet1!A:X,24,0)</f>
        <v>0</v>
      </c>
      <c r="K373" s="19" t="str">
        <f>VLOOKUP(A373,Sheet1!A:AB,28,0)</f>
        <v>No</v>
      </c>
      <c r="L373" s="27">
        <f>VLOOKUP(A373,Sheet1!A:AD,30,0)</f>
        <v>89</v>
      </c>
    </row>
    <row r="374" spans="1:12" x14ac:dyDescent="0.3">
      <c r="A374" s="14" t="s">
        <v>382</v>
      </c>
      <c r="B374" s="19" t="str">
        <f>VLOOKUP(A374,Sheet1!A:E,5,0)</f>
        <v>Lee Fowler</v>
      </c>
      <c r="C374" s="19" t="str">
        <f>VLOOKUP(A374,Sheet1!A:I,9,0)</f>
        <v>Male</v>
      </c>
      <c r="D374" s="19">
        <f>VLOOKUP(A374,Sheet1!A:K,11,0)</f>
        <v>46</v>
      </c>
      <c r="E374" s="19" t="str">
        <f>VLOOKUP(A374,Sheet1!A:M,13,0)</f>
        <v>United Kingdom</v>
      </c>
      <c r="F374" s="19" t="str">
        <f>VLOOKUP(A374,Sheet1!A:N,14,0)</f>
        <v>English</v>
      </c>
      <c r="G374" s="19" t="str">
        <f>VLOOKUP(A374,Sheet1!A:O,15,0)</f>
        <v>Cybersecurity</v>
      </c>
      <c r="H374" s="19">
        <f>VLOOKUP(A374,Sheet1!A:Q,17,0)</f>
        <v>9</v>
      </c>
      <c r="I374" s="20">
        <f>VLOOKUP(A374,Sheet1!A:V,22,0)</f>
        <v>20</v>
      </c>
      <c r="J374" s="21">
        <f>VLOOKUP(A374,Sheet1!A:X,24,0)</f>
        <v>0</v>
      </c>
      <c r="K374" s="19" t="str">
        <f>VLOOKUP(A374,Sheet1!A:AB,28,0)</f>
        <v>No</v>
      </c>
      <c r="L374" s="27">
        <f>VLOOKUP(A374,Sheet1!A:AD,30,0)</f>
        <v>82</v>
      </c>
    </row>
    <row r="375" spans="1:12" x14ac:dyDescent="0.3">
      <c r="A375" s="14" t="s">
        <v>1708</v>
      </c>
      <c r="B375" s="19" t="str">
        <f>VLOOKUP(A375,Sheet1!A:E,5,0)</f>
        <v>Melody Barker</v>
      </c>
      <c r="C375" s="19" t="str">
        <f>VLOOKUP(A375,Sheet1!A:I,9,0)</f>
        <v>Female</v>
      </c>
      <c r="D375" s="19">
        <f>VLOOKUP(A375,Sheet1!A:K,11,0)</f>
        <v>46</v>
      </c>
      <c r="E375" s="19" t="str">
        <f>VLOOKUP(A375,Sheet1!A:M,13,0)</f>
        <v>Russia</v>
      </c>
      <c r="F375" s="19" t="str">
        <f>VLOOKUP(A375,Sheet1!A:N,14,0)</f>
        <v>Russian</v>
      </c>
      <c r="G375" s="19" t="str">
        <f>VLOOKUP(A375,Sheet1!A:O,15,0)</f>
        <v>Web Development</v>
      </c>
      <c r="H375" s="19">
        <f>VLOOKUP(A375,Sheet1!A:Q,17,0)</f>
        <v>28</v>
      </c>
      <c r="I375" s="20">
        <f>VLOOKUP(A375,Sheet1!A:V,22,0)</f>
        <v>30</v>
      </c>
      <c r="J375" s="21">
        <f>VLOOKUP(A375,Sheet1!A:X,24,0)</f>
        <v>4.2</v>
      </c>
      <c r="K375" s="19" t="str">
        <f>VLOOKUP(A375,Sheet1!A:AB,28,0)</f>
        <v>Yes</v>
      </c>
      <c r="L375" s="27">
        <f>VLOOKUP(A375,Sheet1!A:AD,30,0)</f>
        <v>79.509433962264154</v>
      </c>
    </row>
    <row r="376" spans="1:12" x14ac:dyDescent="0.3">
      <c r="A376" s="14" t="s">
        <v>695</v>
      </c>
      <c r="B376" s="19" t="str">
        <f>VLOOKUP(A376,Sheet1!A:E,5,0)</f>
        <v>Miguel Rogers</v>
      </c>
      <c r="C376" s="19" t="str">
        <f>VLOOKUP(A376,Sheet1!A:I,9,0)</f>
        <v>Male</v>
      </c>
      <c r="D376" s="19">
        <f>VLOOKUP(A376,Sheet1!A:K,11,0)</f>
        <v>46</v>
      </c>
      <c r="E376" s="19" t="str">
        <f>VLOOKUP(A376,Sheet1!A:M,13,0)</f>
        <v>India</v>
      </c>
      <c r="F376" s="19" t="str">
        <f>VLOOKUP(A376,Sheet1!A:N,14,0)</f>
        <v>Hindi</v>
      </c>
      <c r="G376" s="19" t="str">
        <f>VLOOKUP(A376,Sheet1!A:O,15,0)</f>
        <v>Machine Learning</v>
      </c>
      <c r="H376" s="19">
        <f>VLOOKUP(A376,Sheet1!A:Q,17,0)</f>
        <v>13</v>
      </c>
      <c r="I376" s="20">
        <f>VLOOKUP(A376,Sheet1!A:V,22,0)</f>
        <v>100</v>
      </c>
      <c r="J376" s="21">
        <f>VLOOKUP(A376,Sheet1!A:X,24,0)</f>
        <v>0</v>
      </c>
      <c r="K376" s="19" t="str">
        <f>VLOOKUP(A376,Sheet1!A:AB,28,0)</f>
        <v>Yes</v>
      </c>
      <c r="L376" s="27">
        <f>VLOOKUP(A376,Sheet1!A:AD,30,0)</f>
        <v>97</v>
      </c>
    </row>
    <row r="377" spans="1:12" x14ac:dyDescent="0.3">
      <c r="A377" s="14" t="s">
        <v>434</v>
      </c>
      <c r="B377" s="19" t="str">
        <f>VLOOKUP(A377,Sheet1!A:E,5,0)</f>
        <v>Nicholas Carpenter</v>
      </c>
      <c r="C377" s="19" t="str">
        <f>VLOOKUP(A377,Sheet1!A:I,9,0)</f>
        <v>Male</v>
      </c>
      <c r="D377" s="19">
        <f>VLOOKUP(A377,Sheet1!A:K,11,0)</f>
        <v>46</v>
      </c>
      <c r="E377" s="19" t="str">
        <f>VLOOKUP(A377,Sheet1!A:M,13,0)</f>
        <v>France</v>
      </c>
      <c r="F377" s="19" t="str">
        <f>VLOOKUP(A377,Sheet1!A:N,14,0)</f>
        <v>French</v>
      </c>
      <c r="G377" s="19" t="str">
        <f>VLOOKUP(A377,Sheet1!A:O,15,0)</f>
        <v>DevOps</v>
      </c>
      <c r="H377" s="19">
        <f>VLOOKUP(A377,Sheet1!A:Q,17,0)</f>
        <v>23</v>
      </c>
      <c r="I377" s="20">
        <f>VLOOKUP(A377,Sheet1!A:V,22,0)</f>
        <v>20</v>
      </c>
      <c r="J377" s="21">
        <f>VLOOKUP(A377,Sheet1!A:X,24,0)</f>
        <v>2.9</v>
      </c>
      <c r="K377" s="19" t="str">
        <f>VLOOKUP(A377,Sheet1!A:AB,28,0)</f>
        <v>No</v>
      </c>
      <c r="L377" s="27">
        <f>VLOOKUP(A377,Sheet1!A:AD,30,0)</f>
        <v>72</v>
      </c>
    </row>
    <row r="378" spans="1:12" x14ac:dyDescent="0.3">
      <c r="A378" s="14" t="s">
        <v>859</v>
      </c>
      <c r="B378" s="19" t="str">
        <f>VLOOKUP(A378,Sheet1!A:E,5,0)</f>
        <v>Nicole Marks</v>
      </c>
      <c r="C378" s="19" t="str">
        <f>VLOOKUP(A378,Sheet1!A:I,9,0)</f>
        <v>Female</v>
      </c>
      <c r="D378" s="19">
        <f>VLOOKUP(A378,Sheet1!A:K,11,0)</f>
        <v>46</v>
      </c>
      <c r="E378" s="19" t="str">
        <f>VLOOKUP(A378,Sheet1!A:M,13,0)</f>
        <v>Egypt</v>
      </c>
      <c r="F378" s="19" t="str">
        <f>VLOOKUP(A378,Sheet1!A:N,14,0)</f>
        <v>Arabic</v>
      </c>
      <c r="G378" s="19" t="str">
        <f>VLOOKUP(A378,Sheet1!A:O,15,0)</f>
        <v>Data Analysis</v>
      </c>
      <c r="H378" s="19">
        <f>VLOOKUP(A378,Sheet1!A:Q,17,0)</f>
        <v>10</v>
      </c>
      <c r="I378" s="20">
        <f>VLOOKUP(A378,Sheet1!A:V,22,0)</f>
        <v>20</v>
      </c>
      <c r="J378" s="21">
        <f>VLOOKUP(A378,Sheet1!A:X,24,0)</f>
        <v>2.5</v>
      </c>
      <c r="K378" s="19" t="str">
        <f>VLOOKUP(A378,Sheet1!A:AB,28,0)</f>
        <v>Yes</v>
      </c>
      <c r="L378" s="27">
        <f>VLOOKUP(A378,Sheet1!A:AD,30,0)</f>
        <v>97</v>
      </c>
    </row>
    <row r="379" spans="1:12" x14ac:dyDescent="0.3">
      <c r="A379" s="14" t="s">
        <v>1924</v>
      </c>
      <c r="B379" s="19" t="str">
        <f>VLOOKUP(A379,Sheet1!A:E,5,0)</f>
        <v>Paul Campbell</v>
      </c>
      <c r="C379" s="19" t="str">
        <f>VLOOKUP(A379,Sheet1!A:I,9,0)</f>
        <v>Male</v>
      </c>
      <c r="D379" s="19">
        <f>VLOOKUP(A379,Sheet1!A:K,11,0)</f>
        <v>46</v>
      </c>
      <c r="E379" s="19" t="str">
        <f>VLOOKUP(A379,Sheet1!A:M,13,0)</f>
        <v>South Africa</v>
      </c>
      <c r="F379" s="19" t="str">
        <f>VLOOKUP(A379,Sheet1!A:N,14,0)</f>
        <v>Afrikaans</v>
      </c>
      <c r="G379" s="19" t="str">
        <f>VLOOKUP(A379,Sheet1!A:O,15,0)</f>
        <v>UI/UX Design</v>
      </c>
      <c r="H379" s="19">
        <f>VLOOKUP(A379,Sheet1!A:Q,17,0)</f>
        <v>6</v>
      </c>
      <c r="I379" s="20">
        <f>VLOOKUP(A379,Sheet1!A:V,22,0)</f>
        <v>30</v>
      </c>
      <c r="J379" s="21">
        <f>VLOOKUP(A379,Sheet1!A:X,24,0)</f>
        <v>1.5</v>
      </c>
      <c r="K379" s="19" t="str">
        <f>VLOOKUP(A379,Sheet1!A:AB,28,0)</f>
        <v>No</v>
      </c>
      <c r="L379" s="27">
        <f>VLOOKUP(A379,Sheet1!A:AD,30,0)</f>
        <v>81.166666666666671</v>
      </c>
    </row>
    <row r="380" spans="1:12" x14ac:dyDescent="0.3">
      <c r="A380" s="14" t="s">
        <v>507</v>
      </c>
      <c r="B380" s="19" t="str">
        <f>VLOOKUP(A380,Sheet1!A:E,5,0)</f>
        <v>Peter Reyes</v>
      </c>
      <c r="C380" s="19" t="str">
        <f>VLOOKUP(A380,Sheet1!A:I,9,0)</f>
        <v>Male</v>
      </c>
      <c r="D380" s="19">
        <f>VLOOKUP(A380,Sheet1!A:K,11,0)</f>
        <v>46</v>
      </c>
      <c r="E380" s="19" t="str">
        <f>VLOOKUP(A380,Sheet1!A:M,13,0)</f>
        <v>Canada</v>
      </c>
      <c r="F380" s="19" t="str">
        <f>VLOOKUP(A380,Sheet1!A:N,14,0)</f>
        <v>English</v>
      </c>
      <c r="G380" s="19" t="str">
        <f>VLOOKUP(A380,Sheet1!A:O,15,0)</f>
        <v>UI/UX Design</v>
      </c>
      <c r="H380" s="19">
        <f>VLOOKUP(A380,Sheet1!A:Q,17,0)</f>
        <v>5</v>
      </c>
      <c r="I380" s="20">
        <f>VLOOKUP(A380,Sheet1!A:V,22,0)</f>
        <v>20</v>
      </c>
      <c r="J380" s="21">
        <f>VLOOKUP(A380,Sheet1!A:X,24,0)</f>
        <v>2.2000000000000002</v>
      </c>
      <c r="K380" s="19" t="str">
        <f>VLOOKUP(A380,Sheet1!A:AB,28,0)</f>
        <v>No</v>
      </c>
      <c r="L380" s="27">
        <f>VLOOKUP(A380,Sheet1!A:AD,30,0)</f>
        <v>75</v>
      </c>
    </row>
    <row r="381" spans="1:12" x14ac:dyDescent="0.3">
      <c r="A381" s="14" t="s">
        <v>147</v>
      </c>
      <c r="B381" s="19" t="str">
        <f>VLOOKUP(A381,Sheet1!A:E,5,0)</f>
        <v>Robert Nelson</v>
      </c>
      <c r="C381" s="19" t="str">
        <f>VLOOKUP(A381,Sheet1!A:I,9,0)</f>
        <v>Male</v>
      </c>
      <c r="D381" s="19">
        <f>VLOOKUP(A381,Sheet1!A:K,11,0)</f>
        <v>46</v>
      </c>
      <c r="E381" s="19" t="str">
        <f>VLOOKUP(A381,Sheet1!A:M,13,0)</f>
        <v>Egypt</v>
      </c>
      <c r="F381" s="19" t="str">
        <f>VLOOKUP(A381,Sheet1!A:N,14,0)</f>
        <v>Arabic</v>
      </c>
      <c r="G381" s="19" t="str">
        <f>VLOOKUP(A381,Sheet1!A:O,15,0)</f>
        <v>AI</v>
      </c>
      <c r="H381" s="19">
        <f>VLOOKUP(A381,Sheet1!A:Q,17,0)</f>
        <v>9</v>
      </c>
      <c r="I381" s="20">
        <f>VLOOKUP(A381,Sheet1!A:V,22,0)</f>
        <v>20</v>
      </c>
      <c r="J381" s="21">
        <f>VLOOKUP(A381,Sheet1!A:X,24,0)</f>
        <v>1.4</v>
      </c>
      <c r="K381" s="19" t="str">
        <f>VLOOKUP(A381,Sheet1!A:AB,28,0)</f>
        <v>Yes</v>
      </c>
      <c r="L381" s="27">
        <f>VLOOKUP(A381,Sheet1!A:AD,30,0)</f>
        <v>76</v>
      </c>
    </row>
    <row r="382" spans="1:12" x14ac:dyDescent="0.3">
      <c r="A382" s="14" t="s">
        <v>1974</v>
      </c>
      <c r="B382" s="19" t="str">
        <f>VLOOKUP(A382,Sheet1!A:E,5,0)</f>
        <v>Savannah Reid</v>
      </c>
      <c r="C382" s="19" t="str">
        <f>VLOOKUP(A382,Sheet1!A:I,9,0)</f>
        <v>Female</v>
      </c>
      <c r="D382" s="19">
        <f>VLOOKUP(A382,Sheet1!A:K,11,0)</f>
        <v>46</v>
      </c>
      <c r="E382" s="19" t="str">
        <f>VLOOKUP(A382,Sheet1!A:M,13,0)</f>
        <v>Brazil</v>
      </c>
      <c r="F382" s="19" t="str">
        <f>VLOOKUP(A382,Sheet1!A:N,14,0)</f>
        <v>Portuguese</v>
      </c>
      <c r="G382" s="19" t="str">
        <f>VLOOKUP(A382,Sheet1!A:O,15,0)</f>
        <v>Data Analysis</v>
      </c>
      <c r="H382" s="19">
        <f>VLOOKUP(A382,Sheet1!A:Q,17,0)</f>
        <v>16</v>
      </c>
      <c r="I382" s="20">
        <f>VLOOKUP(A382,Sheet1!A:V,22,0)</f>
        <v>75</v>
      </c>
      <c r="J382" s="21">
        <f>VLOOKUP(A382,Sheet1!A:X,24,0)</f>
        <v>0</v>
      </c>
      <c r="K382" s="19" t="str">
        <f>VLOOKUP(A382,Sheet1!A:AB,28,0)</f>
        <v>No</v>
      </c>
      <c r="L382" s="27">
        <f>VLOOKUP(A382,Sheet1!A:AD,30,0)</f>
        <v>94</v>
      </c>
    </row>
    <row r="383" spans="1:12" x14ac:dyDescent="0.3">
      <c r="A383" s="14" t="s">
        <v>1572</v>
      </c>
      <c r="B383" s="19" t="str">
        <f>VLOOKUP(A383,Sheet1!A:E,5,0)</f>
        <v>Scott Alexander</v>
      </c>
      <c r="C383" s="19" t="str">
        <f>VLOOKUP(A383,Sheet1!A:I,9,0)</f>
        <v>Male</v>
      </c>
      <c r="D383" s="19">
        <f>VLOOKUP(A383,Sheet1!A:K,11,0)</f>
        <v>46</v>
      </c>
      <c r="E383" s="19" t="str">
        <f>VLOOKUP(A383,Sheet1!A:M,13,0)</f>
        <v>Canada</v>
      </c>
      <c r="F383" s="19" t="str">
        <f>VLOOKUP(A383,Sheet1!A:N,14,0)</f>
        <v>English</v>
      </c>
      <c r="G383" s="19" t="str">
        <f>VLOOKUP(A383,Sheet1!A:O,15,0)</f>
        <v>Web Development</v>
      </c>
      <c r="H383" s="19">
        <f>VLOOKUP(A383,Sheet1!A:Q,17,0)</f>
        <v>5</v>
      </c>
      <c r="I383" s="20">
        <f>VLOOKUP(A383,Sheet1!A:V,22,0)</f>
        <v>30</v>
      </c>
      <c r="J383" s="21">
        <f>VLOOKUP(A383,Sheet1!A:X,24,0)</f>
        <v>2.6</v>
      </c>
      <c r="K383" s="19" t="str">
        <f>VLOOKUP(A383,Sheet1!A:AB,28,0)</f>
        <v>No</v>
      </c>
      <c r="L383" s="27">
        <f>VLOOKUP(A383,Sheet1!A:AD,30,0)</f>
        <v>76</v>
      </c>
    </row>
    <row r="384" spans="1:12" x14ac:dyDescent="0.3">
      <c r="A384" s="14" t="s">
        <v>1814</v>
      </c>
      <c r="B384" s="19" t="str">
        <f>VLOOKUP(A384,Sheet1!A:E,5,0)</f>
        <v>Steven Flowers</v>
      </c>
      <c r="C384" s="19" t="str">
        <f>VLOOKUP(A384,Sheet1!A:I,9,0)</f>
        <v>Male</v>
      </c>
      <c r="D384" s="19">
        <f>VLOOKUP(A384,Sheet1!A:K,11,0)</f>
        <v>46</v>
      </c>
      <c r="E384" s="19" t="str">
        <f>VLOOKUP(A384,Sheet1!A:M,13,0)</f>
        <v>Egypt</v>
      </c>
      <c r="F384" s="19" t="str">
        <f>VLOOKUP(A384,Sheet1!A:N,14,0)</f>
        <v>Arabic</v>
      </c>
      <c r="G384" s="19" t="str">
        <f>VLOOKUP(A384,Sheet1!A:O,15,0)</f>
        <v>Machine Learning</v>
      </c>
      <c r="H384" s="19">
        <f>VLOOKUP(A384,Sheet1!A:Q,17,0)</f>
        <v>12</v>
      </c>
      <c r="I384" s="20">
        <f>VLOOKUP(A384,Sheet1!A:V,22,0)</f>
        <v>50</v>
      </c>
      <c r="J384" s="21">
        <f>VLOOKUP(A384,Sheet1!A:X,24,0)</f>
        <v>4.7</v>
      </c>
      <c r="K384" s="19" t="str">
        <f>VLOOKUP(A384,Sheet1!A:AB,28,0)</f>
        <v>Yes</v>
      </c>
      <c r="L384" s="27">
        <f>VLOOKUP(A384,Sheet1!A:AD,30,0)</f>
        <v>77</v>
      </c>
    </row>
    <row r="385" spans="1:12" x14ac:dyDescent="0.3">
      <c r="A385" s="14" t="s">
        <v>1143</v>
      </c>
      <c r="B385" s="19" t="str">
        <f>VLOOKUP(A385,Sheet1!A:E,5,0)</f>
        <v>Steven Kim</v>
      </c>
      <c r="C385" s="19" t="str">
        <f>VLOOKUP(A385,Sheet1!A:I,9,0)</f>
        <v>Male</v>
      </c>
      <c r="D385" s="19">
        <f>VLOOKUP(A385,Sheet1!A:K,11,0)</f>
        <v>46</v>
      </c>
      <c r="E385" s="19" t="str">
        <f>VLOOKUP(A385,Sheet1!A:M,13,0)</f>
        <v>Turkey</v>
      </c>
      <c r="F385" s="19" t="str">
        <f>VLOOKUP(A385,Sheet1!A:N,14,0)</f>
        <v>Turkish</v>
      </c>
      <c r="G385" s="19" t="str">
        <f>VLOOKUP(A385,Sheet1!A:O,15,0)</f>
        <v>Mobile Apps</v>
      </c>
      <c r="H385" s="19">
        <f>VLOOKUP(A385,Sheet1!A:Q,17,0)</f>
        <v>10</v>
      </c>
      <c r="I385" s="20">
        <f>VLOOKUP(A385,Sheet1!A:V,22,0)</f>
        <v>53.011627906976742</v>
      </c>
      <c r="J385" s="21">
        <f>VLOOKUP(A385,Sheet1!A:X,24,0)</f>
        <v>4.5999999999999996</v>
      </c>
      <c r="K385" s="19" t="str">
        <f>VLOOKUP(A385,Sheet1!A:AB,28,0)</f>
        <v>Yes</v>
      </c>
      <c r="L385" s="27">
        <f>VLOOKUP(A385,Sheet1!A:AD,30,0)</f>
        <v>62</v>
      </c>
    </row>
    <row r="386" spans="1:12" x14ac:dyDescent="0.3">
      <c r="A386" s="14" t="s">
        <v>823</v>
      </c>
      <c r="B386" s="19" t="str">
        <f>VLOOKUP(A386,Sheet1!A:E,5,0)</f>
        <v>Summer Yoder</v>
      </c>
      <c r="C386" s="19" t="str">
        <f>VLOOKUP(A386,Sheet1!A:I,9,0)</f>
        <v>Female</v>
      </c>
      <c r="D386" s="19">
        <f>VLOOKUP(A386,Sheet1!A:K,11,0)</f>
        <v>46</v>
      </c>
      <c r="E386" s="19" t="str">
        <f>VLOOKUP(A386,Sheet1!A:M,13,0)</f>
        <v>Australia</v>
      </c>
      <c r="F386" s="19" t="str">
        <f>VLOOKUP(A386,Sheet1!A:N,14,0)</f>
        <v>English</v>
      </c>
      <c r="G386" s="19" t="str">
        <f>VLOOKUP(A386,Sheet1!A:O,15,0)</f>
        <v>Web Development</v>
      </c>
      <c r="H386" s="19">
        <f>VLOOKUP(A386,Sheet1!A:Q,17,0)</f>
        <v>26</v>
      </c>
      <c r="I386" s="20">
        <f>VLOOKUP(A386,Sheet1!A:V,22,0)</f>
        <v>100</v>
      </c>
      <c r="J386" s="21">
        <f>VLOOKUP(A386,Sheet1!A:X,24,0)</f>
        <v>2.1</v>
      </c>
      <c r="K386" s="19" t="str">
        <f>VLOOKUP(A386,Sheet1!A:AB,28,0)</f>
        <v>Unknown</v>
      </c>
      <c r="L386" s="27">
        <f>VLOOKUP(A386,Sheet1!A:AD,30,0)</f>
        <v>79.462121212121218</v>
      </c>
    </row>
    <row r="387" spans="1:12" x14ac:dyDescent="0.3">
      <c r="A387" s="14" t="s">
        <v>1854</v>
      </c>
      <c r="B387" s="19" t="str">
        <f>VLOOKUP(A387,Sheet1!A:E,5,0)</f>
        <v>Allen Turner</v>
      </c>
      <c r="C387" s="19" t="str">
        <f>VLOOKUP(A387,Sheet1!A:I,9,0)</f>
        <v>Male</v>
      </c>
      <c r="D387" s="19">
        <f>VLOOKUP(A387,Sheet1!A:K,11,0)</f>
        <v>45</v>
      </c>
      <c r="E387" s="19" t="str">
        <f>VLOOKUP(A387,Sheet1!A:M,13,0)</f>
        <v>South Korea</v>
      </c>
      <c r="F387" s="19" t="str">
        <f>VLOOKUP(A387,Sheet1!A:N,14,0)</f>
        <v>Korean</v>
      </c>
      <c r="G387" s="19" t="str">
        <f>VLOOKUP(A387,Sheet1!A:O,15,0)</f>
        <v>AI</v>
      </c>
      <c r="H387" s="19">
        <f>VLOOKUP(A387,Sheet1!A:Q,17,0)</f>
        <v>13</v>
      </c>
      <c r="I387" s="20">
        <f>VLOOKUP(A387,Sheet1!A:V,22,0)</f>
        <v>20</v>
      </c>
      <c r="J387" s="21">
        <f>VLOOKUP(A387,Sheet1!A:X,24,0)</f>
        <v>3.3</v>
      </c>
      <c r="K387" s="19" t="str">
        <f>VLOOKUP(A387,Sheet1!A:AB,28,0)</f>
        <v>Yes</v>
      </c>
      <c r="L387" s="27">
        <f>VLOOKUP(A387,Sheet1!A:AD,30,0)</f>
        <v>93</v>
      </c>
    </row>
    <row r="388" spans="1:12" x14ac:dyDescent="0.3">
      <c r="A388" s="14" t="s">
        <v>226</v>
      </c>
      <c r="B388" s="19" t="str">
        <f>VLOOKUP(A388,Sheet1!A:E,5,0)</f>
        <v>Ashley Cordova</v>
      </c>
      <c r="C388" s="19" t="str">
        <f>VLOOKUP(A388,Sheet1!A:I,9,0)</f>
        <v>Female</v>
      </c>
      <c r="D388" s="19">
        <f>VLOOKUP(A388,Sheet1!A:K,11,0)</f>
        <v>45</v>
      </c>
      <c r="E388" s="19" t="str">
        <f>VLOOKUP(A388,Sheet1!A:M,13,0)</f>
        <v>Brazil</v>
      </c>
      <c r="F388" s="19" t="str">
        <f>VLOOKUP(A388,Sheet1!A:N,14,0)</f>
        <v>Portuguese</v>
      </c>
      <c r="G388" s="19" t="str">
        <f>VLOOKUP(A388,Sheet1!A:O,15,0)</f>
        <v>AI</v>
      </c>
      <c r="H388" s="19">
        <f>VLOOKUP(A388,Sheet1!A:Q,17,0)</f>
        <v>11</v>
      </c>
      <c r="I388" s="20">
        <f>VLOOKUP(A388,Sheet1!A:V,22,0)</f>
        <v>75</v>
      </c>
      <c r="J388" s="21">
        <f>VLOOKUP(A388,Sheet1!A:X,24,0)</f>
        <v>4</v>
      </c>
      <c r="K388" s="19" t="str">
        <f>VLOOKUP(A388,Sheet1!A:AB,28,0)</f>
        <v>No</v>
      </c>
      <c r="L388" s="27">
        <f>VLOOKUP(A388,Sheet1!A:AD,30,0)</f>
        <v>100</v>
      </c>
    </row>
    <row r="389" spans="1:12" x14ac:dyDescent="0.3">
      <c r="A389" s="14" t="s">
        <v>1494</v>
      </c>
      <c r="B389" s="19" t="str">
        <f>VLOOKUP(A389,Sheet1!A:E,5,0)</f>
        <v>Benjamin Stevens</v>
      </c>
      <c r="C389" s="19" t="str">
        <f>VLOOKUP(A389,Sheet1!A:I,9,0)</f>
        <v>Male</v>
      </c>
      <c r="D389" s="19">
        <f>VLOOKUP(A389,Sheet1!A:K,11,0)</f>
        <v>45</v>
      </c>
      <c r="E389" s="19" t="str">
        <f>VLOOKUP(A389,Sheet1!A:M,13,0)</f>
        <v>China</v>
      </c>
      <c r="F389" s="19" t="str">
        <f>VLOOKUP(A389,Sheet1!A:N,14,0)</f>
        <v>Mandarin</v>
      </c>
      <c r="G389" s="19" t="str">
        <f>VLOOKUP(A389,Sheet1!A:O,15,0)</f>
        <v>Data Analysis</v>
      </c>
      <c r="H389" s="19">
        <f>VLOOKUP(A389,Sheet1!A:Q,17,0)</f>
        <v>6</v>
      </c>
      <c r="I389" s="20">
        <f>VLOOKUP(A389,Sheet1!A:V,22,0)</f>
        <v>50</v>
      </c>
      <c r="J389" s="21">
        <f>VLOOKUP(A389,Sheet1!A:X,24,0)</f>
        <v>1.4</v>
      </c>
      <c r="K389" s="19" t="str">
        <f>VLOOKUP(A389,Sheet1!A:AB,28,0)</f>
        <v>Unknown</v>
      </c>
      <c r="L389" s="27">
        <f>VLOOKUP(A389,Sheet1!A:AD,30,0)</f>
        <v>97</v>
      </c>
    </row>
    <row r="390" spans="1:12" x14ac:dyDescent="0.3">
      <c r="A390" s="14" t="s">
        <v>669</v>
      </c>
      <c r="B390" s="19" t="str">
        <f>VLOOKUP(A390,Sheet1!A:E,5,0)</f>
        <v>Candice Wise</v>
      </c>
      <c r="C390" s="19" t="str">
        <f>VLOOKUP(A390,Sheet1!A:I,9,0)</f>
        <v>Female</v>
      </c>
      <c r="D390" s="19">
        <f>VLOOKUP(A390,Sheet1!A:K,11,0)</f>
        <v>45</v>
      </c>
      <c r="E390" s="19" t="str">
        <f>VLOOKUP(A390,Sheet1!A:M,13,0)</f>
        <v>Spain</v>
      </c>
      <c r="F390" s="19" t="str">
        <f>VLOOKUP(A390,Sheet1!A:N,14,0)</f>
        <v>Spanish</v>
      </c>
      <c r="G390" s="19" t="str">
        <f>VLOOKUP(A390,Sheet1!A:O,15,0)</f>
        <v>Machine Learning</v>
      </c>
      <c r="H390" s="19">
        <f>VLOOKUP(A390,Sheet1!A:Q,17,0)</f>
        <v>1</v>
      </c>
      <c r="I390" s="20">
        <f>VLOOKUP(A390,Sheet1!A:V,22,0)</f>
        <v>100</v>
      </c>
      <c r="J390" s="21">
        <f>VLOOKUP(A390,Sheet1!A:X,24,0)</f>
        <v>1.5</v>
      </c>
      <c r="K390" s="19" t="str">
        <f>VLOOKUP(A390,Sheet1!A:AB,28,0)</f>
        <v>Yes</v>
      </c>
      <c r="L390" s="27">
        <f>VLOOKUP(A390,Sheet1!A:AD,30,0)</f>
        <v>100</v>
      </c>
    </row>
    <row r="391" spans="1:12" x14ac:dyDescent="0.3">
      <c r="A391" s="14" t="s">
        <v>1990</v>
      </c>
      <c r="B391" s="19" t="str">
        <f>VLOOKUP(A391,Sheet1!A:E,5,0)</f>
        <v>Cassandra Macdonald</v>
      </c>
      <c r="C391" s="19" t="str">
        <f>VLOOKUP(A391,Sheet1!A:I,9,0)</f>
        <v>Female</v>
      </c>
      <c r="D391" s="19">
        <f>VLOOKUP(A391,Sheet1!A:K,11,0)</f>
        <v>45</v>
      </c>
      <c r="E391" s="19" t="str">
        <f>VLOOKUP(A391,Sheet1!A:M,13,0)</f>
        <v>Mexico</v>
      </c>
      <c r="F391" s="19" t="str">
        <f>VLOOKUP(A391,Sheet1!A:N,14,0)</f>
        <v>Spanish</v>
      </c>
      <c r="G391" s="19" t="str">
        <f>VLOOKUP(A391,Sheet1!A:O,15,0)</f>
        <v>Data Analysis</v>
      </c>
      <c r="H391" s="19">
        <f>VLOOKUP(A391,Sheet1!A:Q,17,0)</f>
        <v>6</v>
      </c>
      <c r="I391" s="20">
        <f>VLOOKUP(A391,Sheet1!A:V,22,0)</f>
        <v>40</v>
      </c>
      <c r="J391" s="21">
        <f>VLOOKUP(A391,Sheet1!A:X,24,0)</f>
        <v>2</v>
      </c>
      <c r="K391" s="19" t="str">
        <f>VLOOKUP(A391,Sheet1!A:AB,28,0)</f>
        <v>Yes</v>
      </c>
      <c r="L391" s="27">
        <f>VLOOKUP(A391,Sheet1!A:AD,30,0)</f>
        <v>78</v>
      </c>
    </row>
    <row r="392" spans="1:12" x14ac:dyDescent="0.3">
      <c r="A392" s="14" t="s">
        <v>889</v>
      </c>
      <c r="B392" s="19" t="str">
        <f>VLOOKUP(A392,Sheet1!A:E,5,0)</f>
        <v>Christine Cherry</v>
      </c>
      <c r="C392" s="19" t="str">
        <f>VLOOKUP(A392,Sheet1!A:I,9,0)</f>
        <v>Female</v>
      </c>
      <c r="D392" s="19">
        <f>VLOOKUP(A392,Sheet1!A:K,11,0)</f>
        <v>45</v>
      </c>
      <c r="E392" s="19" t="str">
        <f>VLOOKUP(A392,Sheet1!A:M,13,0)</f>
        <v>Netherlands</v>
      </c>
      <c r="F392" s="19" t="str">
        <f>VLOOKUP(A392,Sheet1!A:N,14,0)</f>
        <v>Dutch</v>
      </c>
      <c r="G392" s="19" t="str">
        <f>VLOOKUP(A392,Sheet1!A:O,15,0)</f>
        <v>Data Analysis</v>
      </c>
      <c r="H392" s="19">
        <f>VLOOKUP(A392,Sheet1!A:Q,17,0)</f>
        <v>17</v>
      </c>
      <c r="I392" s="20">
        <f>VLOOKUP(A392,Sheet1!A:V,22,0)</f>
        <v>50</v>
      </c>
      <c r="J392" s="21">
        <f>VLOOKUP(A392,Sheet1!A:X,24,0)</f>
        <v>4.7</v>
      </c>
      <c r="K392" s="19" t="str">
        <f>VLOOKUP(A392,Sheet1!A:AB,28,0)</f>
        <v>Yes</v>
      </c>
      <c r="L392" s="27">
        <f>VLOOKUP(A392,Sheet1!A:AD,30,0)</f>
        <v>73</v>
      </c>
    </row>
    <row r="393" spans="1:12" x14ac:dyDescent="0.3">
      <c r="A393" s="14" t="s">
        <v>1321</v>
      </c>
      <c r="B393" s="19" t="str">
        <f>VLOOKUP(A393,Sheet1!A:E,5,0)</f>
        <v>Dana Sanders</v>
      </c>
      <c r="C393" s="19" t="str">
        <f>VLOOKUP(A393,Sheet1!A:I,9,0)</f>
        <v>Female</v>
      </c>
      <c r="D393" s="19">
        <f>VLOOKUP(A393,Sheet1!A:K,11,0)</f>
        <v>45</v>
      </c>
      <c r="E393" s="19" t="str">
        <f>VLOOKUP(A393,Sheet1!A:M,13,0)</f>
        <v>Netherlands</v>
      </c>
      <c r="F393" s="19" t="str">
        <f>VLOOKUP(A393,Sheet1!A:N,14,0)</f>
        <v>Dutch</v>
      </c>
      <c r="G393" s="19" t="str">
        <f>VLOOKUP(A393,Sheet1!A:O,15,0)</f>
        <v>Machine Learning</v>
      </c>
      <c r="H393" s="19">
        <f>VLOOKUP(A393,Sheet1!A:Q,17,0)</f>
        <v>27</v>
      </c>
      <c r="I393" s="20">
        <f>VLOOKUP(A393,Sheet1!A:V,22,0)</f>
        <v>75</v>
      </c>
      <c r="J393" s="21">
        <f>VLOOKUP(A393,Sheet1!A:X,24,0)</f>
        <v>0</v>
      </c>
      <c r="K393" s="19" t="str">
        <f>VLOOKUP(A393,Sheet1!A:AB,28,0)</f>
        <v>Unknown</v>
      </c>
      <c r="L393" s="27">
        <f>VLOOKUP(A393,Sheet1!A:AD,30,0)</f>
        <v>85</v>
      </c>
    </row>
    <row r="394" spans="1:12" x14ac:dyDescent="0.3">
      <c r="A394" s="14" t="s">
        <v>2018</v>
      </c>
      <c r="B394" s="19" t="str">
        <f>VLOOKUP(A394,Sheet1!A:E,5,0)</f>
        <v>David Osborne</v>
      </c>
      <c r="C394" s="19" t="str">
        <f>VLOOKUP(A394,Sheet1!A:I,9,0)</f>
        <v>Male</v>
      </c>
      <c r="D394" s="19">
        <f>VLOOKUP(A394,Sheet1!A:K,11,0)</f>
        <v>45</v>
      </c>
      <c r="E394" s="19" t="str">
        <f>VLOOKUP(A394,Sheet1!A:M,13,0)</f>
        <v>Netherlands</v>
      </c>
      <c r="F394" s="19" t="str">
        <f>VLOOKUP(A394,Sheet1!A:N,14,0)</f>
        <v>Dutch</v>
      </c>
      <c r="G394" s="19" t="str">
        <f>VLOOKUP(A394,Sheet1!A:O,15,0)</f>
        <v>Cybersecurity</v>
      </c>
      <c r="H394" s="19">
        <f>VLOOKUP(A394,Sheet1!A:Q,17,0)</f>
        <v>4</v>
      </c>
      <c r="I394" s="20">
        <f>VLOOKUP(A394,Sheet1!A:V,22,0)</f>
        <v>20</v>
      </c>
      <c r="J394" s="21">
        <f>VLOOKUP(A394,Sheet1!A:X,24,0)</f>
        <v>2.7</v>
      </c>
      <c r="K394" s="19" t="str">
        <f>VLOOKUP(A394,Sheet1!A:AB,28,0)</f>
        <v>Unknown</v>
      </c>
      <c r="L394" s="27">
        <f>VLOOKUP(A394,Sheet1!A:AD,30,0)</f>
        <v>72</v>
      </c>
    </row>
    <row r="395" spans="1:12" x14ac:dyDescent="0.3">
      <c r="A395" s="14" t="s">
        <v>380</v>
      </c>
      <c r="B395" s="19" t="str">
        <f>VLOOKUP(A395,Sheet1!A:E,5,0)</f>
        <v>Eduardo Reed</v>
      </c>
      <c r="C395" s="19" t="str">
        <f>VLOOKUP(A395,Sheet1!A:I,9,0)</f>
        <v>Male</v>
      </c>
      <c r="D395" s="19">
        <f>VLOOKUP(A395,Sheet1!A:K,11,0)</f>
        <v>45</v>
      </c>
      <c r="E395" s="19" t="str">
        <f>VLOOKUP(A395,Sheet1!A:M,13,0)</f>
        <v>United Kingdom</v>
      </c>
      <c r="F395" s="19" t="str">
        <f>VLOOKUP(A395,Sheet1!A:N,14,0)</f>
        <v>English</v>
      </c>
      <c r="G395" s="19" t="str">
        <f>VLOOKUP(A395,Sheet1!A:O,15,0)</f>
        <v>Web Development</v>
      </c>
      <c r="H395" s="19">
        <f>VLOOKUP(A395,Sheet1!A:Q,17,0)</f>
        <v>7</v>
      </c>
      <c r="I395" s="20">
        <f>VLOOKUP(A395,Sheet1!A:V,22,0)</f>
        <v>75</v>
      </c>
      <c r="J395" s="21">
        <f>VLOOKUP(A395,Sheet1!A:X,24,0)</f>
        <v>3</v>
      </c>
      <c r="K395" s="19" t="str">
        <f>VLOOKUP(A395,Sheet1!A:AB,28,0)</f>
        <v>Yes</v>
      </c>
      <c r="L395" s="27">
        <f>VLOOKUP(A395,Sheet1!A:AD,30,0)</f>
        <v>67</v>
      </c>
    </row>
    <row r="396" spans="1:12" x14ac:dyDescent="0.3">
      <c r="A396" s="14" t="s">
        <v>785</v>
      </c>
      <c r="B396" s="19" t="str">
        <f>VLOOKUP(A396,Sheet1!A:E,5,0)</f>
        <v>Emily Johnson</v>
      </c>
      <c r="C396" s="19" t="str">
        <f>VLOOKUP(A396,Sheet1!A:I,9,0)</f>
        <v>Female</v>
      </c>
      <c r="D396" s="19">
        <f>VLOOKUP(A396,Sheet1!A:K,11,0)</f>
        <v>45</v>
      </c>
      <c r="E396" s="19" t="str">
        <f>VLOOKUP(A396,Sheet1!A:M,13,0)</f>
        <v>Turkey</v>
      </c>
      <c r="F396" s="19" t="str">
        <f>VLOOKUP(A396,Sheet1!A:N,14,0)</f>
        <v>Turkish</v>
      </c>
      <c r="G396" s="19" t="str">
        <f>VLOOKUP(A396,Sheet1!A:O,15,0)</f>
        <v>Web Development</v>
      </c>
      <c r="H396" s="19">
        <f>VLOOKUP(A396,Sheet1!A:Q,17,0)</f>
        <v>23</v>
      </c>
      <c r="I396" s="20">
        <f>VLOOKUP(A396,Sheet1!A:V,22,0)</f>
        <v>50</v>
      </c>
      <c r="J396" s="21">
        <f>VLOOKUP(A396,Sheet1!A:X,24,0)</f>
        <v>0</v>
      </c>
      <c r="K396" s="19" t="str">
        <f>VLOOKUP(A396,Sheet1!A:AB,28,0)</f>
        <v>No</v>
      </c>
      <c r="L396" s="27">
        <f>VLOOKUP(A396,Sheet1!A:AD,30,0)</f>
        <v>66</v>
      </c>
    </row>
    <row r="397" spans="1:12" x14ac:dyDescent="0.3">
      <c r="A397" s="14" t="s">
        <v>839</v>
      </c>
      <c r="B397" s="19" t="str">
        <f>VLOOKUP(A397,Sheet1!A:E,5,0)</f>
        <v>Gregory Garrison</v>
      </c>
      <c r="C397" s="19" t="str">
        <f>VLOOKUP(A397,Sheet1!A:I,9,0)</f>
        <v>Male</v>
      </c>
      <c r="D397" s="19">
        <f>VLOOKUP(A397,Sheet1!A:K,11,0)</f>
        <v>45</v>
      </c>
      <c r="E397" s="19" t="str">
        <f>VLOOKUP(A397,Sheet1!A:M,13,0)</f>
        <v>India</v>
      </c>
      <c r="F397" s="19" t="str">
        <f>VLOOKUP(A397,Sheet1!A:N,14,0)</f>
        <v>Hindi</v>
      </c>
      <c r="G397" s="19" t="str">
        <f>VLOOKUP(A397,Sheet1!A:O,15,0)</f>
        <v>Data Analysis</v>
      </c>
      <c r="H397" s="19">
        <f>VLOOKUP(A397,Sheet1!A:Q,17,0)</f>
        <v>19</v>
      </c>
      <c r="I397" s="20">
        <f>VLOOKUP(A397,Sheet1!A:V,22,0)</f>
        <v>40</v>
      </c>
      <c r="J397" s="21">
        <f>VLOOKUP(A397,Sheet1!A:X,24,0)</f>
        <v>2.2000000000000002</v>
      </c>
      <c r="K397" s="19" t="str">
        <f>VLOOKUP(A397,Sheet1!A:AB,28,0)</f>
        <v>Yes</v>
      </c>
      <c r="L397" s="27">
        <f>VLOOKUP(A397,Sheet1!A:AD,30,0)</f>
        <v>78</v>
      </c>
    </row>
    <row r="398" spans="1:12" x14ac:dyDescent="0.3">
      <c r="A398" s="14" t="s">
        <v>1492</v>
      </c>
      <c r="B398" s="19" t="str">
        <f>VLOOKUP(A398,Sheet1!A:E,5,0)</f>
        <v>Jason Weaver</v>
      </c>
      <c r="C398" s="19" t="str">
        <f>VLOOKUP(A398,Sheet1!A:I,9,0)</f>
        <v>Male</v>
      </c>
      <c r="D398" s="19">
        <f>VLOOKUP(A398,Sheet1!A:K,11,0)</f>
        <v>45</v>
      </c>
      <c r="E398" s="19" t="str">
        <f>VLOOKUP(A398,Sheet1!A:M,13,0)</f>
        <v>Russia</v>
      </c>
      <c r="F398" s="19" t="str">
        <f>VLOOKUP(A398,Sheet1!A:N,14,0)</f>
        <v>Russian</v>
      </c>
      <c r="G398" s="19" t="str">
        <f>VLOOKUP(A398,Sheet1!A:O,15,0)</f>
        <v>Blockchain Development</v>
      </c>
      <c r="H398" s="19">
        <f>VLOOKUP(A398,Sheet1!A:Q,17,0)</f>
        <v>25</v>
      </c>
      <c r="I398" s="20">
        <f>VLOOKUP(A398,Sheet1!A:V,22,0)</f>
        <v>50</v>
      </c>
      <c r="J398" s="21">
        <f>VLOOKUP(A398,Sheet1!A:X,24,0)</f>
        <v>0</v>
      </c>
      <c r="K398" s="19" t="str">
        <f>VLOOKUP(A398,Sheet1!A:AB,28,0)</f>
        <v>No</v>
      </c>
      <c r="L398" s="27">
        <f>VLOOKUP(A398,Sheet1!A:AD,30,0)</f>
        <v>99</v>
      </c>
    </row>
    <row r="399" spans="1:12" x14ac:dyDescent="0.3">
      <c r="A399" s="14" t="s">
        <v>309</v>
      </c>
      <c r="B399" s="19" t="str">
        <f>VLOOKUP(A399,Sheet1!A:E,5,0)</f>
        <v>Jennifer Lewis</v>
      </c>
      <c r="C399" s="19" t="str">
        <f>VLOOKUP(A399,Sheet1!A:I,9,0)</f>
        <v>Female</v>
      </c>
      <c r="D399" s="19">
        <f>VLOOKUP(A399,Sheet1!A:K,11,0)</f>
        <v>45</v>
      </c>
      <c r="E399" s="19" t="str">
        <f>VLOOKUP(A399,Sheet1!A:M,13,0)</f>
        <v>Indonesia</v>
      </c>
      <c r="F399" s="19" t="str">
        <f>VLOOKUP(A399,Sheet1!A:N,14,0)</f>
        <v>Indonesian</v>
      </c>
      <c r="G399" s="19" t="str">
        <f>VLOOKUP(A399,Sheet1!A:O,15,0)</f>
        <v>Mobile Apps</v>
      </c>
      <c r="H399" s="19">
        <f>VLOOKUP(A399,Sheet1!A:Q,17,0)</f>
        <v>19</v>
      </c>
      <c r="I399" s="20">
        <f>VLOOKUP(A399,Sheet1!A:V,22,0)</f>
        <v>40</v>
      </c>
      <c r="J399" s="21">
        <f>VLOOKUP(A399,Sheet1!A:X,24,0)</f>
        <v>2.5188514357053675</v>
      </c>
      <c r="K399" s="19" t="str">
        <f>VLOOKUP(A399,Sheet1!A:AB,28,0)</f>
        <v>Yes</v>
      </c>
      <c r="L399" s="27">
        <f>VLOOKUP(A399,Sheet1!A:AD,30,0)</f>
        <v>72</v>
      </c>
    </row>
    <row r="400" spans="1:12" x14ac:dyDescent="0.3">
      <c r="A400" s="14" t="s">
        <v>1032</v>
      </c>
      <c r="B400" s="19" t="str">
        <f>VLOOKUP(A400,Sheet1!A:E,5,0)</f>
        <v>Jennifer Sullivan</v>
      </c>
      <c r="C400" s="19" t="str">
        <f>VLOOKUP(A400,Sheet1!A:I,9,0)</f>
        <v>Female</v>
      </c>
      <c r="D400" s="19">
        <f>VLOOKUP(A400,Sheet1!A:K,11,0)</f>
        <v>45</v>
      </c>
      <c r="E400" s="19" t="str">
        <f>VLOOKUP(A400,Sheet1!A:M,13,0)</f>
        <v>Australia</v>
      </c>
      <c r="F400" s="19" t="str">
        <f>VLOOKUP(A400,Sheet1!A:N,14,0)</f>
        <v>English</v>
      </c>
      <c r="G400" s="19" t="str">
        <f>VLOOKUP(A400,Sheet1!A:O,15,0)</f>
        <v>Blockchain Development</v>
      </c>
      <c r="H400" s="19">
        <f>VLOOKUP(A400,Sheet1!A:Q,17,0)</f>
        <v>8</v>
      </c>
      <c r="I400" s="20">
        <f>VLOOKUP(A400,Sheet1!A:V,22,0)</f>
        <v>40</v>
      </c>
      <c r="J400" s="21">
        <f>VLOOKUP(A400,Sheet1!A:X,24,0)</f>
        <v>0</v>
      </c>
      <c r="K400" s="19" t="str">
        <f>VLOOKUP(A400,Sheet1!A:AB,28,0)</f>
        <v>No</v>
      </c>
      <c r="L400" s="27">
        <f>VLOOKUP(A400,Sheet1!A:AD,30,0)</f>
        <v>78</v>
      </c>
    </row>
    <row r="401" spans="1:12" x14ac:dyDescent="0.3">
      <c r="A401" s="14" t="s">
        <v>1443</v>
      </c>
      <c r="B401" s="19" t="str">
        <f>VLOOKUP(A401,Sheet1!A:E,5,0)</f>
        <v>Joshua Owens</v>
      </c>
      <c r="C401" s="19" t="str">
        <f>VLOOKUP(A401,Sheet1!A:I,9,0)</f>
        <v>Male</v>
      </c>
      <c r="D401" s="19">
        <f>VLOOKUP(A401,Sheet1!A:K,11,0)</f>
        <v>45</v>
      </c>
      <c r="E401" s="19" t="str">
        <f>VLOOKUP(A401,Sheet1!A:M,13,0)</f>
        <v>United States</v>
      </c>
      <c r="F401" s="19" t="str">
        <f>VLOOKUP(A401,Sheet1!A:N,14,0)</f>
        <v>English</v>
      </c>
      <c r="G401" s="19" t="str">
        <f>VLOOKUP(A401,Sheet1!A:O,15,0)</f>
        <v>Graphic Design</v>
      </c>
      <c r="H401" s="19">
        <f>VLOOKUP(A401,Sheet1!A:Q,17,0)</f>
        <v>16</v>
      </c>
      <c r="I401" s="20">
        <f>VLOOKUP(A401,Sheet1!A:V,22,0)</f>
        <v>100</v>
      </c>
      <c r="J401" s="21">
        <f>VLOOKUP(A401,Sheet1!A:X,24,0)</f>
        <v>4.5999999999999996</v>
      </c>
      <c r="K401" s="19" t="str">
        <f>VLOOKUP(A401,Sheet1!A:AB,28,0)</f>
        <v>No</v>
      </c>
      <c r="L401" s="27">
        <f>VLOOKUP(A401,Sheet1!A:AD,30,0)</f>
        <v>78</v>
      </c>
    </row>
    <row r="402" spans="1:12" x14ac:dyDescent="0.3">
      <c r="A402" s="14" t="s">
        <v>1920</v>
      </c>
      <c r="B402" s="19" t="str">
        <f>VLOOKUP(A402,Sheet1!A:E,5,0)</f>
        <v>Margaret Garcia</v>
      </c>
      <c r="C402" s="19" t="str">
        <f>VLOOKUP(A402,Sheet1!A:I,9,0)</f>
        <v>Female</v>
      </c>
      <c r="D402" s="19">
        <f>VLOOKUP(A402,Sheet1!A:K,11,0)</f>
        <v>45</v>
      </c>
      <c r="E402" s="19" t="str">
        <f>VLOOKUP(A402,Sheet1!A:M,13,0)</f>
        <v>Canada</v>
      </c>
      <c r="F402" s="19" t="str">
        <f>VLOOKUP(A402,Sheet1!A:N,14,0)</f>
        <v>English</v>
      </c>
      <c r="G402" s="19" t="str">
        <f>VLOOKUP(A402,Sheet1!A:O,15,0)</f>
        <v>Web Development</v>
      </c>
      <c r="H402" s="19">
        <f>VLOOKUP(A402,Sheet1!A:Q,17,0)</f>
        <v>22</v>
      </c>
      <c r="I402" s="20">
        <f>VLOOKUP(A402,Sheet1!A:V,22,0)</f>
        <v>40</v>
      </c>
      <c r="J402" s="21">
        <f>VLOOKUP(A402,Sheet1!A:X,24,0)</f>
        <v>3.7</v>
      </c>
      <c r="K402" s="19" t="str">
        <f>VLOOKUP(A402,Sheet1!A:AB,28,0)</f>
        <v>Yes</v>
      </c>
      <c r="L402" s="27">
        <f>VLOOKUP(A402,Sheet1!A:AD,30,0)</f>
        <v>99</v>
      </c>
    </row>
    <row r="403" spans="1:12" x14ac:dyDescent="0.3">
      <c r="A403" s="14" t="s">
        <v>1255</v>
      </c>
      <c r="B403" s="19" t="str">
        <f>VLOOKUP(A403,Sheet1!A:E,5,0)</f>
        <v>Michael Holland</v>
      </c>
      <c r="C403" s="19" t="str">
        <f>VLOOKUP(A403,Sheet1!A:I,9,0)</f>
        <v>Male</v>
      </c>
      <c r="D403" s="19">
        <f>VLOOKUP(A403,Sheet1!A:K,11,0)</f>
        <v>45</v>
      </c>
      <c r="E403" s="19" t="str">
        <f>VLOOKUP(A403,Sheet1!A:M,13,0)</f>
        <v>Germany</v>
      </c>
      <c r="F403" s="19" t="str">
        <f>VLOOKUP(A403,Sheet1!A:N,14,0)</f>
        <v>German</v>
      </c>
      <c r="G403" s="19" t="str">
        <f>VLOOKUP(A403,Sheet1!A:O,15,0)</f>
        <v>DevOps</v>
      </c>
      <c r="H403" s="19">
        <f>VLOOKUP(A403,Sheet1!A:Q,17,0)</f>
        <v>3</v>
      </c>
      <c r="I403" s="20">
        <f>VLOOKUP(A403,Sheet1!A:V,22,0)</f>
        <v>20</v>
      </c>
      <c r="J403" s="21">
        <f>VLOOKUP(A403,Sheet1!A:X,24,0)</f>
        <v>1.3</v>
      </c>
      <c r="K403" s="19" t="str">
        <f>VLOOKUP(A403,Sheet1!A:AB,28,0)</f>
        <v>Yes</v>
      </c>
      <c r="L403" s="27">
        <f>VLOOKUP(A403,Sheet1!A:AD,30,0)</f>
        <v>91</v>
      </c>
    </row>
    <row r="404" spans="1:12" x14ac:dyDescent="0.3">
      <c r="A404" s="14" t="s">
        <v>1139</v>
      </c>
      <c r="B404" s="19" t="str">
        <f>VLOOKUP(A404,Sheet1!A:E,5,0)</f>
        <v>Monica West</v>
      </c>
      <c r="C404" s="19" t="str">
        <f>VLOOKUP(A404,Sheet1!A:I,9,0)</f>
        <v>Female</v>
      </c>
      <c r="D404" s="19">
        <f>VLOOKUP(A404,Sheet1!A:K,11,0)</f>
        <v>45</v>
      </c>
      <c r="E404" s="19" t="str">
        <f>VLOOKUP(A404,Sheet1!A:M,13,0)</f>
        <v>United States</v>
      </c>
      <c r="F404" s="19" t="str">
        <f>VLOOKUP(A404,Sheet1!A:N,14,0)</f>
        <v>English</v>
      </c>
      <c r="G404" s="19" t="str">
        <f>VLOOKUP(A404,Sheet1!A:O,15,0)</f>
        <v>UI/UX Design</v>
      </c>
      <c r="H404" s="19">
        <f>VLOOKUP(A404,Sheet1!A:Q,17,0)</f>
        <v>23</v>
      </c>
      <c r="I404" s="20">
        <f>VLOOKUP(A404,Sheet1!A:V,22,0)</f>
        <v>100</v>
      </c>
      <c r="J404" s="21">
        <f>VLOOKUP(A404,Sheet1!A:X,24,0)</f>
        <v>2.4</v>
      </c>
      <c r="K404" s="19" t="str">
        <f>VLOOKUP(A404,Sheet1!A:AB,28,0)</f>
        <v>No</v>
      </c>
      <c r="L404" s="27">
        <f>VLOOKUP(A404,Sheet1!A:AD,30,0)</f>
        <v>96</v>
      </c>
    </row>
    <row r="405" spans="1:12" x14ac:dyDescent="0.3">
      <c r="A405" s="14" t="s">
        <v>452</v>
      </c>
      <c r="B405" s="19" t="str">
        <f>VLOOKUP(A405,Sheet1!A:E,5,0)</f>
        <v>Patricia Sanders</v>
      </c>
      <c r="C405" s="19" t="str">
        <f>VLOOKUP(A405,Sheet1!A:I,9,0)</f>
        <v>Female</v>
      </c>
      <c r="D405" s="19">
        <f>VLOOKUP(A405,Sheet1!A:K,11,0)</f>
        <v>45</v>
      </c>
      <c r="E405" s="19" t="str">
        <f>VLOOKUP(A405,Sheet1!A:M,13,0)</f>
        <v>France</v>
      </c>
      <c r="F405" s="19" t="str">
        <f>VLOOKUP(A405,Sheet1!A:N,14,0)</f>
        <v>French</v>
      </c>
      <c r="G405" s="19" t="str">
        <f>VLOOKUP(A405,Sheet1!A:O,15,0)</f>
        <v>Graphic Design</v>
      </c>
      <c r="H405" s="19">
        <f>VLOOKUP(A405,Sheet1!A:Q,17,0)</f>
        <v>21</v>
      </c>
      <c r="I405" s="20">
        <f>VLOOKUP(A405,Sheet1!A:V,22,0)</f>
        <v>30</v>
      </c>
      <c r="J405" s="21">
        <f>VLOOKUP(A405,Sheet1!A:X,24,0)</f>
        <v>1.5</v>
      </c>
      <c r="K405" s="19" t="str">
        <f>VLOOKUP(A405,Sheet1!A:AB,28,0)</f>
        <v>Yes</v>
      </c>
      <c r="L405" s="27">
        <f>VLOOKUP(A405,Sheet1!A:AD,30,0)</f>
        <v>73</v>
      </c>
    </row>
    <row r="406" spans="1:12" x14ac:dyDescent="0.3">
      <c r="A406" s="14" t="s">
        <v>364</v>
      </c>
      <c r="B406" s="19" t="str">
        <f>VLOOKUP(A406,Sheet1!A:E,5,0)</f>
        <v>Penny Day</v>
      </c>
      <c r="C406" s="19" t="str">
        <f>VLOOKUP(A406,Sheet1!A:I,9,0)</f>
        <v>Female</v>
      </c>
      <c r="D406" s="19">
        <f>VLOOKUP(A406,Sheet1!A:K,11,0)</f>
        <v>45</v>
      </c>
      <c r="E406" s="19" t="str">
        <f>VLOOKUP(A406,Sheet1!A:M,13,0)</f>
        <v>Indonesia</v>
      </c>
      <c r="F406" s="19" t="str">
        <f>VLOOKUP(A406,Sheet1!A:N,14,0)</f>
        <v>Indonesian</v>
      </c>
      <c r="G406" s="19" t="str">
        <f>VLOOKUP(A406,Sheet1!A:O,15,0)</f>
        <v>Blockchain Development</v>
      </c>
      <c r="H406" s="19">
        <f>VLOOKUP(A406,Sheet1!A:Q,17,0)</f>
        <v>22</v>
      </c>
      <c r="I406" s="20">
        <f>VLOOKUP(A406,Sheet1!A:V,22,0)</f>
        <v>100</v>
      </c>
      <c r="J406" s="21">
        <f>VLOOKUP(A406,Sheet1!A:X,24,0)</f>
        <v>4</v>
      </c>
      <c r="K406" s="19" t="str">
        <f>VLOOKUP(A406,Sheet1!A:AB,28,0)</f>
        <v>Yes</v>
      </c>
      <c r="L406" s="27">
        <f>VLOOKUP(A406,Sheet1!A:AD,30,0)</f>
        <v>75</v>
      </c>
    </row>
    <row r="407" spans="1:12" x14ac:dyDescent="0.3">
      <c r="A407" s="14" t="s">
        <v>1179</v>
      </c>
      <c r="B407" s="19" t="str">
        <f>VLOOKUP(A407,Sheet1!A:E,5,0)</f>
        <v>Sean Park</v>
      </c>
      <c r="C407" s="19" t="str">
        <f>VLOOKUP(A407,Sheet1!A:I,9,0)</f>
        <v>Male</v>
      </c>
      <c r="D407" s="19">
        <f>VLOOKUP(A407,Sheet1!A:K,11,0)</f>
        <v>45</v>
      </c>
      <c r="E407" s="19" t="str">
        <f>VLOOKUP(A407,Sheet1!A:M,13,0)</f>
        <v>Mexico</v>
      </c>
      <c r="F407" s="19" t="str">
        <f>VLOOKUP(A407,Sheet1!A:N,14,0)</f>
        <v>Spanish</v>
      </c>
      <c r="G407" s="19" t="str">
        <f>VLOOKUP(A407,Sheet1!A:O,15,0)</f>
        <v>Cybersecurity</v>
      </c>
      <c r="H407" s="19">
        <f>VLOOKUP(A407,Sheet1!A:Q,17,0)</f>
        <v>19</v>
      </c>
      <c r="I407" s="20">
        <f>VLOOKUP(A407,Sheet1!A:V,22,0)</f>
        <v>75</v>
      </c>
      <c r="J407" s="21">
        <f>VLOOKUP(A407,Sheet1!A:X,24,0)</f>
        <v>0</v>
      </c>
      <c r="K407" s="19" t="str">
        <f>VLOOKUP(A407,Sheet1!A:AB,28,0)</f>
        <v>No</v>
      </c>
      <c r="L407" s="27">
        <f>VLOOKUP(A407,Sheet1!A:AD,30,0)</f>
        <v>72</v>
      </c>
    </row>
    <row r="408" spans="1:12" x14ac:dyDescent="0.3">
      <c r="A408" s="14" t="s">
        <v>356</v>
      </c>
      <c r="B408" s="19" t="str">
        <f>VLOOKUP(A408,Sheet1!A:E,5,0)</f>
        <v>Shelly Whitehead</v>
      </c>
      <c r="C408" s="19" t="str">
        <f>VLOOKUP(A408,Sheet1!A:I,9,0)</f>
        <v>Female</v>
      </c>
      <c r="D408" s="19">
        <f>VLOOKUP(A408,Sheet1!A:K,11,0)</f>
        <v>45</v>
      </c>
      <c r="E408" s="19" t="str">
        <f>VLOOKUP(A408,Sheet1!A:M,13,0)</f>
        <v>United Kingdom</v>
      </c>
      <c r="F408" s="19" t="str">
        <f>VLOOKUP(A408,Sheet1!A:N,14,0)</f>
        <v>English</v>
      </c>
      <c r="G408" s="19" t="str">
        <f>VLOOKUP(A408,Sheet1!A:O,15,0)</f>
        <v>Cybersecurity</v>
      </c>
      <c r="H408" s="19">
        <f>VLOOKUP(A408,Sheet1!A:Q,17,0)</f>
        <v>14</v>
      </c>
      <c r="I408" s="20">
        <f>VLOOKUP(A408,Sheet1!A:V,22,0)</f>
        <v>100</v>
      </c>
      <c r="J408" s="21">
        <f>VLOOKUP(A408,Sheet1!A:X,24,0)</f>
        <v>1.1000000000000001</v>
      </c>
      <c r="K408" s="19" t="str">
        <f>VLOOKUP(A408,Sheet1!A:AB,28,0)</f>
        <v>No</v>
      </c>
      <c r="L408" s="27">
        <f>VLOOKUP(A408,Sheet1!A:AD,30,0)</f>
        <v>93</v>
      </c>
    </row>
    <row r="409" spans="1:12" x14ac:dyDescent="0.3">
      <c r="A409" s="14" t="s">
        <v>1522</v>
      </c>
      <c r="B409" s="19" t="str">
        <f>VLOOKUP(A409,Sheet1!A:E,5,0)</f>
        <v>Alex Smith</v>
      </c>
      <c r="C409" s="19" t="str">
        <f>VLOOKUP(A409,Sheet1!A:I,9,0)</f>
        <v>Male</v>
      </c>
      <c r="D409" s="19">
        <f>VLOOKUP(A409,Sheet1!A:K,11,0)</f>
        <v>44</v>
      </c>
      <c r="E409" s="19" t="str">
        <f>VLOOKUP(A409,Sheet1!A:M,13,0)</f>
        <v>South Korea</v>
      </c>
      <c r="F409" s="19" t="str">
        <f>VLOOKUP(A409,Sheet1!A:N,14,0)</f>
        <v>Korean</v>
      </c>
      <c r="G409" s="19" t="str">
        <f>VLOOKUP(A409,Sheet1!A:O,15,0)</f>
        <v>Machine Learning</v>
      </c>
      <c r="H409" s="19">
        <f>VLOOKUP(A409,Sheet1!A:Q,17,0)</f>
        <v>1</v>
      </c>
      <c r="I409" s="20">
        <f>VLOOKUP(A409,Sheet1!A:V,22,0)</f>
        <v>75</v>
      </c>
      <c r="J409" s="21">
        <f>VLOOKUP(A409,Sheet1!A:X,24,0)</f>
        <v>4.3</v>
      </c>
      <c r="K409" s="19" t="str">
        <f>VLOOKUP(A409,Sheet1!A:AB,28,0)</f>
        <v>Yes</v>
      </c>
      <c r="L409" s="27">
        <f>VLOOKUP(A409,Sheet1!A:AD,30,0)</f>
        <v>79.916666666666671</v>
      </c>
    </row>
    <row r="410" spans="1:12" x14ac:dyDescent="0.3">
      <c r="A410" s="14" t="s">
        <v>821</v>
      </c>
      <c r="B410" s="19" t="str">
        <f>VLOOKUP(A410,Sheet1!A:E,5,0)</f>
        <v>Angela Castro</v>
      </c>
      <c r="C410" s="19" t="str">
        <f>VLOOKUP(A410,Sheet1!A:I,9,0)</f>
        <v>Female</v>
      </c>
      <c r="D410" s="19">
        <f>VLOOKUP(A410,Sheet1!A:K,11,0)</f>
        <v>44</v>
      </c>
      <c r="E410" s="19" t="str">
        <f>VLOOKUP(A410,Sheet1!A:M,13,0)</f>
        <v>Canada</v>
      </c>
      <c r="F410" s="19" t="str">
        <f>VLOOKUP(A410,Sheet1!A:N,14,0)</f>
        <v>English</v>
      </c>
      <c r="G410" s="19" t="str">
        <f>VLOOKUP(A410,Sheet1!A:O,15,0)</f>
        <v>Cybersecurity</v>
      </c>
      <c r="H410" s="19">
        <f>VLOOKUP(A410,Sheet1!A:Q,17,0)</f>
        <v>6</v>
      </c>
      <c r="I410" s="20">
        <f>VLOOKUP(A410,Sheet1!A:V,22,0)</f>
        <v>75</v>
      </c>
      <c r="J410" s="21">
        <f>VLOOKUP(A410,Sheet1!A:X,24,0)</f>
        <v>4.5999999999999996</v>
      </c>
      <c r="K410" s="19" t="str">
        <f>VLOOKUP(A410,Sheet1!A:AB,28,0)</f>
        <v>Yes</v>
      </c>
      <c r="L410" s="27">
        <f>VLOOKUP(A410,Sheet1!A:AD,30,0)</f>
        <v>72</v>
      </c>
    </row>
    <row r="411" spans="1:12" x14ac:dyDescent="0.3">
      <c r="A411" s="14" t="s">
        <v>713</v>
      </c>
      <c r="B411" s="19" t="str">
        <f>VLOOKUP(A411,Sheet1!A:E,5,0)</f>
        <v>Angela Ward</v>
      </c>
      <c r="C411" s="19" t="str">
        <f>VLOOKUP(A411,Sheet1!A:I,9,0)</f>
        <v>Female</v>
      </c>
      <c r="D411" s="19">
        <f>VLOOKUP(A411,Sheet1!A:K,11,0)</f>
        <v>44</v>
      </c>
      <c r="E411" s="19" t="str">
        <f>VLOOKUP(A411,Sheet1!A:M,13,0)</f>
        <v>South Africa</v>
      </c>
      <c r="F411" s="19" t="str">
        <f>VLOOKUP(A411,Sheet1!A:N,14,0)</f>
        <v>Afrikaans</v>
      </c>
      <c r="G411" s="19" t="str">
        <f>VLOOKUP(A411,Sheet1!A:O,15,0)</f>
        <v>Machine Learning</v>
      </c>
      <c r="H411" s="19">
        <f>VLOOKUP(A411,Sheet1!A:Q,17,0)</f>
        <v>14</v>
      </c>
      <c r="I411" s="20">
        <f>VLOOKUP(A411,Sheet1!A:V,22,0)</f>
        <v>75</v>
      </c>
      <c r="J411" s="21">
        <f>VLOOKUP(A411,Sheet1!A:X,24,0)</f>
        <v>3</v>
      </c>
      <c r="K411" s="19" t="str">
        <f>VLOOKUP(A411,Sheet1!A:AB,28,0)</f>
        <v>No</v>
      </c>
      <c r="L411" s="27">
        <f>VLOOKUP(A411,Sheet1!A:AD,30,0)</f>
        <v>78</v>
      </c>
    </row>
    <row r="412" spans="1:12" x14ac:dyDescent="0.3">
      <c r="A412" s="14" t="s">
        <v>1648</v>
      </c>
      <c r="B412" s="19" t="str">
        <f>VLOOKUP(A412,Sheet1!A:E,5,0)</f>
        <v>Anthony Case</v>
      </c>
      <c r="C412" s="19" t="str">
        <f>VLOOKUP(A412,Sheet1!A:I,9,0)</f>
        <v>Male</v>
      </c>
      <c r="D412" s="19">
        <f>VLOOKUP(A412,Sheet1!A:K,11,0)</f>
        <v>44</v>
      </c>
      <c r="E412" s="19" t="str">
        <f>VLOOKUP(A412,Sheet1!A:M,13,0)</f>
        <v>Australia</v>
      </c>
      <c r="F412" s="19" t="str">
        <f>VLOOKUP(A412,Sheet1!A:N,14,0)</f>
        <v>English</v>
      </c>
      <c r="G412" s="19" t="str">
        <f>VLOOKUP(A412,Sheet1!A:O,15,0)</f>
        <v>Machine Learning</v>
      </c>
      <c r="H412" s="19">
        <f>VLOOKUP(A412,Sheet1!A:Q,17,0)</f>
        <v>26</v>
      </c>
      <c r="I412" s="20">
        <f>VLOOKUP(A412,Sheet1!A:V,22,0)</f>
        <v>50</v>
      </c>
      <c r="J412" s="21">
        <f>VLOOKUP(A412,Sheet1!A:X,24,0)</f>
        <v>1.6</v>
      </c>
      <c r="K412" s="19" t="str">
        <f>VLOOKUP(A412,Sheet1!A:AB,28,0)</f>
        <v>Unknown</v>
      </c>
      <c r="L412" s="27">
        <f>VLOOKUP(A412,Sheet1!A:AD,30,0)</f>
        <v>100</v>
      </c>
    </row>
    <row r="413" spans="1:12" x14ac:dyDescent="0.3">
      <c r="A413" s="14" t="s">
        <v>1722</v>
      </c>
      <c r="B413" s="19" t="str">
        <f>VLOOKUP(A413,Sheet1!A:E,5,0)</f>
        <v>Brian Holland</v>
      </c>
      <c r="C413" s="19" t="str">
        <f>VLOOKUP(A413,Sheet1!A:I,9,0)</f>
        <v>Male</v>
      </c>
      <c r="D413" s="19">
        <f>VLOOKUP(A413,Sheet1!A:K,11,0)</f>
        <v>44</v>
      </c>
      <c r="E413" s="19" t="str">
        <f>VLOOKUP(A413,Sheet1!A:M,13,0)</f>
        <v>Argentina</v>
      </c>
      <c r="F413" s="19" t="str">
        <f>VLOOKUP(A413,Sheet1!A:N,14,0)</f>
        <v>Spanish</v>
      </c>
      <c r="G413" s="19" t="str">
        <f>VLOOKUP(A413,Sheet1!A:O,15,0)</f>
        <v>Graphic Design</v>
      </c>
      <c r="H413" s="19">
        <f>VLOOKUP(A413,Sheet1!A:Q,17,0)</f>
        <v>24</v>
      </c>
      <c r="I413" s="20">
        <f>VLOOKUP(A413,Sheet1!A:V,22,0)</f>
        <v>75</v>
      </c>
      <c r="J413" s="21">
        <f>VLOOKUP(A413,Sheet1!A:X,24,0)</f>
        <v>4.5999999999999996</v>
      </c>
      <c r="K413" s="19" t="str">
        <f>VLOOKUP(A413,Sheet1!A:AB,28,0)</f>
        <v>No</v>
      </c>
      <c r="L413" s="27">
        <f>VLOOKUP(A413,Sheet1!A:AD,30,0)</f>
        <v>97</v>
      </c>
    </row>
    <row r="414" spans="1:12" x14ac:dyDescent="0.3">
      <c r="A414" s="14" t="s">
        <v>609</v>
      </c>
      <c r="B414" s="19" t="str">
        <f>VLOOKUP(A414,Sheet1!A:E,5,0)</f>
        <v>Carrie Little</v>
      </c>
      <c r="C414" s="19" t="str">
        <f>VLOOKUP(A414,Sheet1!A:I,9,0)</f>
        <v>Female</v>
      </c>
      <c r="D414" s="19">
        <f>VLOOKUP(A414,Sheet1!A:K,11,0)</f>
        <v>44</v>
      </c>
      <c r="E414" s="19" t="str">
        <f>VLOOKUP(A414,Sheet1!A:M,13,0)</f>
        <v>Canada</v>
      </c>
      <c r="F414" s="19" t="str">
        <f>VLOOKUP(A414,Sheet1!A:N,14,0)</f>
        <v>English</v>
      </c>
      <c r="G414" s="19" t="str">
        <f>VLOOKUP(A414,Sheet1!A:O,15,0)</f>
        <v>Web Development</v>
      </c>
      <c r="H414" s="19">
        <f>VLOOKUP(A414,Sheet1!A:Q,17,0)</f>
        <v>21</v>
      </c>
      <c r="I414" s="20">
        <f>VLOOKUP(A414,Sheet1!A:V,22,0)</f>
        <v>100</v>
      </c>
      <c r="J414" s="21">
        <f>VLOOKUP(A414,Sheet1!A:X,24,0)</f>
        <v>2.9</v>
      </c>
      <c r="K414" s="19" t="str">
        <f>VLOOKUP(A414,Sheet1!A:AB,28,0)</f>
        <v>No</v>
      </c>
      <c r="L414" s="27">
        <f>VLOOKUP(A414,Sheet1!A:AD,30,0)</f>
        <v>83</v>
      </c>
    </row>
    <row r="415" spans="1:12" x14ac:dyDescent="0.3">
      <c r="A415" s="14" t="s">
        <v>954</v>
      </c>
      <c r="B415" s="19" t="str">
        <f>VLOOKUP(A415,Sheet1!A:E,5,0)</f>
        <v>Christopher Mcclain</v>
      </c>
      <c r="C415" s="19" t="str">
        <f>VLOOKUP(A415,Sheet1!A:I,9,0)</f>
        <v>Male</v>
      </c>
      <c r="D415" s="19">
        <f>VLOOKUP(A415,Sheet1!A:K,11,0)</f>
        <v>44</v>
      </c>
      <c r="E415" s="19" t="str">
        <f>VLOOKUP(A415,Sheet1!A:M,13,0)</f>
        <v>South Africa</v>
      </c>
      <c r="F415" s="19" t="str">
        <f>VLOOKUP(A415,Sheet1!A:N,14,0)</f>
        <v>Afrikaans</v>
      </c>
      <c r="G415" s="19" t="str">
        <f>VLOOKUP(A415,Sheet1!A:O,15,0)</f>
        <v>Web Development</v>
      </c>
      <c r="H415" s="19">
        <f>VLOOKUP(A415,Sheet1!A:Q,17,0)</f>
        <v>13</v>
      </c>
      <c r="I415" s="20">
        <f>VLOOKUP(A415,Sheet1!A:V,22,0)</f>
        <v>53.680154142581891</v>
      </c>
      <c r="J415" s="21">
        <f>VLOOKUP(A415,Sheet1!A:X,24,0)</f>
        <v>1.4</v>
      </c>
      <c r="K415" s="19" t="str">
        <f>VLOOKUP(A415,Sheet1!A:AB,28,0)</f>
        <v>No</v>
      </c>
      <c r="L415" s="27">
        <f>VLOOKUP(A415,Sheet1!A:AD,30,0)</f>
        <v>93</v>
      </c>
    </row>
    <row r="416" spans="1:12" x14ac:dyDescent="0.3">
      <c r="A416" s="14" t="s">
        <v>1337</v>
      </c>
      <c r="B416" s="19" t="str">
        <f>VLOOKUP(A416,Sheet1!A:E,5,0)</f>
        <v>Craig Dennis</v>
      </c>
      <c r="C416" s="19" t="str">
        <f>VLOOKUP(A416,Sheet1!A:I,9,0)</f>
        <v>Male</v>
      </c>
      <c r="D416" s="19">
        <f>VLOOKUP(A416,Sheet1!A:K,11,0)</f>
        <v>44</v>
      </c>
      <c r="E416" s="19" t="str">
        <f>VLOOKUP(A416,Sheet1!A:M,13,0)</f>
        <v>United Kingdom</v>
      </c>
      <c r="F416" s="19" t="str">
        <f>VLOOKUP(A416,Sheet1!A:N,14,0)</f>
        <v>English</v>
      </c>
      <c r="G416" s="19" t="str">
        <f>VLOOKUP(A416,Sheet1!A:O,15,0)</f>
        <v>Graphic Design</v>
      </c>
      <c r="H416" s="19">
        <f>VLOOKUP(A416,Sheet1!A:Q,17,0)</f>
        <v>1</v>
      </c>
      <c r="I416" s="20">
        <f>VLOOKUP(A416,Sheet1!A:V,22,0)</f>
        <v>54.020172910662822</v>
      </c>
      <c r="J416" s="21">
        <f>VLOOKUP(A416,Sheet1!A:X,24,0)</f>
        <v>4.8</v>
      </c>
      <c r="K416" s="19" t="str">
        <f>VLOOKUP(A416,Sheet1!A:AB,28,0)</f>
        <v>No</v>
      </c>
      <c r="L416" s="27">
        <f>VLOOKUP(A416,Sheet1!A:AD,30,0)</f>
        <v>97</v>
      </c>
    </row>
    <row r="417" spans="1:12" x14ac:dyDescent="0.3">
      <c r="A417" s="14" t="s">
        <v>1766</v>
      </c>
      <c r="B417" s="19" t="str">
        <f>VLOOKUP(A417,Sheet1!A:E,5,0)</f>
        <v>Daniel Roberson</v>
      </c>
      <c r="C417" s="19" t="str">
        <f>VLOOKUP(A417,Sheet1!A:I,9,0)</f>
        <v>Male</v>
      </c>
      <c r="D417" s="19">
        <f>VLOOKUP(A417,Sheet1!A:K,11,0)</f>
        <v>44</v>
      </c>
      <c r="E417" s="19" t="str">
        <f>VLOOKUP(A417,Sheet1!A:M,13,0)</f>
        <v>India</v>
      </c>
      <c r="F417" s="19" t="str">
        <f>VLOOKUP(A417,Sheet1!A:N,14,0)</f>
        <v>Hindi</v>
      </c>
      <c r="G417" s="19" t="str">
        <f>VLOOKUP(A417,Sheet1!A:O,15,0)</f>
        <v>UI/UX Design</v>
      </c>
      <c r="H417" s="19">
        <f>VLOOKUP(A417,Sheet1!A:Q,17,0)</f>
        <v>4</v>
      </c>
      <c r="I417" s="20">
        <f>VLOOKUP(A417,Sheet1!A:V,22,0)</f>
        <v>30</v>
      </c>
      <c r="J417" s="21">
        <f>VLOOKUP(A417,Sheet1!A:X,24,0)</f>
        <v>0</v>
      </c>
      <c r="K417" s="19" t="str">
        <f>VLOOKUP(A417,Sheet1!A:AB,28,0)</f>
        <v>No</v>
      </c>
      <c r="L417" s="27">
        <f>VLOOKUP(A417,Sheet1!A:AD,30,0)</f>
        <v>80</v>
      </c>
    </row>
    <row r="418" spans="1:12" x14ac:dyDescent="0.3">
      <c r="A418" s="14" t="s">
        <v>1008</v>
      </c>
      <c r="B418" s="19" t="str">
        <f>VLOOKUP(A418,Sheet1!A:E,5,0)</f>
        <v>Danielle Barrera</v>
      </c>
      <c r="C418" s="19" t="str">
        <f>VLOOKUP(A418,Sheet1!A:I,9,0)</f>
        <v>Female</v>
      </c>
      <c r="D418" s="19">
        <f>VLOOKUP(A418,Sheet1!A:K,11,0)</f>
        <v>44</v>
      </c>
      <c r="E418" s="19" t="str">
        <f>VLOOKUP(A418,Sheet1!A:M,13,0)</f>
        <v>United States</v>
      </c>
      <c r="F418" s="19" t="str">
        <f>VLOOKUP(A418,Sheet1!A:N,14,0)</f>
        <v>English</v>
      </c>
      <c r="G418" s="19" t="str">
        <f>VLOOKUP(A418,Sheet1!A:O,15,0)</f>
        <v>Mobile Apps</v>
      </c>
      <c r="H418" s="19">
        <f>VLOOKUP(A418,Sheet1!A:Q,17,0)</f>
        <v>3</v>
      </c>
      <c r="I418" s="20">
        <f>VLOOKUP(A418,Sheet1!A:V,22,0)</f>
        <v>50</v>
      </c>
      <c r="J418" s="21">
        <f>VLOOKUP(A418,Sheet1!A:X,24,0)</f>
        <v>2.2000000000000002</v>
      </c>
      <c r="K418" s="19" t="str">
        <f>VLOOKUP(A418,Sheet1!A:AB,28,0)</f>
        <v>No</v>
      </c>
      <c r="L418" s="27">
        <f>VLOOKUP(A418,Sheet1!A:AD,30,0)</f>
        <v>77</v>
      </c>
    </row>
    <row r="419" spans="1:12" x14ac:dyDescent="0.3">
      <c r="A419" s="14" t="s">
        <v>2020</v>
      </c>
      <c r="B419" s="19" t="str">
        <f>VLOOKUP(A419,Sheet1!A:E,5,0)</f>
        <v>David Hooper</v>
      </c>
      <c r="C419" s="19" t="str">
        <f>VLOOKUP(A419,Sheet1!A:I,9,0)</f>
        <v>Male</v>
      </c>
      <c r="D419" s="19">
        <f>VLOOKUP(A419,Sheet1!A:K,11,0)</f>
        <v>44</v>
      </c>
      <c r="E419" s="19" t="str">
        <f>VLOOKUP(A419,Sheet1!A:M,13,0)</f>
        <v>South Korea</v>
      </c>
      <c r="F419" s="19" t="str">
        <f>VLOOKUP(A419,Sheet1!A:N,14,0)</f>
        <v>Korean</v>
      </c>
      <c r="G419" s="19" t="str">
        <f>VLOOKUP(A419,Sheet1!A:O,15,0)</f>
        <v>Machine Learning</v>
      </c>
      <c r="H419" s="19">
        <f>VLOOKUP(A419,Sheet1!A:Q,17,0)</f>
        <v>9</v>
      </c>
      <c r="I419" s="20">
        <f>VLOOKUP(A419,Sheet1!A:V,22,0)</f>
        <v>40</v>
      </c>
      <c r="J419" s="21">
        <f>VLOOKUP(A419,Sheet1!A:X,24,0)</f>
        <v>2.5200000000000005</v>
      </c>
      <c r="K419" s="19" t="str">
        <f>VLOOKUP(A419,Sheet1!A:AB,28,0)</f>
        <v>No</v>
      </c>
      <c r="L419" s="27">
        <f>VLOOKUP(A419,Sheet1!A:AD,30,0)</f>
        <v>70</v>
      </c>
    </row>
    <row r="420" spans="1:12" x14ac:dyDescent="0.3">
      <c r="A420" s="14" t="s">
        <v>952</v>
      </c>
      <c r="B420" s="19" t="str">
        <f>VLOOKUP(A420,Sheet1!A:E,5,0)</f>
        <v>Donna Davis</v>
      </c>
      <c r="C420" s="19" t="str">
        <f>VLOOKUP(A420,Sheet1!A:I,9,0)</f>
        <v>Female</v>
      </c>
      <c r="D420" s="19">
        <f>VLOOKUP(A420,Sheet1!A:K,11,0)</f>
        <v>44</v>
      </c>
      <c r="E420" s="19" t="str">
        <f>VLOOKUP(A420,Sheet1!A:M,13,0)</f>
        <v>Canada</v>
      </c>
      <c r="F420" s="19" t="str">
        <f>VLOOKUP(A420,Sheet1!A:N,14,0)</f>
        <v>English</v>
      </c>
      <c r="G420" s="19" t="str">
        <f>VLOOKUP(A420,Sheet1!A:O,15,0)</f>
        <v>AI</v>
      </c>
      <c r="H420" s="19">
        <f>VLOOKUP(A420,Sheet1!A:Q,17,0)</f>
        <v>0</v>
      </c>
      <c r="I420" s="20">
        <f>VLOOKUP(A420,Sheet1!A:V,22,0)</f>
        <v>53.721153846153847</v>
      </c>
      <c r="J420" s="21">
        <f>VLOOKUP(A420,Sheet1!A:X,24,0)</f>
        <v>4.8</v>
      </c>
      <c r="K420" s="19" t="str">
        <f>VLOOKUP(A420,Sheet1!A:AB,28,0)</f>
        <v>Unknown</v>
      </c>
      <c r="L420" s="27">
        <f>VLOOKUP(A420,Sheet1!A:AD,30,0)</f>
        <v>84</v>
      </c>
    </row>
    <row r="421" spans="1:12" x14ac:dyDescent="0.3">
      <c r="A421" s="14" t="s">
        <v>1702</v>
      </c>
      <c r="B421" s="19" t="str">
        <f>VLOOKUP(A421,Sheet1!A:E,5,0)</f>
        <v>Emily Brown</v>
      </c>
      <c r="C421" s="19" t="str">
        <f>VLOOKUP(A421,Sheet1!A:I,9,0)</f>
        <v>Female</v>
      </c>
      <c r="D421" s="19">
        <f>VLOOKUP(A421,Sheet1!A:K,11,0)</f>
        <v>44</v>
      </c>
      <c r="E421" s="19" t="str">
        <f>VLOOKUP(A421,Sheet1!A:M,13,0)</f>
        <v>Russia</v>
      </c>
      <c r="F421" s="19" t="str">
        <f>VLOOKUP(A421,Sheet1!A:N,14,0)</f>
        <v>Russian</v>
      </c>
      <c r="G421" s="19" t="str">
        <f>VLOOKUP(A421,Sheet1!A:O,15,0)</f>
        <v>Web Development</v>
      </c>
      <c r="H421" s="19">
        <f>VLOOKUP(A421,Sheet1!A:Q,17,0)</f>
        <v>3</v>
      </c>
      <c r="I421" s="20">
        <f>VLOOKUP(A421,Sheet1!A:V,22,0)</f>
        <v>20</v>
      </c>
      <c r="J421" s="21">
        <f>VLOOKUP(A421,Sheet1!A:X,24,0)</f>
        <v>5</v>
      </c>
      <c r="K421" s="19" t="str">
        <f>VLOOKUP(A421,Sheet1!A:AB,28,0)</f>
        <v>Yes</v>
      </c>
      <c r="L421" s="27">
        <f>VLOOKUP(A421,Sheet1!A:AD,30,0)</f>
        <v>75</v>
      </c>
    </row>
    <row r="422" spans="1:12" x14ac:dyDescent="0.3">
      <c r="A422" s="14" t="s">
        <v>673</v>
      </c>
      <c r="B422" s="19" t="str">
        <f>VLOOKUP(A422,Sheet1!A:E,5,0)</f>
        <v>James Carr</v>
      </c>
      <c r="C422" s="19" t="str">
        <f>VLOOKUP(A422,Sheet1!A:I,9,0)</f>
        <v>Male</v>
      </c>
      <c r="D422" s="19">
        <f>VLOOKUP(A422,Sheet1!A:K,11,0)</f>
        <v>44</v>
      </c>
      <c r="E422" s="19" t="str">
        <f>VLOOKUP(A422,Sheet1!A:M,13,0)</f>
        <v>United Kingdom</v>
      </c>
      <c r="F422" s="19" t="str">
        <f>VLOOKUP(A422,Sheet1!A:N,14,0)</f>
        <v>English</v>
      </c>
      <c r="G422" s="19" t="str">
        <f>VLOOKUP(A422,Sheet1!A:O,15,0)</f>
        <v>Blockchain Development</v>
      </c>
      <c r="H422" s="19">
        <f>VLOOKUP(A422,Sheet1!A:Q,17,0)</f>
        <v>13</v>
      </c>
      <c r="I422" s="20">
        <f>VLOOKUP(A422,Sheet1!A:V,22,0)</f>
        <v>100</v>
      </c>
      <c r="J422" s="21">
        <f>VLOOKUP(A422,Sheet1!A:X,24,0)</f>
        <v>3.1</v>
      </c>
      <c r="K422" s="19" t="str">
        <f>VLOOKUP(A422,Sheet1!A:AB,28,0)</f>
        <v>Yes</v>
      </c>
      <c r="L422" s="27">
        <f>VLOOKUP(A422,Sheet1!A:AD,30,0)</f>
        <v>95</v>
      </c>
    </row>
    <row r="423" spans="1:12" x14ac:dyDescent="0.3">
      <c r="A423" s="14" t="s">
        <v>1582</v>
      </c>
      <c r="B423" s="19" t="str">
        <f>VLOOKUP(A423,Sheet1!A:E,5,0)</f>
        <v>Linda Williams</v>
      </c>
      <c r="C423" s="19" t="str">
        <f>VLOOKUP(A423,Sheet1!A:I,9,0)</f>
        <v>Female</v>
      </c>
      <c r="D423" s="19">
        <f>VLOOKUP(A423,Sheet1!A:K,11,0)</f>
        <v>44</v>
      </c>
      <c r="E423" s="19" t="str">
        <f>VLOOKUP(A423,Sheet1!A:M,13,0)</f>
        <v>Netherlands</v>
      </c>
      <c r="F423" s="19" t="str">
        <f>VLOOKUP(A423,Sheet1!A:N,14,0)</f>
        <v>Dutch</v>
      </c>
      <c r="G423" s="19" t="str">
        <f>VLOOKUP(A423,Sheet1!A:O,15,0)</f>
        <v>Machine Learning</v>
      </c>
      <c r="H423" s="19">
        <f>VLOOKUP(A423,Sheet1!A:Q,17,0)</f>
        <v>19</v>
      </c>
      <c r="I423" s="20">
        <f>VLOOKUP(A423,Sheet1!A:V,22,0)</f>
        <v>40</v>
      </c>
      <c r="J423" s="21">
        <f>VLOOKUP(A423,Sheet1!A:X,24,0)</f>
        <v>4.9000000000000004</v>
      </c>
      <c r="K423" s="19" t="str">
        <f>VLOOKUP(A423,Sheet1!A:AB,28,0)</f>
        <v>No</v>
      </c>
      <c r="L423" s="27">
        <f>VLOOKUP(A423,Sheet1!A:AD,30,0)</f>
        <v>100</v>
      </c>
    </row>
    <row r="424" spans="1:12" x14ac:dyDescent="0.3">
      <c r="A424" s="14" t="s">
        <v>751</v>
      </c>
      <c r="B424" s="19" t="str">
        <f>VLOOKUP(A424,Sheet1!A:E,5,0)</f>
        <v>Mike Dean</v>
      </c>
      <c r="C424" s="19" t="str">
        <f>VLOOKUP(A424,Sheet1!A:I,9,0)</f>
        <v>Male</v>
      </c>
      <c r="D424" s="19">
        <f>VLOOKUP(A424,Sheet1!A:K,11,0)</f>
        <v>44</v>
      </c>
      <c r="E424" s="19" t="str">
        <f>VLOOKUP(A424,Sheet1!A:M,13,0)</f>
        <v>Argentina</v>
      </c>
      <c r="F424" s="19" t="str">
        <f>VLOOKUP(A424,Sheet1!A:N,14,0)</f>
        <v>Spanish</v>
      </c>
      <c r="G424" s="19" t="str">
        <f>VLOOKUP(A424,Sheet1!A:O,15,0)</f>
        <v>AI</v>
      </c>
      <c r="H424" s="19">
        <f>VLOOKUP(A424,Sheet1!A:Q,17,0)</f>
        <v>4</v>
      </c>
      <c r="I424" s="20">
        <f>VLOOKUP(A424,Sheet1!A:V,22,0)</f>
        <v>50</v>
      </c>
      <c r="J424" s="21">
        <f>VLOOKUP(A424,Sheet1!A:X,24,0)</f>
        <v>0</v>
      </c>
      <c r="K424" s="19" t="str">
        <f>VLOOKUP(A424,Sheet1!A:AB,28,0)</f>
        <v>Yes</v>
      </c>
      <c r="L424" s="27">
        <f>VLOOKUP(A424,Sheet1!A:AD,30,0)</f>
        <v>83</v>
      </c>
    </row>
    <row r="425" spans="1:12" x14ac:dyDescent="0.3">
      <c r="A425" s="14" t="s">
        <v>647</v>
      </c>
      <c r="B425" s="19" t="str">
        <f>VLOOKUP(A425,Sheet1!A:E,5,0)</f>
        <v>Richard Mcguire</v>
      </c>
      <c r="C425" s="19" t="str">
        <f>VLOOKUP(A425,Sheet1!A:I,9,0)</f>
        <v>Male</v>
      </c>
      <c r="D425" s="19">
        <f>VLOOKUP(A425,Sheet1!A:K,11,0)</f>
        <v>44</v>
      </c>
      <c r="E425" s="19" t="str">
        <f>VLOOKUP(A425,Sheet1!A:M,13,0)</f>
        <v>Russia</v>
      </c>
      <c r="F425" s="19" t="str">
        <f>VLOOKUP(A425,Sheet1!A:N,14,0)</f>
        <v>Russian</v>
      </c>
      <c r="G425" s="19" t="str">
        <f>VLOOKUP(A425,Sheet1!A:O,15,0)</f>
        <v>Machine Learning</v>
      </c>
      <c r="H425" s="19">
        <f>VLOOKUP(A425,Sheet1!A:Q,17,0)</f>
        <v>18</v>
      </c>
      <c r="I425" s="20">
        <f>VLOOKUP(A425,Sheet1!A:V,22,0)</f>
        <v>20</v>
      </c>
      <c r="J425" s="21">
        <f>VLOOKUP(A425,Sheet1!A:X,24,0)</f>
        <v>4.7</v>
      </c>
      <c r="K425" s="19" t="str">
        <f>VLOOKUP(A425,Sheet1!A:AB,28,0)</f>
        <v>Yes</v>
      </c>
      <c r="L425" s="27">
        <f>VLOOKUP(A425,Sheet1!A:AD,30,0)</f>
        <v>88</v>
      </c>
    </row>
    <row r="426" spans="1:12" x14ac:dyDescent="0.3">
      <c r="A426" s="14" t="s">
        <v>923</v>
      </c>
      <c r="B426" s="19" t="str">
        <f>VLOOKUP(A426,Sheet1!A:E,5,0)</f>
        <v>Susan Dixon</v>
      </c>
      <c r="C426" s="19" t="str">
        <f>VLOOKUP(A426,Sheet1!A:I,9,0)</f>
        <v>Female</v>
      </c>
      <c r="D426" s="19">
        <f>VLOOKUP(A426,Sheet1!A:K,11,0)</f>
        <v>44</v>
      </c>
      <c r="E426" s="19" t="str">
        <f>VLOOKUP(A426,Sheet1!A:M,13,0)</f>
        <v>South Korea</v>
      </c>
      <c r="F426" s="19" t="str">
        <f>VLOOKUP(A426,Sheet1!A:N,14,0)</f>
        <v>Korean</v>
      </c>
      <c r="G426" s="19" t="str">
        <f>VLOOKUP(A426,Sheet1!A:O,15,0)</f>
        <v>Cybersecurity</v>
      </c>
      <c r="H426" s="19">
        <f>VLOOKUP(A426,Sheet1!A:Q,17,0)</f>
        <v>22</v>
      </c>
      <c r="I426" s="20">
        <f>VLOOKUP(A426,Sheet1!A:V,22,0)</f>
        <v>30</v>
      </c>
      <c r="J426" s="21">
        <f>VLOOKUP(A426,Sheet1!A:X,24,0)</f>
        <v>4.0999999999999996</v>
      </c>
      <c r="K426" s="19" t="str">
        <f>VLOOKUP(A426,Sheet1!A:AB,28,0)</f>
        <v>Yes</v>
      </c>
      <c r="L426" s="27">
        <f>VLOOKUP(A426,Sheet1!A:AD,30,0)</f>
        <v>79.490759753593423</v>
      </c>
    </row>
    <row r="427" spans="1:12" x14ac:dyDescent="0.3">
      <c r="A427" s="14" t="s">
        <v>1359</v>
      </c>
      <c r="B427" s="19" t="str">
        <f>VLOOKUP(A427,Sheet1!A:E,5,0)</f>
        <v>Todd Casey</v>
      </c>
      <c r="C427" s="19" t="str">
        <f>VLOOKUP(A427,Sheet1!A:I,9,0)</f>
        <v>Male</v>
      </c>
      <c r="D427" s="19">
        <f>VLOOKUP(A427,Sheet1!A:K,11,0)</f>
        <v>44</v>
      </c>
      <c r="E427" s="19" t="str">
        <f>VLOOKUP(A427,Sheet1!A:M,13,0)</f>
        <v>Netherlands</v>
      </c>
      <c r="F427" s="19" t="str">
        <f>VLOOKUP(A427,Sheet1!A:N,14,0)</f>
        <v>Dutch</v>
      </c>
      <c r="G427" s="19" t="str">
        <f>VLOOKUP(A427,Sheet1!A:O,15,0)</f>
        <v>Machine Learning</v>
      </c>
      <c r="H427" s="19">
        <f>VLOOKUP(A427,Sheet1!A:Q,17,0)</f>
        <v>4</v>
      </c>
      <c r="I427" s="20">
        <f>VLOOKUP(A427,Sheet1!A:V,22,0)</f>
        <v>53.82789317507418</v>
      </c>
      <c r="J427" s="21">
        <f>VLOOKUP(A427,Sheet1!A:X,24,0)</f>
        <v>1.3</v>
      </c>
      <c r="K427" s="19" t="str">
        <f>VLOOKUP(A427,Sheet1!A:AB,28,0)</f>
        <v>Yes</v>
      </c>
      <c r="L427" s="27">
        <f>VLOOKUP(A427,Sheet1!A:AD,30,0)</f>
        <v>77</v>
      </c>
    </row>
    <row r="428" spans="1:12" x14ac:dyDescent="0.3">
      <c r="A428" s="14" t="s">
        <v>1877</v>
      </c>
      <c r="B428" s="19" t="str">
        <f>VLOOKUP(A428,Sheet1!A:E,5,0)</f>
        <v>Wendy Mitchell</v>
      </c>
      <c r="C428" s="19" t="str">
        <f>VLOOKUP(A428,Sheet1!A:I,9,0)</f>
        <v>Female</v>
      </c>
      <c r="D428" s="19">
        <f>VLOOKUP(A428,Sheet1!A:K,11,0)</f>
        <v>44</v>
      </c>
      <c r="E428" s="19" t="str">
        <f>VLOOKUP(A428,Sheet1!A:M,13,0)</f>
        <v>Canada</v>
      </c>
      <c r="F428" s="19" t="str">
        <f>VLOOKUP(A428,Sheet1!A:N,14,0)</f>
        <v>English</v>
      </c>
      <c r="G428" s="19" t="str">
        <f>VLOOKUP(A428,Sheet1!A:O,15,0)</f>
        <v>Cybersecurity</v>
      </c>
      <c r="H428" s="19">
        <f>VLOOKUP(A428,Sheet1!A:Q,17,0)</f>
        <v>25</v>
      </c>
      <c r="I428" s="20">
        <f>VLOOKUP(A428,Sheet1!A:V,22,0)</f>
        <v>75</v>
      </c>
      <c r="J428" s="21">
        <f>VLOOKUP(A428,Sheet1!A:X,24,0)</f>
        <v>2.7</v>
      </c>
      <c r="K428" s="19" t="str">
        <f>VLOOKUP(A428,Sheet1!A:AB,28,0)</f>
        <v>Yes</v>
      </c>
      <c r="L428" s="27">
        <f>VLOOKUP(A428,Sheet1!A:AD,30,0)</f>
        <v>78</v>
      </c>
    </row>
    <row r="429" spans="1:12" x14ac:dyDescent="0.3">
      <c r="A429" s="14" t="s">
        <v>501</v>
      </c>
      <c r="B429" s="19" t="str">
        <f>VLOOKUP(A429,Sheet1!A:E,5,0)</f>
        <v>Adam Payne</v>
      </c>
      <c r="C429" s="19" t="str">
        <f>VLOOKUP(A429,Sheet1!A:I,9,0)</f>
        <v>Male</v>
      </c>
      <c r="D429" s="19">
        <f>VLOOKUP(A429,Sheet1!A:K,11,0)</f>
        <v>43</v>
      </c>
      <c r="E429" s="19" t="str">
        <f>VLOOKUP(A429,Sheet1!A:M,13,0)</f>
        <v>Russia</v>
      </c>
      <c r="F429" s="19" t="str">
        <f>VLOOKUP(A429,Sheet1!A:N,14,0)</f>
        <v>Russian</v>
      </c>
      <c r="G429" s="19" t="str">
        <f>VLOOKUP(A429,Sheet1!A:O,15,0)</f>
        <v>Mobile Apps</v>
      </c>
      <c r="H429" s="19">
        <f>VLOOKUP(A429,Sheet1!A:Q,17,0)</f>
        <v>6</v>
      </c>
      <c r="I429" s="20">
        <f>VLOOKUP(A429,Sheet1!A:V,22,0)</f>
        <v>50</v>
      </c>
      <c r="J429" s="21">
        <f>VLOOKUP(A429,Sheet1!A:X,24,0)</f>
        <v>2.5381486676016816</v>
      </c>
      <c r="K429" s="19" t="str">
        <f>VLOOKUP(A429,Sheet1!A:AB,28,0)</f>
        <v>No</v>
      </c>
      <c r="L429" s="27">
        <f>VLOOKUP(A429,Sheet1!A:AD,30,0)</f>
        <v>77</v>
      </c>
    </row>
    <row r="430" spans="1:12" x14ac:dyDescent="0.3">
      <c r="A430" s="14" t="s">
        <v>1071</v>
      </c>
      <c r="B430" s="19" t="str">
        <f>VLOOKUP(A430,Sheet1!A:E,5,0)</f>
        <v>Allison Williams</v>
      </c>
      <c r="C430" s="19" t="str">
        <f>VLOOKUP(A430,Sheet1!A:I,9,0)</f>
        <v>Female</v>
      </c>
      <c r="D430" s="19">
        <f>VLOOKUP(A430,Sheet1!A:K,11,0)</f>
        <v>43</v>
      </c>
      <c r="E430" s="19" t="str">
        <f>VLOOKUP(A430,Sheet1!A:M,13,0)</f>
        <v>Brazil</v>
      </c>
      <c r="F430" s="19" t="str">
        <f>VLOOKUP(A430,Sheet1!A:N,14,0)</f>
        <v>Portuguese</v>
      </c>
      <c r="G430" s="19" t="str">
        <f>VLOOKUP(A430,Sheet1!A:O,15,0)</f>
        <v>UI/UX Design</v>
      </c>
      <c r="H430" s="19">
        <f>VLOOKUP(A430,Sheet1!A:Q,17,0)</f>
        <v>2</v>
      </c>
      <c r="I430" s="20">
        <f>VLOOKUP(A430,Sheet1!A:V,22,0)</f>
        <v>40</v>
      </c>
      <c r="J430" s="21">
        <f>VLOOKUP(A430,Sheet1!A:X,24,0)</f>
        <v>0</v>
      </c>
      <c r="K430" s="19" t="str">
        <f>VLOOKUP(A430,Sheet1!A:AB,28,0)</f>
        <v>Yes</v>
      </c>
      <c r="L430" s="27">
        <f>VLOOKUP(A430,Sheet1!A:AD,30,0)</f>
        <v>89</v>
      </c>
    </row>
    <row r="431" spans="1:12" x14ac:dyDescent="0.3">
      <c r="A431" s="14" t="s">
        <v>1233</v>
      </c>
      <c r="B431" s="19" t="str">
        <f>VLOOKUP(A431,Sheet1!A:E,5,0)</f>
        <v>Amanda Vargas</v>
      </c>
      <c r="C431" s="19" t="str">
        <f>VLOOKUP(A431,Sheet1!A:I,9,0)</f>
        <v>Female</v>
      </c>
      <c r="D431" s="19">
        <f>VLOOKUP(A431,Sheet1!A:K,11,0)</f>
        <v>43</v>
      </c>
      <c r="E431" s="19" t="str">
        <f>VLOOKUP(A431,Sheet1!A:M,13,0)</f>
        <v>United States</v>
      </c>
      <c r="F431" s="19" t="str">
        <f>VLOOKUP(A431,Sheet1!A:N,14,0)</f>
        <v>English</v>
      </c>
      <c r="G431" s="19" t="str">
        <f>VLOOKUP(A431,Sheet1!A:O,15,0)</f>
        <v>DevOps</v>
      </c>
      <c r="H431" s="19">
        <f>VLOOKUP(A431,Sheet1!A:Q,17,0)</f>
        <v>1</v>
      </c>
      <c r="I431" s="20">
        <f>VLOOKUP(A431,Sheet1!A:V,22,0)</f>
        <v>53.794416243654823</v>
      </c>
      <c r="J431" s="21">
        <f>VLOOKUP(A431,Sheet1!A:X,24,0)</f>
        <v>2.9</v>
      </c>
      <c r="K431" s="19" t="str">
        <f>VLOOKUP(A431,Sheet1!A:AB,28,0)</f>
        <v>No</v>
      </c>
      <c r="L431" s="27">
        <f>VLOOKUP(A431,Sheet1!A:AD,30,0)</f>
        <v>78</v>
      </c>
    </row>
    <row r="432" spans="1:12" x14ac:dyDescent="0.3">
      <c r="A432" s="14" t="s">
        <v>1960</v>
      </c>
      <c r="B432" s="19" t="str">
        <f>VLOOKUP(A432,Sheet1!A:E,5,0)</f>
        <v>Anne Hampton</v>
      </c>
      <c r="C432" s="19" t="str">
        <f>VLOOKUP(A432,Sheet1!A:I,9,0)</f>
        <v>Female</v>
      </c>
      <c r="D432" s="19">
        <f>VLOOKUP(A432,Sheet1!A:K,11,0)</f>
        <v>43</v>
      </c>
      <c r="E432" s="19" t="str">
        <f>VLOOKUP(A432,Sheet1!A:M,13,0)</f>
        <v>Netherlands</v>
      </c>
      <c r="F432" s="19" t="str">
        <f>VLOOKUP(A432,Sheet1!A:N,14,0)</f>
        <v>Dutch</v>
      </c>
      <c r="G432" s="19" t="str">
        <f>VLOOKUP(A432,Sheet1!A:O,15,0)</f>
        <v>AI</v>
      </c>
      <c r="H432" s="19">
        <f>VLOOKUP(A432,Sheet1!A:Q,17,0)</f>
        <v>3</v>
      </c>
      <c r="I432" s="20">
        <f>VLOOKUP(A432,Sheet1!A:V,22,0)</f>
        <v>20</v>
      </c>
      <c r="J432" s="21">
        <f>VLOOKUP(A432,Sheet1!A:X,24,0)</f>
        <v>0</v>
      </c>
      <c r="K432" s="19" t="str">
        <f>VLOOKUP(A432,Sheet1!A:AB,28,0)</f>
        <v>Yes</v>
      </c>
      <c r="L432" s="27">
        <f>VLOOKUP(A432,Sheet1!A:AD,30,0)</f>
        <v>95</v>
      </c>
    </row>
    <row r="433" spans="1:12" x14ac:dyDescent="0.3">
      <c r="A433" s="14" t="s">
        <v>2046</v>
      </c>
      <c r="B433" s="19" t="str">
        <f>VLOOKUP(A433,Sheet1!A:E,5,0)</f>
        <v>Charles Dean</v>
      </c>
      <c r="C433" s="19" t="str">
        <f>VLOOKUP(A433,Sheet1!A:I,9,0)</f>
        <v>Male</v>
      </c>
      <c r="D433" s="19">
        <f>VLOOKUP(A433,Sheet1!A:K,11,0)</f>
        <v>43</v>
      </c>
      <c r="E433" s="19" t="str">
        <f>VLOOKUP(A433,Sheet1!A:M,13,0)</f>
        <v>Argentina</v>
      </c>
      <c r="F433" s="19" t="str">
        <f>VLOOKUP(A433,Sheet1!A:N,14,0)</f>
        <v>Spanish</v>
      </c>
      <c r="G433" s="19" t="str">
        <f>VLOOKUP(A433,Sheet1!A:O,15,0)</f>
        <v>Web Development</v>
      </c>
      <c r="H433" s="19">
        <f>VLOOKUP(A433,Sheet1!A:Q,17,0)</f>
        <v>2</v>
      </c>
      <c r="I433" s="20">
        <f>VLOOKUP(A433,Sheet1!A:V,22,0)</f>
        <v>100</v>
      </c>
      <c r="J433" s="21">
        <f>VLOOKUP(A433,Sheet1!A:X,24,0)</f>
        <v>1.1000000000000001</v>
      </c>
      <c r="K433" s="19" t="str">
        <f>VLOOKUP(A433,Sheet1!A:AB,28,0)</f>
        <v>Yes</v>
      </c>
      <c r="L433" s="27">
        <f>VLOOKUP(A433,Sheet1!A:AD,30,0)</f>
        <v>63</v>
      </c>
    </row>
    <row r="434" spans="1:12" x14ac:dyDescent="0.3">
      <c r="A434" s="14" t="s">
        <v>2036</v>
      </c>
      <c r="B434" s="19" t="str">
        <f>VLOOKUP(A434,Sheet1!A:E,5,0)</f>
        <v>Crystal Brown</v>
      </c>
      <c r="C434" s="19" t="str">
        <f>VLOOKUP(A434,Sheet1!A:I,9,0)</f>
        <v>Female</v>
      </c>
      <c r="D434" s="19">
        <f>VLOOKUP(A434,Sheet1!A:K,11,0)</f>
        <v>43</v>
      </c>
      <c r="E434" s="19" t="str">
        <f>VLOOKUP(A434,Sheet1!A:M,13,0)</f>
        <v>Spain</v>
      </c>
      <c r="F434" s="19" t="str">
        <f>VLOOKUP(A434,Sheet1!A:N,14,0)</f>
        <v>Spanish</v>
      </c>
      <c r="G434" s="19" t="str">
        <f>VLOOKUP(A434,Sheet1!A:O,15,0)</f>
        <v>Blockchain Development</v>
      </c>
      <c r="H434" s="19">
        <f>VLOOKUP(A434,Sheet1!A:Q,17,0)</f>
        <v>2</v>
      </c>
      <c r="I434" s="20">
        <f>VLOOKUP(A434,Sheet1!A:V,22,0)</f>
        <v>62.884615384615387</v>
      </c>
      <c r="J434" s="21">
        <f>VLOOKUP(A434,Sheet1!A:X,24,0)</f>
        <v>1.8</v>
      </c>
      <c r="K434" s="19" t="str">
        <f>VLOOKUP(A434,Sheet1!A:AB,28,0)</f>
        <v>No</v>
      </c>
      <c r="L434" s="27">
        <f>VLOOKUP(A434,Sheet1!A:AD,30,0)</f>
        <v>61</v>
      </c>
    </row>
    <row r="435" spans="1:12" x14ac:dyDescent="0.3">
      <c r="A435" s="14" t="s">
        <v>1127</v>
      </c>
      <c r="B435" s="19" t="str">
        <f>VLOOKUP(A435,Sheet1!A:E,5,0)</f>
        <v>Danielle Adkins</v>
      </c>
      <c r="C435" s="19" t="str">
        <f>VLOOKUP(A435,Sheet1!A:I,9,0)</f>
        <v>Female</v>
      </c>
      <c r="D435" s="19">
        <f>VLOOKUP(A435,Sheet1!A:K,11,0)</f>
        <v>43</v>
      </c>
      <c r="E435" s="19" t="str">
        <f>VLOOKUP(A435,Sheet1!A:M,13,0)</f>
        <v>China</v>
      </c>
      <c r="F435" s="19" t="str">
        <f>VLOOKUP(A435,Sheet1!A:N,14,0)</f>
        <v>Mandarin</v>
      </c>
      <c r="G435" s="19" t="str">
        <f>VLOOKUP(A435,Sheet1!A:O,15,0)</f>
        <v>AI</v>
      </c>
      <c r="H435" s="19">
        <f>VLOOKUP(A435,Sheet1!A:Q,17,0)</f>
        <v>15</v>
      </c>
      <c r="I435" s="20">
        <f>VLOOKUP(A435,Sheet1!A:V,22,0)</f>
        <v>20</v>
      </c>
      <c r="J435" s="21">
        <f>VLOOKUP(A435,Sheet1!A:X,24,0)</f>
        <v>4.2</v>
      </c>
      <c r="K435" s="19" t="str">
        <f>VLOOKUP(A435,Sheet1!A:AB,28,0)</f>
        <v>Yes</v>
      </c>
      <c r="L435" s="27">
        <f>VLOOKUP(A435,Sheet1!A:AD,30,0)</f>
        <v>91</v>
      </c>
    </row>
    <row r="436" spans="1:12" x14ac:dyDescent="0.3">
      <c r="A436" s="14" t="s">
        <v>1247</v>
      </c>
      <c r="B436" s="19" t="str">
        <f>VLOOKUP(A436,Sheet1!A:E,5,0)</f>
        <v>Deborah Torres</v>
      </c>
      <c r="C436" s="19" t="str">
        <f>VLOOKUP(A436,Sheet1!A:I,9,0)</f>
        <v>Female</v>
      </c>
      <c r="D436" s="19">
        <f>VLOOKUP(A436,Sheet1!A:K,11,0)</f>
        <v>43</v>
      </c>
      <c r="E436" s="19" t="str">
        <f>VLOOKUP(A436,Sheet1!A:M,13,0)</f>
        <v>Indonesia</v>
      </c>
      <c r="F436" s="19" t="str">
        <f>VLOOKUP(A436,Sheet1!A:N,14,0)</f>
        <v>Indonesian</v>
      </c>
      <c r="G436" s="19" t="str">
        <f>VLOOKUP(A436,Sheet1!A:O,15,0)</f>
        <v>Web Development</v>
      </c>
      <c r="H436" s="19">
        <f>VLOOKUP(A436,Sheet1!A:Q,17,0)</f>
        <v>20</v>
      </c>
      <c r="I436" s="20">
        <f>VLOOKUP(A436,Sheet1!A:V,22,0)</f>
        <v>30</v>
      </c>
      <c r="J436" s="21">
        <f>VLOOKUP(A436,Sheet1!A:X,24,0)</f>
        <v>2.7</v>
      </c>
      <c r="K436" s="19" t="str">
        <f>VLOOKUP(A436,Sheet1!A:AB,28,0)</f>
        <v>No</v>
      </c>
      <c r="L436" s="27">
        <f>VLOOKUP(A436,Sheet1!A:AD,30,0)</f>
        <v>72</v>
      </c>
    </row>
    <row r="437" spans="1:12" x14ac:dyDescent="0.3">
      <c r="A437" s="14" t="s">
        <v>368</v>
      </c>
      <c r="B437" s="19" t="str">
        <f>VLOOKUP(A437,Sheet1!A:E,5,0)</f>
        <v>Donna Hansen</v>
      </c>
      <c r="C437" s="19" t="str">
        <f>VLOOKUP(A437,Sheet1!A:I,9,0)</f>
        <v>Female</v>
      </c>
      <c r="D437" s="19">
        <f>VLOOKUP(A437,Sheet1!A:K,11,0)</f>
        <v>43</v>
      </c>
      <c r="E437" s="19" t="str">
        <f>VLOOKUP(A437,Sheet1!A:M,13,0)</f>
        <v>United Kingdom</v>
      </c>
      <c r="F437" s="19" t="str">
        <f>VLOOKUP(A437,Sheet1!A:N,14,0)</f>
        <v>English</v>
      </c>
      <c r="G437" s="19" t="str">
        <f>VLOOKUP(A437,Sheet1!A:O,15,0)</f>
        <v>Cybersecurity</v>
      </c>
      <c r="H437" s="19">
        <f>VLOOKUP(A437,Sheet1!A:Q,17,0)</f>
        <v>5</v>
      </c>
      <c r="I437" s="20">
        <f>VLOOKUP(A437,Sheet1!A:V,22,0)</f>
        <v>50</v>
      </c>
      <c r="J437" s="21">
        <f>VLOOKUP(A437,Sheet1!A:X,24,0)</f>
        <v>2.5157216494845347</v>
      </c>
      <c r="K437" s="19" t="str">
        <f>VLOOKUP(A437,Sheet1!A:AB,28,0)</f>
        <v>Yes</v>
      </c>
      <c r="L437" s="27">
        <f>VLOOKUP(A437,Sheet1!A:AD,30,0)</f>
        <v>84</v>
      </c>
    </row>
    <row r="438" spans="1:12" x14ac:dyDescent="0.3">
      <c r="A438" s="14" t="s">
        <v>1520</v>
      </c>
      <c r="B438" s="19" t="str">
        <f>VLOOKUP(A438,Sheet1!A:E,5,0)</f>
        <v>Elizabeth Green</v>
      </c>
      <c r="C438" s="19" t="str">
        <f>VLOOKUP(A438,Sheet1!A:I,9,0)</f>
        <v>Female</v>
      </c>
      <c r="D438" s="19">
        <f>VLOOKUP(A438,Sheet1!A:K,11,0)</f>
        <v>43</v>
      </c>
      <c r="E438" s="19" t="str">
        <f>VLOOKUP(A438,Sheet1!A:M,13,0)</f>
        <v>Australia</v>
      </c>
      <c r="F438" s="19" t="str">
        <f>VLOOKUP(A438,Sheet1!A:N,14,0)</f>
        <v>English</v>
      </c>
      <c r="G438" s="19" t="str">
        <f>VLOOKUP(A438,Sheet1!A:O,15,0)</f>
        <v>Web Development</v>
      </c>
      <c r="H438" s="19">
        <f>VLOOKUP(A438,Sheet1!A:Q,17,0)</f>
        <v>22</v>
      </c>
      <c r="I438" s="20">
        <f>VLOOKUP(A438,Sheet1!A:V,22,0)</f>
        <v>40</v>
      </c>
      <c r="J438" s="21">
        <f>VLOOKUP(A438,Sheet1!A:X,24,0)</f>
        <v>4.5</v>
      </c>
      <c r="K438" s="19" t="str">
        <f>VLOOKUP(A438,Sheet1!A:AB,28,0)</f>
        <v>Unknown</v>
      </c>
      <c r="L438" s="27">
        <f>VLOOKUP(A438,Sheet1!A:AD,30,0)</f>
        <v>79.916666666666671</v>
      </c>
    </row>
    <row r="439" spans="1:12" x14ac:dyDescent="0.3">
      <c r="A439" s="14" t="s">
        <v>597</v>
      </c>
      <c r="B439" s="19" t="str">
        <f>VLOOKUP(A439,Sheet1!A:E,5,0)</f>
        <v>Fred Stark</v>
      </c>
      <c r="C439" s="19" t="str">
        <f>VLOOKUP(A439,Sheet1!A:I,9,0)</f>
        <v>Male</v>
      </c>
      <c r="D439" s="19">
        <f>VLOOKUP(A439,Sheet1!A:K,11,0)</f>
        <v>43</v>
      </c>
      <c r="E439" s="19" t="str">
        <f>VLOOKUP(A439,Sheet1!A:M,13,0)</f>
        <v>Germany</v>
      </c>
      <c r="F439" s="19" t="str">
        <f>VLOOKUP(A439,Sheet1!A:N,14,0)</f>
        <v>German</v>
      </c>
      <c r="G439" s="19" t="str">
        <f>VLOOKUP(A439,Sheet1!A:O,15,0)</f>
        <v>UI/UX Design</v>
      </c>
      <c r="H439" s="19">
        <f>VLOOKUP(A439,Sheet1!A:Q,17,0)</f>
        <v>6</v>
      </c>
      <c r="I439" s="20">
        <f>VLOOKUP(A439,Sheet1!A:V,22,0)</f>
        <v>50</v>
      </c>
      <c r="J439" s="21">
        <f>VLOOKUP(A439,Sheet1!A:X,24,0)</f>
        <v>0</v>
      </c>
      <c r="K439" s="19" t="str">
        <f>VLOOKUP(A439,Sheet1!A:AB,28,0)</f>
        <v>No</v>
      </c>
      <c r="L439" s="27">
        <f>VLOOKUP(A439,Sheet1!A:AD,30,0)</f>
        <v>81</v>
      </c>
    </row>
    <row r="440" spans="1:12" x14ac:dyDescent="0.3">
      <c r="A440" s="14" t="s">
        <v>1684</v>
      </c>
      <c r="B440" s="19" t="str">
        <f>VLOOKUP(A440,Sheet1!A:E,5,0)</f>
        <v>Jake Gilmore</v>
      </c>
      <c r="C440" s="19" t="str">
        <f>VLOOKUP(A440,Sheet1!A:I,9,0)</f>
        <v>Male</v>
      </c>
      <c r="D440" s="19">
        <f>VLOOKUP(A440,Sheet1!A:K,11,0)</f>
        <v>43</v>
      </c>
      <c r="E440" s="19" t="str">
        <f>VLOOKUP(A440,Sheet1!A:M,13,0)</f>
        <v>Netherlands</v>
      </c>
      <c r="F440" s="19" t="str">
        <f>VLOOKUP(A440,Sheet1!A:N,14,0)</f>
        <v>Dutch</v>
      </c>
      <c r="G440" s="19" t="str">
        <f>VLOOKUP(A440,Sheet1!A:O,15,0)</f>
        <v>Web Development</v>
      </c>
      <c r="H440" s="19">
        <f>VLOOKUP(A440,Sheet1!A:Q,17,0)</f>
        <v>12</v>
      </c>
      <c r="I440" s="20">
        <f>VLOOKUP(A440,Sheet1!A:V,22,0)</f>
        <v>52.421052631578945</v>
      </c>
      <c r="J440" s="21">
        <f>VLOOKUP(A440,Sheet1!A:X,24,0)</f>
        <v>1.6</v>
      </c>
      <c r="K440" s="19" t="str">
        <f>VLOOKUP(A440,Sheet1!A:AB,28,0)</f>
        <v>Yes</v>
      </c>
      <c r="L440" s="27">
        <f>VLOOKUP(A440,Sheet1!A:AD,30,0)</f>
        <v>74</v>
      </c>
    </row>
    <row r="441" spans="1:12" x14ac:dyDescent="0.3">
      <c r="A441" s="14" t="s">
        <v>515</v>
      </c>
      <c r="B441" s="19" t="str">
        <f>VLOOKUP(A441,Sheet1!A:E,5,0)</f>
        <v>Mikayla Henry</v>
      </c>
      <c r="C441" s="19" t="str">
        <f>VLOOKUP(A441,Sheet1!A:I,9,0)</f>
        <v>Female</v>
      </c>
      <c r="D441" s="19">
        <f>VLOOKUP(A441,Sheet1!A:K,11,0)</f>
        <v>43</v>
      </c>
      <c r="E441" s="19" t="str">
        <f>VLOOKUP(A441,Sheet1!A:M,13,0)</f>
        <v>Canada</v>
      </c>
      <c r="F441" s="19" t="str">
        <f>VLOOKUP(A441,Sheet1!A:N,14,0)</f>
        <v>English</v>
      </c>
      <c r="G441" s="19" t="str">
        <f>VLOOKUP(A441,Sheet1!A:O,15,0)</f>
        <v>Mobile Apps</v>
      </c>
      <c r="H441" s="19">
        <f>VLOOKUP(A441,Sheet1!A:Q,17,0)</f>
        <v>1</v>
      </c>
      <c r="I441" s="20">
        <f>VLOOKUP(A441,Sheet1!A:V,22,0)</f>
        <v>50</v>
      </c>
      <c r="J441" s="21">
        <f>VLOOKUP(A441,Sheet1!A:X,24,0)</f>
        <v>4.5999999999999996</v>
      </c>
      <c r="K441" s="19" t="str">
        <f>VLOOKUP(A441,Sheet1!A:AB,28,0)</f>
        <v>Yes</v>
      </c>
      <c r="L441" s="27">
        <f>VLOOKUP(A441,Sheet1!A:AD,30,0)</f>
        <v>64</v>
      </c>
    </row>
    <row r="442" spans="1:12" x14ac:dyDescent="0.3">
      <c r="A442" s="14" t="s">
        <v>1474</v>
      </c>
      <c r="B442" s="19" t="str">
        <f>VLOOKUP(A442,Sheet1!A:E,5,0)</f>
        <v>Natalie Diaz</v>
      </c>
      <c r="C442" s="19" t="str">
        <f>VLOOKUP(A442,Sheet1!A:I,9,0)</f>
        <v>Female</v>
      </c>
      <c r="D442" s="19">
        <f>VLOOKUP(A442,Sheet1!A:K,11,0)</f>
        <v>43</v>
      </c>
      <c r="E442" s="19" t="str">
        <f>VLOOKUP(A442,Sheet1!A:M,13,0)</f>
        <v>Russia</v>
      </c>
      <c r="F442" s="19" t="str">
        <f>VLOOKUP(A442,Sheet1!A:N,14,0)</f>
        <v>Russian</v>
      </c>
      <c r="G442" s="19" t="str">
        <f>VLOOKUP(A442,Sheet1!A:O,15,0)</f>
        <v>Data Analysis</v>
      </c>
      <c r="H442" s="19">
        <f>VLOOKUP(A442,Sheet1!A:Q,17,0)</f>
        <v>7</v>
      </c>
      <c r="I442" s="20">
        <f>VLOOKUP(A442,Sheet1!A:V,22,0)</f>
        <v>50</v>
      </c>
      <c r="J442" s="21">
        <f>VLOOKUP(A442,Sheet1!A:X,24,0)</f>
        <v>2.5575645756457575</v>
      </c>
      <c r="K442" s="19" t="str">
        <f>VLOOKUP(A442,Sheet1!A:AB,28,0)</f>
        <v>Yes</v>
      </c>
      <c r="L442" s="27">
        <f>VLOOKUP(A442,Sheet1!A:AD,30,0)</f>
        <v>80</v>
      </c>
    </row>
    <row r="443" spans="1:12" x14ac:dyDescent="0.3">
      <c r="A443" s="14" t="s">
        <v>1331</v>
      </c>
      <c r="B443" s="19" t="str">
        <f>VLOOKUP(A443,Sheet1!A:E,5,0)</f>
        <v>Nicole Taylor</v>
      </c>
      <c r="C443" s="19" t="str">
        <f>VLOOKUP(A443,Sheet1!A:I,9,0)</f>
        <v>Female</v>
      </c>
      <c r="D443" s="19">
        <f>VLOOKUP(A443,Sheet1!A:K,11,0)</f>
        <v>43</v>
      </c>
      <c r="E443" s="19" t="str">
        <f>VLOOKUP(A443,Sheet1!A:M,13,0)</f>
        <v>Australia</v>
      </c>
      <c r="F443" s="19" t="str">
        <f>VLOOKUP(A443,Sheet1!A:N,14,0)</f>
        <v>English</v>
      </c>
      <c r="G443" s="19" t="str">
        <f>VLOOKUP(A443,Sheet1!A:O,15,0)</f>
        <v>Web Development</v>
      </c>
      <c r="H443" s="19">
        <f>VLOOKUP(A443,Sheet1!A:Q,17,0)</f>
        <v>13</v>
      </c>
      <c r="I443" s="20">
        <f>VLOOKUP(A443,Sheet1!A:V,22,0)</f>
        <v>100</v>
      </c>
      <c r="J443" s="21">
        <f>VLOOKUP(A443,Sheet1!A:X,24,0)</f>
        <v>1.4</v>
      </c>
      <c r="K443" s="19" t="str">
        <f>VLOOKUP(A443,Sheet1!A:AB,28,0)</f>
        <v>Yes</v>
      </c>
      <c r="L443" s="27">
        <f>VLOOKUP(A443,Sheet1!A:AD,30,0)</f>
        <v>97</v>
      </c>
    </row>
    <row r="444" spans="1:12" x14ac:dyDescent="0.3">
      <c r="A444" s="14" t="s">
        <v>1073</v>
      </c>
      <c r="B444" s="19" t="str">
        <f>VLOOKUP(A444,Sheet1!A:E,5,0)</f>
        <v>Raymond Sherman</v>
      </c>
      <c r="C444" s="19" t="str">
        <f>VLOOKUP(A444,Sheet1!A:I,9,0)</f>
        <v>Male</v>
      </c>
      <c r="D444" s="19">
        <f>VLOOKUP(A444,Sheet1!A:K,11,0)</f>
        <v>43</v>
      </c>
      <c r="E444" s="19" t="str">
        <f>VLOOKUP(A444,Sheet1!A:M,13,0)</f>
        <v>Spain</v>
      </c>
      <c r="F444" s="19" t="str">
        <f>VLOOKUP(A444,Sheet1!A:N,14,0)</f>
        <v>Spanish</v>
      </c>
      <c r="G444" s="19" t="str">
        <f>VLOOKUP(A444,Sheet1!A:O,15,0)</f>
        <v>Blockchain Development</v>
      </c>
      <c r="H444" s="19">
        <f>VLOOKUP(A444,Sheet1!A:Q,17,0)</f>
        <v>4</v>
      </c>
      <c r="I444" s="20">
        <f>VLOOKUP(A444,Sheet1!A:V,22,0)</f>
        <v>50</v>
      </c>
      <c r="J444" s="21">
        <f>VLOOKUP(A444,Sheet1!A:X,24,0)</f>
        <v>0</v>
      </c>
      <c r="K444" s="19" t="str">
        <f>VLOOKUP(A444,Sheet1!A:AB,28,0)</f>
        <v>Yes</v>
      </c>
      <c r="L444" s="27">
        <f>VLOOKUP(A444,Sheet1!A:AD,30,0)</f>
        <v>100</v>
      </c>
    </row>
    <row r="445" spans="1:12" x14ac:dyDescent="0.3">
      <c r="A445" s="14" t="s">
        <v>408</v>
      </c>
      <c r="B445" s="19" t="str">
        <f>VLOOKUP(A445,Sheet1!A:E,5,0)</f>
        <v>Rebecca Lyons</v>
      </c>
      <c r="C445" s="19" t="str">
        <f>VLOOKUP(A445,Sheet1!A:I,9,0)</f>
        <v>Female</v>
      </c>
      <c r="D445" s="19">
        <f>VLOOKUP(A445,Sheet1!A:K,11,0)</f>
        <v>43</v>
      </c>
      <c r="E445" s="19" t="str">
        <f>VLOOKUP(A445,Sheet1!A:M,13,0)</f>
        <v>Italy</v>
      </c>
      <c r="F445" s="19" t="str">
        <f>VLOOKUP(A445,Sheet1!A:N,14,0)</f>
        <v>Italian</v>
      </c>
      <c r="G445" s="19" t="str">
        <f>VLOOKUP(A445,Sheet1!A:O,15,0)</f>
        <v>Data Analysis</v>
      </c>
      <c r="H445" s="19">
        <f>VLOOKUP(A445,Sheet1!A:Q,17,0)</f>
        <v>9</v>
      </c>
      <c r="I445" s="20">
        <f>VLOOKUP(A445,Sheet1!A:V,22,0)</f>
        <v>20</v>
      </c>
      <c r="J445" s="21">
        <f>VLOOKUP(A445,Sheet1!A:X,24,0)</f>
        <v>2.2000000000000002</v>
      </c>
      <c r="K445" s="19" t="str">
        <f>VLOOKUP(A445,Sheet1!A:AB,28,0)</f>
        <v>No</v>
      </c>
      <c r="L445" s="27">
        <f>VLOOKUP(A445,Sheet1!A:AD,30,0)</f>
        <v>79.535612535612529</v>
      </c>
    </row>
    <row r="446" spans="1:12" x14ac:dyDescent="0.3">
      <c r="A446" s="14" t="s">
        <v>59</v>
      </c>
      <c r="B446" s="19" t="str">
        <f>VLOOKUP(A446,Sheet1!A:E,5,0)</f>
        <v>Ricky Graham</v>
      </c>
      <c r="C446" s="19" t="str">
        <f>VLOOKUP(A446,Sheet1!A:I,9,0)</f>
        <v>Male</v>
      </c>
      <c r="D446" s="19">
        <f>VLOOKUP(A446,Sheet1!A:K,11,0)</f>
        <v>43</v>
      </c>
      <c r="E446" s="19" t="str">
        <f>VLOOKUP(A446,Sheet1!A:M,13,0)</f>
        <v>Italy</v>
      </c>
      <c r="F446" s="19" t="str">
        <f>VLOOKUP(A446,Sheet1!A:N,14,0)</f>
        <v>Italian</v>
      </c>
      <c r="G446" s="19" t="str">
        <f>VLOOKUP(A446,Sheet1!A:O,15,0)</f>
        <v>Blockchain Development</v>
      </c>
      <c r="H446" s="19">
        <f>VLOOKUP(A446,Sheet1!A:Q,17,0)</f>
        <v>14</v>
      </c>
      <c r="I446" s="20">
        <f>VLOOKUP(A446,Sheet1!A:V,22,0)</f>
        <v>40</v>
      </c>
      <c r="J446" s="21">
        <f>VLOOKUP(A446,Sheet1!A:X,24,0)</f>
        <v>4.5999999999999996</v>
      </c>
      <c r="K446" s="19" t="str">
        <f>VLOOKUP(A446,Sheet1!A:AB,28,0)</f>
        <v>No</v>
      </c>
      <c r="L446" s="27">
        <f>VLOOKUP(A446,Sheet1!A:AD,30,0)</f>
        <v>94</v>
      </c>
    </row>
    <row r="447" spans="1:12" x14ac:dyDescent="0.3">
      <c r="A447" s="14" t="s">
        <v>1692</v>
      </c>
      <c r="B447" s="19" t="str">
        <f>VLOOKUP(A447,Sheet1!A:E,5,0)</f>
        <v>Ryan Powell</v>
      </c>
      <c r="C447" s="19" t="str">
        <f>VLOOKUP(A447,Sheet1!A:I,9,0)</f>
        <v>Male</v>
      </c>
      <c r="D447" s="19">
        <f>VLOOKUP(A447,Sheet1!A:K,11,0)</f>
        <v>43</v>
      </c>
      <c r="E447" s="19" t="str">
        <f>VLOOKUP(A447,Sheet1!A:M,13,0)</f>
        <v>Turkey</v>
      </c>
      <c r="F447" s="19" t="str">
        <f>VLOOKUP(A447,Sheet1!A:N,14,0)</f>
        <v>Turkish</v>
      </c>
      <c r="G447" s="19" t="str">
        <f>VLOOKUP(A447,Sheet1!A:O,15,0)</f>
        <v>Graphic Design</v>
      </c>
      <c r="H447" s="19">
        <f>VLOOKUP(A447,Sheet1!A:Q,17,0)</f>
        <v>13</v>
      </c>
      <c r="I447" s="20">
        <f>VLOOKUP(A447,Sheet1!A:V,22,0)</f>
        <v>20</v>
      </c>
      <c r="J447" s="21">
        <f>VLOOKUP(A447,Sheet1!A:X,24,0)</f>
        <v>1.2</v>
      </c>
      <c r="K447" s="19" t="str">
        <f>VLOOKUP(A447,Sheet1!A:AB,28,0)</f>
        <v>Yes</v>
      </c>
      <c r="L447" s="27">
        <f>VLOOKUP(A447,Sheet1!A:AD,30,0)</f>
        <v>69</v>
      </c>
    </row>
    <row r="448" spans="1:12" x14ac:dyDescent="0.3">
      <c r="A448" s="14" t="s">
        <v>976</v>
      </c>
      <c r="B448" s="19" t="str">
        <f>VLOOKUP(A448,Sheet1!A:E,5,0)</f>
        <v>Timothy Wright</v>
      </c>
      <c r="C448" s="19" t="str">
        <f>VLOOKUP(A448,Sheet1!A:I,9,0)</f>
        <v>Male</v>
      </c>
      <c r="D448" s="19">
        <f>VLOOKUP(A448,Sheet1!A:K,11,0)</f>
        <v>43</v>
      </c>
      <c r="E448" s="19" t="str">
        <f>VLOOKUP(A448,Sheet1!A:M,13,0)</f>
        <v>Japan</v>
      </c>
      <c r="F448" s="19" t="str">
        <f>VLOOKUP(A448,Sheet1!A:N,14,0)</f>
        <v>Japanese</v>
      </c>
      <c r="G448" s="19" t="str">
        <f>VLOOKUP(A448,Sheet1!A:O,15,0)</f>
        <v>AI</v>
      </c>
      <c r="H448" s="19">
        <f>VLOOKUP(A448,Sheet1!A:Q,17,0)</f>
        <v>13</v>
      </c>
      <c r="I448" s="20">
        <f>VLOOKUP(A448,Sheet1!A:V,22,0)</f>
        <v>20</v>
      </c>
      <c r="J448" s="21">
        <f>VLOOKUP(A448,Sheet1!A:X,24,0)</f>
        <v>2.8</v>
      </c>
      <c r="K448" s="19" t="str">
        <f>VLOOKUP(A448,Sheet1!A:AB,28,0)</f>
        <v>Unknown</v>
      </c>
      <c r="L448" s="27">
        <f>VLOOKUP(A448,Sheet1!A:AD,30,0)</f>
        <v>99</v>
      </c>
    </row>
    <row r="449" spans="1:12" x14ac:dyDescent="0.3">
      <c r="A449" s="14" t="s">
        <v>595</v>
      </c>
      <c r="B449" s="19" t="str">
        <f>VLOOKUP(A449,Sheet1!A:E,5,0)</f>
        <v>Amy Olson</v>
      </c>
      <c r="C449" s="19" t="str">
        <f>VLOOKUP(A449,Sheet1!A:I,9,0)</f>
        <v>Female</v>
      </c>
      <c r="D449" s="19">
        <f>VLOOKUP(A449,Sheet1!A:K,11,0)</f>
        <v>42</v>
      </c>
      <c r="E449" s="19" t="str">
        <f>VLOOKUP(A449,Sheet1!A:M,13,0)</f>
        <v>Mexico</v>
      </c>
      <c r="F449" s="19" t="str">
        <f>VLOOKUP(A449,Sheet1!A:N,14,0)</f>
        <v>Spanish</v>
      </c>
      <c r="G449" s="19" t="str">
        <f>VLOOKUP(A449,Sheet1!A:O,15,0)</f>
        <v>DevOps</v>
      </c>
      <c r="H449" s="19">
        <f>VLOOKUP(A449,Sheet1!A:Q,17,0)</f>
        <v>19</v>
      </c>
      <c r="I449" s="20">
        <f>VLOOKUP(A449,Sheet1!A:V,22,0)</f>
        <v>75</v>
      </c>
      <c r="J449" s="21">
        <f>VLOOKUP(A449,Sheet1!A:X,24,0)</f>
        <v>4.5999999999999996</v>
      </c>
      <c r="K449" s="19" t="str">
        <f>VLOOKUP(A449,Sheet1!A:AB,28,0)</f>
        <v>No</v>
      </c>
      <c r="L449" s="27">
        <f>VLOOKUP(A449,Sheet1!A:AD,30,0)</f>
        <v>78</v>
      </c>
    </row>
    <row r="450" spans="1:12" x14ac:dyDescent="0.3">
      <c r="A450" s="14" t="s">
        <v>1417</v>
      </c>
      <c r="B450" s="19" t="str">
        <f>VLOOKUP(A450,Sheet1!A:E,5,0)</f>
        <v>Angela Johnson</v>
      </c>
      <c r="C450" s="19" t="str">
        <f>VLOOKUP(A450,Sheet1!A:I,9,0)</f>
        <v>Female</v>
      </c>
      <c r="D450" s="19">
        <f>VLOOKUP(A450,Sheet1!A:K,11,0)</f>
        <v>42</v>
      </c>
      <c r="E450" s="19" t="str">
        <f>VLOOKUP(A450,Sheet1!A:M,13,0)</f>
        <v>Netherlands</v>
      </c>
      <c r="F450" s="19" t="str">
        <f>VLOOKUP(A450,Sheet1!A:N,14,0)</f>
        <v>Dutch</v>
      </c>
      <c r="G450" s="19" t="str">
        <f>VLOOKUP(A450,Sheet1!A:O,15,0)</f>
        <v>Mobile Apps</v>
      </c>
      <c r="H450" s="19">
        <f>VLOOKUP(A450,Sheet1!A:Q,17,0)</f>
        <v>8</v>
      </c>
      <c r="I450" s="20">
        <f>VLOOKUP(A450,Sheet1!A:V,22,0)</f>
        <v>50</v>
      </c>
      <c r="J450" s="21">
        <f>VLOOKUP(A450,Sheet1!A:X,24,0)</f>
        <v>2.600000000000001</v>
      </c>
      <c r="K450" s="19" t="str">
        <f>VLOOKUP(A450,Sheet1!A:AB,28,0)</f>
        <v>Unknown</v>
      </c>
      <c r="L450" s="27">
        <f>VLOOKUP(A450,Sheet1!A:AD,30,0)</f>
        <v>80.098939929328623</v>
      </c>
    </row>
    <row r="451" spans="1:12" x14ac:dyDescent="0.3">
      <c r="A451" s="14" t="s">
        <v>440</v>
      </c>
      <c r="B451" s="19" t="str">
        <f>VLOOKUP(A451,Sheet1!A:E,5,0)</f>
        <v>Caroline Gross</v>
      </c>
      <c r="C451" s="19" t="str">
        <f>VLOOKUP(A451,Sheet1!A:I,9,0)</f>
        <v>Female</v>
      </c>
      <c r="D451" s="19">
        <f>VLOOKUP(A451,Sheet1!A:K,11,0)</f>
        <v>42</v>
      </c>
      <c r="E451" s="19" t="str">
        <f>VLOOKUP(A451,Sheet1!A:M,13,0)</f>
        <v>Netherlands</v>
      </c>
      <c r="F451" s="19" t="str">
        <f>VLOOKUP(A451,Sheet1!A:N,14,0)</f>
        <v>Dutch</v>
      </c>
      <c r="G451" s="19" t="str">
        <f>VLOOKUP(A451,Sheet1!A:O,15,0)</f>
        <v>Graphic Design</v>
      </c>
      <c r="H451" s="19">
        <f>VLOOKUP(A451,Sheet1!A:Q,17,0)</f>
        <v>7</v>
      </c>
      <c r="I451" s="20">
        <f>VLOOKUP(A451,Sheet1!A:V,22,0)</f>
        <v>40</v>
      </c>
      <c r="J451" s="21">
        <f>VLOOKUP(A451,Sheet1!A:X,24,0)</f>
        <v>0</v>
      </c>
      <c r="K451" s="19" t="str">
        <f>VLOOKUP(A451,Sheet1!A:AB,28,0)</f>
        <v>Yes</v>
      </c>
      <c r="L451" s="27">
        <f>VLOOKUP(A451,Sheet1!A:AD,30,0)</f>
        <v>79.606104651162795</v>
      </c>
    </row>
    <row r="452" spans="1:12" x14ac:dyDescent="0.3">
      <c r="A452" s="14" t="s">
        <v>925</v>
      </c>
      <c r="B452" s="19" t="str">
        <f>VLOOKUP(A452,Sheet1!A:E,5,0)</f>
        <v>David Morrison</v>
      </c>
      <c r="C452" s="19" t="str">
        <f>VLOOKUP(A452,Sheet1!A:I,9,0)</f>
        <v>Male</v>
      </c>
      <c r="D452" s="19">
        <f>VLOOKUP(A452,Sheet1!A:K,11,0)</f>
        <v>42</v>
      </c>
      <c r="E452" s="19" t="str">
        <f>VLOOKUP(A452,Sheet1!A:M,13,0)</f>
        <v>Mexico</v>
      </c>
      <c r="F452" s="19" t="str">
        <f>VLOOKUP(A452,Sheet1!A:N,14,0)</f>
        <v>Spanish</v>
      </c>
      <c r="G452" s="19" t="str">
        <f>VLOOKUP(A452,Sheet1!A:O,15,0)</f>
        <v>Machine Learning</v>
      </c>
      <c r="H452" s="19">
        <f>VLOOKUP(A452,Sheet1!A:Q,17,0)</f>
        <v>8</v>
      </c>
      <c r="I452" s="20">
        <f>VLOOKUP(A452,Sheet1!A:V,22,0)</f>
        <v>50</v>
      </c>
      <c r="J452" s="21">
        <f>VLOOKUP(A452,Sheet1!A:X,24,0)</f>
        <v>2.4</v>
      </c>
      <c r="K452" s="19" t="str">
        <f>VLOOKUP(A452,Sheet1!A:AB,28,0)</f>
        <v>No</v>
      </c>
      <c r="L452" s="27">
        <f>VLOOKUP(A452,Sheet1!A:AD,30,0)</f>
        <v>68</v>
      </c>
    </row>
    <row r="453" spans="1:12" x14ac:dyDescent="0.3">
      <c r="A453" s="14" t="s">
        <v>655</v>
      </c>
      <c r="B453" s="19" t="str">
        <f>VLOOKUP(A453,Sheet1!A:E,5,0)</f>
        <v>David Powell</v>
      </c>
      <c r="C453" s="19" t="str">
        <f>VLOOKUP(A453,Sheet1!A:I,9,0)</f>
        <v>Male</v>
      </c>
      <c r="D453" s="19">
        <f>VLOOKUP(A453,Sheet1!A:K,11,0)</f>
        <v>42</v>
      </c>
      <c r="E453" s="19" t="str">
        <f>VLOOKUP(A453,Sheet1!A:M,13,0)</f>
        <v>Indonesia</v>
      </c>
      <c r="F453" s="19" t="str">
        <f>VLOOKUP(A453,Sheet1!A:N,14,0)</f>
        <v>Indonesian</v>
      </c>
      <c r="G453" s="19" t="str">
        <f>VLOOKUP(A453,Sheet1!A:O,15,0)</f>
        <v>UI/UX Design</v>
      </c>
      <c r="H453" s="19">
        <f>VLOOKUP(A453,Sheet1!A:Q,17,0)</f>
        <v>13</v>
      </c>
      <c r="I453" s="20">
        <f>VLOOKUP(A453,Sheet1!A:V,22,0)</f>
        <v>20</v>
      </c>
      <c r="J453" s="21">
        <f>VLOOKUP(A453,Sheet1!A:X,24,0)</f>
        <v>4.7</v>
      </c>
      <c r="K453" s="19" t="str">
        <f>VLOOKUP(A453,Sheet1!A:AB,28,0)</f>
        <v>No</v>
      </c>
      <c r="L453" s="27">
        <f>VLOOKUP(A453,Sheet1!A:AD,30,0)</f>
        <v>85</v>
      </c>
    </row>
    <row r="454" spans="1:12" x14ac:dyDescent="0.3">
      <c r="A454" s="14" t="s">
        <v>1598</v>
      </c>
      <c r="B454" s="19" t="str">
        <f>VLOOKUP(A454,Sheet1!A:E,5,0)</f>
        <v>Diane Dean</v>
      </c>
      <c r="C454" s="19" t="str">
        <f>VLOOKUP(A454,Sheet1!A:I,9,0)</f>
        <v>Female</v>
      </c>
      <c r="D454" s="19">
        <f>VLOOKUP(A454,Sheet1!A:K,11,0)</f>
        <v>42</v>
      </c>
      <c r="E454" s="19" t="str">
        <f>VLOOKUP(A454,Sheet1!A:M,13,0)</f>
        <v>France</v>
      </c>
      <c r="F454" s="19" t="str">
        <f>VLOOKUP(A454,Sheet1!A:N,14,0)</f>
        <v>French</v>
      </c>
      <c r="G454" s="19" t="str">
        <f>VLOOKUP(A454,Sheet1!A:O,15,0)</f>
        <v>AI</v>
      </c>
      <c r="H454" s="19">
        <f>VLOOKUP(A454,Sheet1!A:Q,17,0)</f>
        <v>21</v>
      </c>
      <c r="I454" s="20">
        <f>VLOOKUP(A454,Sheet1!A:V,22,0)</f>
        <v>52.444933920704848</v>
      </c>
      <c r="J454" s="21">
        <f>VLOOKUP(A454,Sheet1!A:X,24,0)</f>
        <v>2.5</v>
      </c>
      <c r="K454" s="19" t="str">
        <f>VLOOKUP(A454,Sheet1!A:AB,28,0)</f>
        <v>Yes</v>
      </c>
      <c r="L454" s="27">
        <f>VLOOKUP(A454,Sheet1!A:AD,30,0)</f>
        <v>73</v>
      </c>
    </row>
    <row r="455" spans="1:12" x14ac:dyDescent="0.3">
      <c r="A455" s="14" t="s">
        <v>659</v>
      </c>
      <c r="B455" s="19" t="str">
        <f>VLOOKUP(A455,Sheet1!A:E,5,0)</f>
        <v>Dr. Michael</v>
      </c>
      <c r="C455" s="19" t="str">
        <f>VLOOKUP(A455,Sheet1!A:I,9,0)</f>
        <v>Male</v>
      </c>
      <c r="D455" s="19">
        <f>VLOOKUP(A455,Sheet1!A:K,11,0)</f>
        <v>42</v>
      </c>
      <c r="E455" s="19" t="str">
        <f>VLOOKUP(A455,Sheet1!A:M,13,0)</f>
        <v>Netherlands</v>
      </c>
      <c r="F455" s="19" t="str">
        <f>VLOOKUP(A455,Sheet1!A:N,14,0)</f>
        <v>Dutch</v>
      </c>
      <c r="G455" s="19" t="str">
        <f>VLOOKUP(A455,Sheet1!A:O,15,0)</f>
        <v>Graphic Design</v>
      </c>
      <c r="H455" s="19">
        <f>VLOOKUP(A455,Sheet1!A:Q,17,0)</f>
        <v>10</v>
      </c>
      <c r="I455" s="20">
        <f>VLOOKUP(A455,Sheet1!A:V,22,0)</f>
        <v>20</v>
      </c>
      <c r="J455" s="21">
        <f>VLOOKUP(A455,Sheet1!A:X,24,0)</f>
        <v>2.4</v>
      </c>
      <c r="K455" s="19" t="str">
        <f>VLOOKUP(A455,Sheet1!A:AB,28,0)</f>
        <v>Yes</v>
      </c>
      <c r="L455" s="27">
        <f>VLOOKUP(A455,Sheet1!A:AD,30,0)</f>
        <v>92</v>
      </c>
    </row>
    <row r="456" spans="1:12" x14ac:dyDescent="0.3">
      <c r="A456" s="14" t="s">
        <v>1484</v>
      </c>
      <c r="B456" s="19" t="str">
        <f>VLOOKUP(A456,Sheet1!A:E,5,0)</f>
        <v>Eric Walsh</v>
      </c>
      <c r="C456" s="19" t="str">
        <f>VLOOKUP(A456,Sheet1!A:I,9,0)</f>
        <v>Male</v>
      </c>
      <c r="D456" s="19">
        <f>VLOOKUP(A456,Sheet1!A:K,11,0)</f>
        <v>42</v>
      </c>
      <c r="E456" s="19" t="str">
        <f>VLOOKUP(A456,Sheet1!A:M,13,0)</f>
        <v>South Korea</v>
      </c>
      <c r="F456" s="19" t="str">
        <f>VLOOKUP(A456,Sheet1!A:N,14,0)</f>
        <v>Korean</v>
      </c>
      <c r="G456" s="19" t="str">
        <f>VLOOKUP(A456,Sheet1!A:O,15,0)</f>
        <v>UI/UX Design</v>
      </c>
      <c r="H456" s="19">
        <f>VLOOKUP(A456,Sheet1!A:Q,17,0)</f>
        <v>0</v>
      </c>
      <c r="I456" s="20">
        <f>VLOOKUP(A456,Sheet1!A:V,22,0)</f>
        <v>52.77580071174377</v>
      </c>
      <c r="J456" s="21">
        <f>VLOOKUP(A456,Sheet1!A:X,24,0)</f>
        <v>3.9</v>
      </c>
      <c r="K456" s="19" t="str">
        <f>VLOOKUP(A456,Sheet1!A:AB,28,0)</f>
        <v>No</v>
      </c>
      <c r="L456" s="27">
        <f>VLOOKUP(A456,Sheet1!A:AD,30,0)</f>
        <v>62</v>
      </c>
    </row>
    <row r="457" spans="1:12" x14ac:dyDescent="0.3">
      <c r="A457" s="14" t="s">
        <v>1873</v>
      </c>
      <c r="B457" s="19" t="str">
        <f>VLOOKUP(A457,Sheet1!A:E,5,0)</f>
        <v>Haley Castro</v>
      </c>
      <c r="C457" s="19" t="str">
        <f>VLOOKUP(A457,Sheet1!A:I,9,0)</f>
        <v>Female</v>
      </c>
      <c r="D457" s="19">
        <f>VLOOKUP(A457,Sheet1!A:K,11,0)</f>
        <v>42</v>
      </c>
      <c r="E457" s="19" t="str">
        <f>VLOOKUP(A457,Sheet1!A:M,13,0)</f>
        <v>Germany</v>
      </c>
      <c r="F457" s="19" t="str">
        <f>VLOOKUP(A457,Sheet1!A:N,14,0)</f>
        <v>German</v>
      </c>
      <c r="G457" s="19" t="str">
        <f>VLOOKUP(A457,Sheet1!A:O,15,0)</f>
        <v>Graphic Design</v>
      </c>
      <c r="H457" s="19">
        <f>VLOOKUP(A457,Sheet1!A:Q,17,0)</f>
        <v>13</v>
      </c>
      <c r="I457" s="20">
        <f>VLOOKUP(A457,Sheet1!A:V,22,0)</f>
        <v>30</v>
      </c>
      <c r="J457" s="21">
        <f>VLOOKUP(A457,Sheet1!A:X,24,0)</f>
        <v>3.3</v>
      </c>
      <c r="K457" s="19" t="str">
        <f>VLOOKUP(A457,Sheet1!A:AB,28,0)</f>
        <v>Unknown</v>
      </c>
      <c r="L457" s="27">
        <f>VLOOKUP(A457,Sheet1!A:AD,30,0)</f>
        <v>63</v>
      </c>
    </row>
    <row r="458" spans="1:12" x14ac:dyDescent="0.3">
      <c r="A458" s="14" t="s">
        <v>1808</v>
      </c>
      <c r="B458" s="19" t="str">
        <f>VLOOKUP(A458,Sheet1!A:E,5,0)</f>
        <v>Heather Saunders</v>
      </c>
      <c r="C458" s="19" t="str">
        <f>VLOOKUP(A458,Sheet1!A:I,9,0)</f>
        <v>Female</v>
      </c>
      <c r="D458" s="19">
        <f>VLOOKUP(A458,Sheet1!A:K,11,0)</f>
        <v>42</v>
      </c>
      <c r="E458" s="19" t="str">
        <f>VLOOKUP(A458,Sheet1!A:M,13,0)</f>
        <v>Mexico</v>
      </c>
      <c r="F458" s="19" t="str">
        <f>VLOOKUP(A458,Sheet1!A:N,14,0)</f>
        <v>Spanish</v>
      </c>
      <c r="G458" s="19" t="str">
        <f>VLOOKUP(A458,Sheet1!A:O,15,0)</f>
        <v>Web Development</v>
      </c>
      <c r="H458" s="19">
        <f>VLOOKUP(A458,Sheet1!A:Q,17,0)</f>
        <v>13</v>
      </c>
      <c r="I458" s="20">
        <f>VLOOKUP(A458,Sheet1!A:V,22,0)</f>
        <v>50</v>
      </c>
      <c r="J458" s="21">
        <f>VLOOKUP(A458,Sheet1!A:X,24,0)</f>
        <v>4.2</v>
      </c>
      <c r="K458" s="19" t="str">
        <f>VLOOKUP(A458,Sheet1!A:AB,28,0)</f>
        <v>Unknown</v>
      </c>
      <c r="L458" s="27">
        <f>VLOOKUP(A458,Sheet1!A:AD,30,0)</f>
        <v>96</v>
      </c>
    </row>
    <row r="459" spans="1:12" x14ac:dyDescent="0.3">
      <c r="A459" s="14" t="s">
        <v>158</v>
      </c>
      <c r="B459" s="19" t="str">
        <f>VLOOKUP(A459,Sheet1!A:E,5,0)</f>
        <v>Jamie Ramirez</v>
      </c>
      <c r="C459" s="19" t="str">
        <f>VLOOKUP(A459,Sheet1!A:I,9,0)</f>
        <v>Female</v>
      </c>
      <c r="D459" s="19">
        <f>VLOOKUP(A459,Sheet1!A:K,11,0)</f>
        <v>42</v>
      </c>
      <c r="E459" s="19" t="str">
        <f>VLOOKUP(A459,Sheet1!A:M,13,0)</f>
        <v>Japan</v>
      </c>
      <c r="F459" s="19" t="str">
        <f>VLOOKUP(A459,Sheet1!A:N,14,0)</f>
        <v>Japanese</v>
      </c>
      <c r="G459" s="19" t="str">
        <f>VLOOKUP(A459,Sheet1!A:O,15,0)</f>
        <v>Mobile Apps</v>
      </c>
      <c r="H459" s="19">
        <f>VLOOKUP(A459,Sheet1!A:Q,17,0)</f>
        <v>6</v>
      </c>
      <c r="I459" s="20">
        <f>VLOOKUP(A459,Sheet1!A:V,22,0)</f>
        <v>40</v>
      </c>
      <c r="J459" s="21">
        <f>VLOOKUP(A459,Sheet1!A:X,24,0)</f>
        <v>2.5203917050691218</v>
      </c>
      <c r="K459" s="19" t="str">
        <f>VLOOKUP(A459,Sheet1!A:AB,28,0)</f>
        <v>No</v>
      </c>
      <c r="L459" s="27">
        <f>VLOOKUP(A459,Sheet1!A:AD,30,0)</f>
        <v>63</v>
      </c>
    </row>
    <row r="460" spans="1:12" x14ac:dyDescent="0.3">
      <c r="A460" s="14" t="s">
        <v>621</v>
      </c>
      <c r="B460" s="19" t="str">
        <f>VLOOKUP(A460,Sheet1!A:E,5,0)</f>
        <v>Jeffery Tucker</v>
      </c>
      <c r="C460" s="19" t="str">
        <f>VLOOKUP(A460,Sheet1!A:I,9,0)</f>
        <v>Male</v>
      </c>
      <c r="D460" s="19">
        <f>VLOOKUP(A460,Sheet1!A:K,11,0)</f>
        <v>42</v>
      </c>
      <c r="E460" s="19" t="str">
        <f>VLOOKUP(A460,Sheet1!A:M,13,0)</f>
        <v>Germany</v>
      </c>
      <c r="F460" s="19" t="str">
        <f>VLOOKUP(A460,Sheet1!A:N,14,0)</f>
        <v>German</v>
      </c>
      <c r="G460" s="19" t="str">
        <f>VLOOKUP(A460,Sheet1!A:O,15,0)</f>
        <v>DevOps</v>
      </c>
      <c r="H460" s="19">
        <f>VLOOKUP(A460,Sheet1!A:Q,17,0)</f>
        <v>8</v>
      </c>
      <c r="I460" s="20">
        <f>VLOOKUP(A460,Sheet1!A:V,22,0)</f>
        <v>30</v>
      </c>
      <c r="J460" s="21">
        <f>VLOOKUP(A460,Sheet1!A:X,24,0)</f>
        <v>3.6</v>
      </c>
      <c r="K460" s="19" t="str">
        <f>VLOOKUP(A460,Sheet1!A:AB,28,0)</f>
        <v>Yes</v>
      </c>
      <c r="L460" s="27">
        <f>VLOOKUP(A460,Sheet1!A:AD,30,0)</f>
        <v>96</v>
      </c>
    </row>
    <row r="461" spans="1:12" x14ac:dyDescent="0.3">
      <c r="A461" s="14" t="s">
        <v>499</v>
      </c>
      <c r="B461" s="19" t="str">
        <f>VLOOKUP(A461,Sheet1!A:E,5,0)</f>
        <v>Jesus Martinez</v>
      </c>
      <c r="C461" s="19" t="str">
        <f>VLOOKUP(A461,Sheet1!A:I,9,0)</f>
        <v>Male</v>
      </c>
      <c r="D461" s="19">
        <f>VLOOKUP(A461,Sheet1!A:K,11,0)</f>
        <v>42</v>
      </c>
      <c r="E461" s="19" t="str">
        <f>VLOOKUP(A461,Sheet1!A:M,13,0)</f>
        <v>Italy</v>
      </c>
      <c r="F461" s="19" t="str">
        <f>VLOOKUP(A461,Sheet1!A:N,14,0)</f>
        <v>Italian</v>
      </c>
      <c r="G461" s="19" t="str">
        <f>VLOOKUP(A461,Sheet1!A:O,15,0)</f>
        <v>DevOps</v>
      </c>
      <c r="H461" s="19">
        <f>VLOOKUP(A461,Sheet1!A:Q,17,0)</f>
        <v>10</v>
      </c>
      <c r="I461" s="20">
        <f>VLOOKUP(A461,Sheet1!A:V,22,0)</f>
        <v>100</v>
      </c>
      <c r="J461" s="21">
        <f>VLOOKUP(A461,Sheet1!A:X,24,0)</f>
        <v>4.5999999999999996</v>
      </c>
      <c r="K461" s="19" t="str">
        <f>VLOOKUP(A461,Sheet1!A:AB,28,0)</f>
        <v>Yes</v>
      </c>
      <c r="L461" s="27">
        <f>VLOOKUP(A461,Sheet1!A:AD,30,0)</f>
        <v>71</v>
      </c>
    </row>
    <row r="462" spans="1:12" x14ac:dyDescent="0.3">
      <c r="A462" s="14" t="s">
        <v>1042</v>
      </c>
      <c r="B462" s="19" t="str">
        <f>VLOOKUP(A462,Sheet1!A:E,5,0)</f>
        <v>John Bray</v>
      </c>
      <c r="C462" s="19" t="str">
        <f>VLOOKUP(A462,Sheet1!A:I,9,0)</f>
        <v>Male</v>
      </c>
      <c r="D462" s="19">
        <f>VLOOKUP(A462,Sheet1!A:K,11,0)</f>
        <v>42</v>
      </c>
      <c r="E462" s="19" t="str">
        <f>VLOOKUP(A462,Sheet1!A:M,13,0)</f>
        <v>United States</v>
      </c>
      <c r="F462" s="19" t="str">
        <f>VLOOKUP(A462,Sheet1!A:N,14,0)</f>
        <v>English</v>
      </c>
      <c r="G462" s="19" t="str">
        <f>VLOOKUP(A462,Sheet1!A:O,15,0)</f>
        <v>UI/UX Design</v>
      </c>
      <c r="H462" s="19">
        <f>VLOOKUP(A462,Sheet1!A:Q,17,0)</f>
        <v>14</v>
      </c>
      <c r="I462" s="20">
        <f>VLOOKUP(A462,Sheet1!A:V,22,0)</f>
        <v>30</v>
      </c>
      <c r="J462" s="21">
        <f>VLOOKUP(A462,Sheet1!A:X,24,0)</f>
        <v>1.3</v>
      </c>
      <c r="K462" s="19" t="str">
        <f>VLOOKUP(A462,Sheet1!A:AB,28,0)</f>
        <v>No</v>
      </c>
      <c r="L462" s="27">
        <f>VLOOKUP(A462,Sheet1!A:AD,30,0)</f>
        <v>94</v>
      </c>
    </row>
    <row r="463" spans="1:12" x14ac:dyDescent="0.3">
      <c r="A463" s="14" t="s">
        <v>1550</v>
      </c>
      <c r="B463" s="19" t="str">
        <f>VLOOKUP(A463,Sheet1!A:E,5,0)</f>
        <v>John Gray</v>
      </c>
      <c r="C463" s="19" t="str">
        <f>VLOOKUP(A463,Sheet1!A:I,9,0)</f>
        <v>Male</v>
      </c>
      <c r="D463" s="19">
        <f>VLOOKUP(A463,Sheet1!A:K,11,0)</f>
        <v>42</v>
      </c>
      <c r="E463" s="19" t="str">
        <f>VLOOKUP(A463,Sheet1!A:M,13,0)</f>
        <v>Russia</v>
      </c>
      <c r="F463" s="19" t="str">
        <f>VLOOKUP(A463,Sheet1!A:N,14,0)</f>
        <v>Russian</v>
      </c>
      <c r="G463" s="19" t="str">
        <f>VLOOKUP(A463,Sheet1!A:O,15,0)</f>
        <v>Web Development</v>
      </c>
      <c r="H463" s="19">
        <f>VLOOKUP(A463,Sheet1!A:Q,17,0)</f>
        <v>7</v>
      </c>
      <c r="I463" s="20">
        <f>VLOOKUP(A463,Sheet1!A:V,22,0)</f>
        <v>20</v>
      </c>
      <c r="J463" s="21">
        <f>VLOOKUP(A463,Sheet1!A:X,24,0)</f>
        <v>2.5372881355932213</v>
      </c>
      <c r="K463" s="19" t="str">
        <f>VLOOKUP(A463,Sheet1!A:AB,28,0)</f>
        <v>No</v>
      </c>
      <c r="L463" s="27">
        <f>VLOOKUP(A463,Sheet1!A:AD,30,0)</f>
        <v>100</v>
      </c>
    </row>
    <row r="464" spans="1:12" x14ac:dyDescent="0.3">
      <c r="A464" s="14" t="s">
        <v>1650</v>
      </c>
      <c r="B464" s="19" t="str">
        <f>VLOOKUP(A464,Sheet1!A:E,5,0)</f>
        <v>Kimberly Brown</v>
      </c>
      <c r="C464" s="19" t="str">
        <f>VLOOKUP(A464,Sheet1!A:I,9,0)</f>
        <v>Female</v>
      </c>
      <c r="D464" s="19">
        <f>VLOOKUP(A464,Sheet1!A:K,11,0)</f>
        <v>42</v>
      </c>
      <c r="E464" s="19" t="str">
        <f>VLOOKUP(A464,Sheet1!A:M,13,0)</f>
        <v>Egypt</v>
      </c>
      <c r="F464" s="19" t="str">
        <f>VLOOKUP(A464,Sheet1!A:N,14,0)</f>
        <v>Arabic</v>
      </c>
      <c r="G464" s="19" t="str">
        <f>VLOOKUP(A464,Sheet1!A:O,15,0)</f>
        <v>Mobile Apps</v>
      </c>
      <c r="H464" s="19">
        <f>VLOOKUP(A464,Sheet1!A:Q,17,0)</f>
        <v>10</v>
      </c>
      <c r="I464" s="20">
        <f>VLOOKUP(A464,Sheet1!A:V,22,0)</f>
        <v>100</v>
      </c>
      <c r="J464" s="21">
        <f>VLOOKUP(A464,Sheet1!A:X,24,0)</f>
        <v>3.7</v>
      </c>
      <c r="K464" s="19" t="str">
        <f>VLOOKUP(A464,Sheet1!A:AB,28,0)</f>
        <v>Yes</v>
      </c>
      <c r="L464" s="27">
        <f>VLOOKUP(A464,Sheet1!A:AD,30,0)</f>
        <v>94</v>
      </c>
    </row>
    <row r="465" spans="1:12" x14ac:dyDescent="0.3">
      <c r="A465" s="14" t="s">
        <v>1586</v>
      </c>
      <c r="B465" s="19" t="str">
        <f>VLOOKUP(A465,Sheet1!A:E,5,0)</f>
        <v>Madison Mcintosh</v>
      </c>
      <c r="C465" s="19" t="str">
        <f>VLOOKUP(A465,Sheet1!A:I,9,0)</f>
        <v>Female</v>
      </c>
      <c r="D465" s="19">
        <f>VLOOKUP(A465,Sheet1!A:K,11,0)</f>
        <v>42</v>
      </c>
      <c r="E465" s="19" t="str">
        <f>VLOOKUP(A465,Sheet1!A:M,13,0)</f>
        <v>China</v>
      </c>
      <c r="F465" s="19" t="str">
        <f>VLOOKUP(A465,Sheet1!A:N,14,0)</f>
        <v>Mandarin</v>
      </c>
      <c r="G465" s="19" t="str">
        <f>VLOOKUP(A465,Sheet1!A:O,15,0)</f>
        <v>Machine Learning</v>
      </c>
      <c r="H465" s="19">
        <f>VLOOKUP(A465,Sheet1!A:Q,17,0)</f>
        <v>5</v>
      </c>
      <c r="I465" s="20">
        <f>VLOOKUP(A465,Sheet1!A:V,22,0)</f>
        <v>30</v>
      </c>
      <c r="J465" s="21">
        <f>VLOOKUP(A465,Sheet1!A:X,24,0)</f>
        <v>4.9000000000000004</v>
      </c>
      <c r="K465" s="19" t="str">
        <f>VLOOKUP(A465,Sheet1!A:AB,28,0)</f>
        <v>Yes</v>
      </c>
      <c r="L465" s="27">
        <f>VLOOKUP(A465,Sheet1!A:AD,30,0)</f>
        <v>87</v>
      </c>
    </row>
    <row r="466" spans="1:12" x14ac:dyDescent="0.3">
      <c r="A466" s="14" t="s">
        <v>1397</v>
      </c>
      <c r="B466" s="19" t="str">
        <f>VLOOKUP(A466,Sheet1!A:E,5,0)</f>
        <v>Matthew Fernandez</v>
      </c>
      <c r="C466" s="19" t="str">
        <f>VLOOKUP(A466,Sheet1!A:I,9,0)</f>
        <v>Male</v>
      </c>
      <c r="D466" s="19">
        <f>VLOOKUP(A466,Sheet1!A:K,11,0)</f>
        <v>42</v>
      </c>
      <c r="E466" s="19" t="str">
        <f>VLOOKUP(A466,Sheet1!A:M,13,0)</f>
        <v>Spain</v>
      </c>
      <c r="F466" s="19" t="str">
        <f>VLOOKUP(A466,Sheet1!A:N,14,0)</f>
        <v>Spanish</v>
      </c>
      <c r="G466" s="19" t="str">
        <f>VLOOKUP(A466,Sheet1!A:O,15,0)</f>
        <v>Web Development</v>
      </c>
      <c r="H466" s="19">
        <f>VLOOKUP(A466,Sheet1!A:Q,17,0)</f>
        <v>13</v>
      </c>
      <c r="I466" s="20">
        <f>VLOOKUP(A466,Sheet1!A:V,22,0)</f>
        <v>30</v>
      </c>
      <c r="J466" s="21">
        <f>VLOOKUP(A466,Sheet1!A:X,24,0)</f>
        <v>0</v>
      </c>
      <c r="K466" s="19" t="str">
        <f>VLOOKUP(A466,Sheet1!A:AB,28,0)</f>
        <v>No</v>
      </c>
      <c r="L466" s="27">
        <f>VLOOKUP(A466,Sheet1!A:AD,30,0)</f>
        <v>74</v>
      </c>
    </row>
    <row r="467" spans="1:12" x14ac:dyDescent="0.3">
      <c r="A467" s="14" t="s">
        <v>162</v>
      </c>
      <c r="B467" s="19" t="str">
        <f>VLOOKUP(A467,Sheet1!A:E,5,0)</f>
        <v>Melinda White</v>
      </c>
      <c r="C467" s="19" t="str">
        <f>VLOOKUP(A467,Sheet1!A:I,9,0)</f>
        <v>Female</v>
      </c>
      <c r="D467" s="19">
        <f>VLOOKUP(A467,Sheet1!A:K,11,0)</f>
        <v>42</v>
      </c>
      <c r="E467" s="19" t="str">
        <f>VLOOKUP(A467,Sheet1!A:M,13,0)</f>
        <v>South Africa</v>
      </c>
      <c r="F467" s="19" t="str">
        <f>VLOOKUP(A467,Sheet1!A:N,14,0)</f>
        <v>Afrikaans</v>
      </c>
      <c r="G467" s="19" t="str">
        <f>VLOOKUP(A467,Sheet1!A:O,15,0)</f>
        <v>Mobile Apps</v>
      </c>
      <c r="H467" s="19">
        <f>VLOOKUP(A467,Sheet1!A:Q,17,0)</f>
        <v>23</v>
      </c>
      <c r="I467" s="20">
        <f>VLOOKUP(A467,Sheet1!A:V,22,0)</f>
        <v>50</v>
      </c>
      <c r="J467" s="21">
        <f>VLOOKUP(A467,Sheet1!A:X,24,0)</f>
        <v>3.2</v>
      </c>
      <c r="K467" s="19" t="str">
        <f>VLOOKUP(A467,Sheet1!A:AB,28,0)</f>
        <v>Yes</v>
      </c>
      <c r="L467" s="27">
        <f>VLOOKUP(A467,Sheet1!A:AD,30,0)</f>
        <v>79.300126103404793</v>
      </c>
    </row>
    <row r="468" spans="1:12" x14ac:dyDescent="0.3">
      <c r="A468" s="14" t="s">
        <v>1327</v>
      </c>
      <c r="B468" s="19" t="str">
        <f>VLOOKUP(A468,Sheet1!A:E,5,0)</f>
        <v>Michele Taylor</v>
      </c>
      <c r="C468" s="19" t="str">
        <f>VLOOKUP(A468,Sheet1!A:I,9,0)</f>
        <v>Female</v>
      </c>
      <c r="D468" s="19">
        <f>VLOOKUP(A468,Sheet1!A:K,11,0)</f>
        <v>42</v>
      </c>
      <c r="E468" s="19" t="str">
        <f>VLOOKUP(A468,Sheet1!A:M,13,0)</f>
        <v>Russia</v>
      </c>
      <c r="F468" s="19" t="str">
        <f>VLOOKUP(A468,Sheet1!A:N,14,0)</f>
        <v>Russian</v>
      </c>
      <c r="G468" s="19" t="str">
        <f>VLOOKUP(A468,Sheet1!A:O,15,0)</f>
        <v>DevOps</v>
      </c>
      <c r="H468" s="19">
        <f>VLOOKUP(A468,Sheet1!A:Q,17,0)</f>
        <v>24</v>
      </c>
      <c r="I468" s="20">
        <f>VLOOKUP(A468,Sheet1!A:V,22,0)</f>
        <v>40</v>
      </c>
      <c r="J468" s="21">
        <f>VLOOKUP(A468,Sheet1!A:X,24,0)</f>
        <v>2.6238805970149266</v>
      </c>
      <c r="K468" s="19" t="str">
        <f>VLOOKUP(A468,Sheet1!A:AB,28,0)</f>
        <v>No</v>
      </c>
      <c r="L468" s="27">
        <f>VLOOKUP(A468,Sheet1!A:AD,30,0)</f>
        <v>88</v>
      </c>
    </row>
    <row r="469" spans="1:12" x14ac:dyDescent="0.3">
      <c r="A469" s="14" t="s">
        <v>412</v>
      </c>
      <c r="B469" s="19" t="str">
        <f>VLOOKUP(A469,Sheet1!A:E,5,0)</f>
        <v>Nathan Blair</v>
      </c>
      <c r="C469" s="19" t="str">
        <f>VLOOKUP(A469,Sheet1!A:I,9,0)</f>
        <v>Male</v>
      </c>
      <c r="D469" s="19">
        <f>VLOOKUP(A469,Sheet1!A:K,11,0)</f>
        <v>42</v>
      </c>
      <c r="E469" s="19" t="str">
        <f>VLOOKUP(A469,Sheet1!A:M,13,0)</f>
        <v>Russia</v>
      </c>
      <c r="F469" s="19" t="str">
        <f>VLOOKUP(A469,Sheet1!A:N,14,0)</f>
        <v>Russian</v>
      </c>
      <c r="G469" s="19" t="str">
        <f>VLOOKUP(A469,Sheet1!A:O,15,0)</f>
        <v>DevOps</v>
      </c>
      <c r="H469" s="19">
        <f>VLOOKUP(A469,Sheet1!A:Q,17,0)</f>
        <v>2</v>
      </c>
      <c r="I469" s="20">
        <f>VLOOKUP(A469,Sheet1!A:V,22,0)</f>
        <v>50</v>
      </c>
      <c r="J469" s="21">
        <f>VLOOKUP(A469,Sheet1!A:X,24,0)</f>
        <v>1.9</v>
      </c>
      <c r="K469" s="19" t="str">
        <f>VLOOKUP(A469,Sheet1!A:AB,28,0)</f>
        <v>No</v>
      </c>
      <c r="L469" s="27">
        <f>VLOOKUP(A469,Sheet1!A:AD,30,0)</f>
        <v>95</v>
      </c>
    </row>
    <row r="470" spans="1:12" x14ac:dyDescent="0.3">
      <c r="A470" s="14" t="s">
        <v>1223</v>
      </c>
      <c r="B470" s="19" t="str">
        <f>VLOOKUP(A470,Sheet1!A:E,5,0)</f>
        <v>Shannon Luna</v>
      </c>
      <c r="C470" s="19" t="str">
        <f>VLOOKUP(A470,Sheet1!A:I,9,0)</f>
        <v>Female</v>
      </c>
      <c r="D470" s="19">
        <f>VLOOKUP(A470,Sheet1!A:K,11,0)</f>
        <v>42</v>
      </c>
      <c r="E470" s="19" t="str">
        <f>VLOOKUP(A470,Sheet1!A:M,13,0)</f>
        <v>China</v>
      </c>
      <c r="F470" s="19" t="str">
        <f>VLOOKUP(A470,Sheet1!A:N,14,0)</f>
        <v>Mandarin</v>
      </c>
      <c r="G470" s="19" t="str">
        <f>VLOOKUP(A470,Sheet1!A:O,15,0)</f>
        <v>DevOps</v>
      </c>
      <c r="H470" s="19">
        <f>VLOOKUP(A470,Sheet1!A:Q,17,0)</f>
        <v>22</v>
      </c>
      <c r="I470" s="20">
        <f>VLOOKUP(A470,Sheet1!A:V,22,0)</f>
        <v>53.740554156171285</v>
      </c>
      <c r="J470" s="21">
        <f>VLOOKUP(A470,Sheet1!A:X,24,0)</f>
        <v>2.9</v>
      </c>
      <c r="K470" s="19" t="str">
        <f>VLOOKUP(A470,Sheet1!A:AB,28,0)</f>
        <v>No</v>
      </c>
      <c r="L470" s="27">
        <f>VLOOKUP(A470,Sheet1!A:AD,30,0)</f>
        <v>61</v>
      </c>
    </row>
    <row r="471" spans="1:12" x14ac:dyDescent="0.3">
      <c r="A471" s="14" t="s">
        <v>1309</v>
      </c>
      <c r="B471" s="19" t="str">
        <f>VLOOKUP(A471,Sheet1!A:E,5,0)</f>
        <v>Susan Smith</v>
      </c>
      <c r="C471" s="19" t="str">
        <f>VLOOKUP(A471,Sheet1!A:I,9,0)</f>
        <v>Female</v>
      </c>
      <c r="D471" s="19">
        <f>VLOOKUP(A471,Sheet1!A:K,11,0)</f>
        <v>42</v>
      </c>
      <c r="E471" s="19" t="str">
        <f>VLOOKUP(A471,Sheet1!A:M,13,0)</f>
        <v>Turkey</v>
      </c>
      <c r="F471" s="19" t="str">
        <f>VLOOKUP(A471,Sheet1!A:N,14,0)</f>
        <v>Turkish</v>
      </c>
      <c r="G471" s="19" t="str">
        <f>VLOOKUP(A471,Sheet1!A:O,15,0)</f>
        <v>Mobile Apps</v>
      </c>
      <c r="H471" s="19">
        <f>VLOOKUP(A471,Sheet1!A:Q,17,0)</f>
        <v>20</v>
      </c>
      <c r="I471" s="20">
        <f>VLOOKUP(A471,Sheet1!A:V,22,0)</f>
        <v>50</v>
      </c>
      <c r="J471" s="21">
        <f>VLOOKUP(A471,Sheet1!A:X,24,0)</f>
        <v>3.8</v>
      </c>
      <c r="K471" s="19" t="str">
        <f>VLOOKUP(A471,Sheet1!A:AB,28,0)</f>
        <v>No</v>
      </c>
      <c r="L471" s="27">
        <f>VLOOKUP(A471,Sheet1!A:AD,30,0)</f>
        <v>93</v>
      </c>
    </row>
    <row r="472" spans="1:12" x14ac:dyDescent="0.3">
      <c r="A472" s="14" t="s">
        <v>93</v>
      </c>
      <c r="B472" s="19" t="str">
        <f>VLOOKUP(A472,Sheet1!A:E,5,0)</f>
        <v>Wyatt Stout</v>
      </c>
      <c r="C472" s="19" t="str">
        <f>VLOOKUP(A472,Sheet1!A:I,9,0)</f>
        <v>Male</v>
      </c>
      <c r="D472" s="19">
        <f>VLOOKUP(A472,Sheet1!A:K,11,0)</f>
        <v>42</v>
      </c>
      <c r="E472" s="19" t="str">
        <f>VLOOKUP(A472,Sheet1!A:M,13,0)</f>
        <v>Japan</v>
      </c>
      <c r="F472" s="19" t="str">
        <f>VLOOKUP(A472,Sheet1!A:N,14,0)</f>
        <v>Japanese</v>
      </c>
      <c r="G472" s="19" t="str">
        <f>VLOOKUP(A472,Sheet1!A:O,15,0)</f>
        <v>Data Analysis</v>
      </c>
      <c r="H472" s="19">
        <f>VLOOKUP(A472,Sheet1!A:Q,17,0)</f>
        <v>0</v>
      </c>
      <c r="I472" s="20">
        <f>VLOOKUP(A472,Sheet1!A:V,22,0)</f>
        <v>30</v>
      </c>
      <c r="J472" s="21">
        <f>VLOOKUP(A472,Sheet1!A:X,24,0)</f>
        <v>1.2</v>
      </c>
      <c r="K472" s="19" t="str">
        <f>VLOOKUP(A472,Sheet1!A:AB,28,0)</f>
        <v>No</v>
      </c>
      <c r="L472" s="27">
        <f>VLOOKUP(A472,Sheet1!A:AD,30,0)</f>
        <v>69</v>
      </c>
    </row>
    <row r="473" spans="1:12" x14ac:dyDescent="0.3">
      <c r="A473" s="14" t="s">
        <v>1002</v>
      </c>
      <c r="B473" s="19" t="str">
        <f>VLOOKUP(A473,Sheet1!A:E,5,0)</f>
        <v>Adam Kelly</v>
      </c>
      <c r="C473" s="19" t="str">
        <f>VLOOKUP(A473,Sheet1!A:I,9,0)</f>
        <v>Male</v>
      </c>
      <c r="D473" s="19">
        <f>VLOOKUP(A473,Sheet1!A:K,11,0)</f>
        <v>41</v>
      </c>
      <c r="E473" s="19" t="str">
        <f>VLOOKUP(A473,Sheet1!A:M,13,0)</f>
        <v>Argentina</v>
      </c>
      <c r="F473" s="19" t="str">
        <f>VLOOKUP(A473,Sheet1!A:N,14,0)</f>
        <v>Spanish</v>
      </c>
      <c r="G473" s="19" t="str">
        <f>VLOOKUP(A473,Sheet1!A:O,15,0)</f>
        <v>Machine Learning</v>
      </c>
      <c r="H473" s="19">
        <f>VLOOKUP(A473,Sheet1!A:Q,17,0)</f>
        <v>11</v>
      </c>
      <c r="I473" s="20">
        <f>VLOOKUP(A473,Sheet1!A:V,22,0)</f>
        <v>40</v>
      </c>
      <c r="J473" s="21">
        <f>VLOOKUP(A473,Sheet1!A:X,24,0)</f>
        <v>2.4</v>
      </c>
      <c r="K473" s="19" t="str">
        <f>VLOOKUP(A473,Sheet1!A:AB,28,0)</f>
        <v>No</v>
      </c>
      <c r="L473" s="27">
        <f>VLOOKUP(A473,Sheet1!A:AD,30,0)</f>
        <v>79.362030905077262</v>
      </c>
    </row>
    <row r="474" spans="1:12" x14ac:dyDescent="0.3">
      <c r="A474" s="14" t="s">
        <v>727</v>
      </c>
      <c r="B474" s="19" t="str">
        <f>VLOOKUP(A474,Sheet1!A:E,5,0)</f>
        <v>Allen Lee</v>
      </c>
      <c r="C474" s="19" t="str">
        <f>VLOOKUP(A474,Sheet1!A:I,9,0)</f>
        <v>Male</v>
      </c>
      <c r="D474" s="19">
        <f>VLOOKUP(A474,Sheet1!A:K,11,0)</f>
        <v>41</v>
      </c>
      <c r="E474" s="19" t="str">
        <f>VLOOKUP(A474,Sheet1!A:M,13,0)</f>
        <v>Netherlands</v>
      </c>
      <c r="F474" s="19" t="str">
        <f>VLOOKUP(A474,Sheet1!A:N,14,0)</f>
        <v>Dutch</v>
      </c>
      <c r="G474" s="19" t="str">
        <f>VLOOKUP(A474,Sheet1!A:O,15,0)</f>
        <v>DevOps</v>
      </c>
      <c r="H474" s="19">
        <f>VLOOKUP(A474,Sheet1!A:Q,17,0)</f>
        <v>0</v>
      </c>
      <c r="I474" s="20">
        <f>VLOOKUP(A474,Sheet1!A:V,22,0)</f>
        <v>100</v>
      </c>
      <c r="J474" s="21">
        <f>VLOOKUP(A474,Sheet1!A:X,24,0)</f>
        <v>5</v>
      </c>
      <c r="K474" s="19" t="str">
        <f>VLOOKUP(A474,Sheet1!A:AB,28,0)</f>
        <v>No</v>
      </c>
      <c r="L474" s="27">
        <f>VLOOKUP(A474,Sheet1!A:AD,30,0)</f>
        <v>79.411660777385165</v>
      </c>
    </row>
    <row r="475" spans="1:12" x14ac:dyDescent="0.3">
      <c r="A475" s="14" t="s">
        <v>259</v>
      </c>
      <c r="B475" s="19" t="str">
        <f>VLOOKUP(A475,Sheet1!A:E,5,0)</f>
        <v>Andrew Avila</v>
      </c>
      <c r="C475" s="19" t="str">
        <f>VLOOKUP(A475,Sheet1!A:I,9,0)</f>
        <v>Male</v>
      </c>
      <c r="D475" s="19">
        <f>VLOOKUP(A475,Sheet1!A:K,11,0)</f>
        <v>41</v>
      </c>
      <c r="E475" s="19" t="str">
        <f>VLOOKUP(A475,Sheet1!A:M,13,0)</f>
        <v>China</v>
      </c>
      <c r="F475" s="19" t="str">
        <f>VLOOKUP(A475,Sheet1!A:N,14,0)</f>
        <v>Mandarin</v>
      </c>
      <c r="G475" s="19" t="str">
        <f>VLOOKUP(A475,Sheet1!A:O,15,0)</f>
        <v>DevOps</v>
      </c>
      <c r="H475" s="19">
        <f>VLOOKUP(A475,Sheet1!A:Q,17,0)</f>
        <v>3</v>
      </c>
      <c r="I475" s="20">
        <f>VLOOKUP(A475,Sheet1!A:V,22,0)</f>
        <v>40</v>
      </c>
      <c r="J475" s="21">
        <f>VLOOKUP(A475,Sheet1!A:X,24,0)</f>
        <v>4.5999999999999996</v>
      </c>
      <c r="K475" s="19" t="str">
        <f>VLOOKUP(A475,Sheet1!A:AB,28,0)</f>
        <v>No</v>
      </c>
      <c r="L475" s="27">
        <f>VLOOKUP(A475,Sheet1!A:AD,30,0)</f>
        <v>74</v>
      </c>
    </row>
    <row r="476" spans="1:12" x14ac:dyDescent="0.3">
      <c r="A476" s="14" t="s">
        <v>291</v>
      </c>
      <c r="B476" s="19" t="str">
        <f>VLOOKUP(A476,Sheet1!A:E,5,0)</f>
        <v>Andrew Lynch</v>
      </c>
      <c r="C476" s="19" t="str">
        <f>VLOOKUP(A476,Sheet1!A:I,9,0)</f>
        <v>Male</v>
      </c>
      <c r="D476" s="19">
        <f>VLOOKUP(A476,Sheet1!A:K,11,0)</f>
        <v>41</v>
      </c>
      <c r="E476" s="19" t="str">
        <f>VLOOKUP(A476,Sheet1!A:M,13,0)</f>
        <v>United States</v>
      </c>
      <c r="F476" s="19" t="str">
        <f>VLOOKUP(A476,Sheet1!A:N,14,0)</f>
        <v>English</v>
      </c>
      <c r="G476" s="19" t="str">
        <f>VLOOKUP(A476,Sheet1!A:O,15,0)</f>
        <v>UI/UX Design</v>
      </c>
      <c r="H476" s="19">
        <f>VLOOKUP(A476,Sheet1!A:Q,17,0)</f>
        <v>5</v>
      </c>
      <c r="I476" s="20">
        <f>VLOOKUP(A476,Sheet1!A:V,22,0)</f>
        <v>20</v>
      </c>
      <c r="J476" s="21">
        <f>VLOOKUP(A476,Sheet1!A:X,24,0)</f>
        <v>1.1000000000000001</v>
      </c>
      <c r="K476" s="19" t="str">
        <f>VLOOKUP(A476,Sheet1!A:AB,28,0)</f>
        <v>No</v>
      </c>
      <c r="L476" s="27">
        <f>VLOOKUP(A476,Sheet1!A:AD,30,0)</f>
        <v>74</v>
      </c>
    </row>
    <row r="477" spans="1:12" x14ac:dyDescent="0.3">
      <c r="A477" s="14" t="s">
        <v>1952</v>
      </c>
      <c r="B477" s="19" t="str">
        <f>VLOOKUP(A477,Sheet1!A:E,5,0)</f>
        <v>Anthony Walter</v>
      </c>
      <c r="C477" s="19" t="str">
        <f>VLOOKUP(A477,Sheet1!A:I,9,0)</f>
        <v>Male</v>
      </c>
      <c r="D477" s="19">
        <f>VLOOKUP(A477,Sheet1!A:K,11,0)</f>
        <v>41</v>
      </c>
      <c r="E477" s="19" t="str">
        <f>VLOOKUP(A477,Sheet1!A:M,13,0)</f>
        <v>Australia</v>
      </c>
      <c r="F477" s="19" t="str">
        <f>VLOOKUP(A477,Sheet1!A:N,14,0)</f>
        <v>English</v>
      </c>
      <c r="G477" s="19" t="str">
        <f>VLOOKUP(A477,Sheet1!A:O,15,0)</f>
        <v>AI</v>
      </c>
      <c r="H477" s="19">
        <f>VLOOKUP(A477,Sheet1!A:Q,17,0)</f>
        <v>15</v>
      </c>
      <c r="I477" s="20">
        <f>VLOOKUP(A477,Sheet1!A:V,22,0)</f>
        <v>40</v>
      </c>
      <c r="J477" s="21">
        <f>VLOOKUP(A477,Sheet1!A:X,24,0)</f>
        <v>3.4</v>
      </c>
      <c r="K477" s="19" t="str">
        <f>VLOOKUP(A477,Sheet1!A:AB,28,0)</f>
        <v>No</v>
      </c>
      <c r="L477" s="27">
        <f>VLOOKUP(A477,Sheet1!A:AD,30,0)</f>
        <v>100</v>
      </c>
    </row>
    <row r="478" spans="1:12" x14ac:dyDescent="0.3">
      <c r="A478" s="14" t="s">
        <v>1871</v>
      </c>
      <c r="B478" s="19" t="str">
        <f>VLOOKUP(A478,Sheet1!A:E,5,0)</f>
        <v>Austin Allen</v>
      </c>
      <c r="C478" s="19" t="str">
        <f>VLOOKUP(A478,Sheet1!A:I,9,0)</f>
        <v>Male</v>
      </c>
      <c r="D478" s="19">
        <f>VLOOKUP(A478,Sheet1!A:K,11,0)</f>
        <v>41</v>
      </c>
      <c r="E478" s="19" t="str">
        <f>VLOOKUP(A478,Sheet1!A:M,13,0)</f>
        <v>Italy</v>
      </c>
      <c r="F478" s="19" t="str">
        <f>VLOOKUP(A478,Sheet1!A:N,14,0)</f>
        <v>Italian</v>
      </c>
      <c r="G478" s="19" t="str">
        <f>VLOOKUP(A478,Sheet1!A:O,15,0)</f>
        <v>UI/UX Design</v>
      </c>
      <c r="H478" s="19">
        <f>VLOOKUP(A478,Sheet1!A:Q,17,0)</f>
        <v>11</v>
      </c>
      <c r="I478" s="20">
        <f>VLOOKUP(A478,Sheet1!A:V,22,0)</f>
        <v>100</v>
      </c>
      <c r="J478" s="21">
        <f>VLOOKUP(A478,Sheet1!A:X,24,0)</f>
        <v>2.5</v>
      </c>
      <c r="K478" s="19" t="str">
        <f>VLOOKUP(A478,Sheet1!A:AB,28,0)</f>
        <v>Yes</v>
      </c>
      <c r="L478" s="27">
        <f>VLOOKUP(A478,Sheet1!A:AD,30,0)</f>
        <v>80</v>
      </c>
    </row>
    <row r="479" spans="1:12" x14ac:dyDescent="0.3">
      <c r="A479" s="14" t="s">
        <v>817</v>
      </c>
      <c r="B479" s="19" t="str">
        <f>VLOOKUP(A479,Sheet1!A:E,5,0)</f>
        <v>Bradley Aguilar</v>
      </c>
      <c r="C479" s="19" t="str">
        <f>VLOOKUP(A479,Sheet1!A:I,9,0)</f>
        <v>Male</v>
      </c>
      <c r="D479" s="19">
        <f>VLOOKUP(A479,Sheet1!A:K,11,0)</f>
        <v>41</v>
      </c>
      <c r="E479" s="19" t="str">
        <f>VLOOKUP(A479,Sheet1!A:M,13,0)</f>
        <v>Japan</v>
      </c>
      <c r="F479" s="19" t="str">
        <f>VLOOKUP(A479,Sheet1!A:N,14,0)</f>
        <v>Japanese</v>
      </c>
      <c r="G479" s="19" t="str">
        <f>VLOOKUP(A479,Sheet1!A:O,15,0)</f>
        <v>Data Analysis</v>
      </c>
      <c r="H479" s="19">
        <f>VLOOKUP(A479,Sheet1!A:Q,17,0)</f>
        <v>22</v>
      </c>
      <c r="I479" s="20">
        <f>VLOOKUP(A479,Sheet1!A:V,22,0)</f>
        <v>50</v>
      </c>
      <c r="J479" s="21">
        <f>VLOOKUP(A479,Sheet1!A:X,24,0)</f>
        <v>1.6</v>
      </c>
      <c r="K479" s="19" t="str">
        <f>VLOOKUP(A479,Sheet1!A:AB,28,0)</f>
        <v>Yes</v>
      </c>
      <c r="L479" s="27">
        <f>VLOOKUP(A479,Sheet1!A:AD,30,0)</f>
        <v>61</v>
      </c>
    </row>
    <row r="480" spans="1:12" x14ac:dyDescent="0.3">
      <c r="A480" s="14" t="s">
        <v>1988</v>
      </c>
      <c r="B480" s="19" t="str">
        <f>VLOOKUP(A480,Sheet1!A:E,5,0)</f>
        <v>Bradley Harris</v>
      </c>
      <c r="C480" s="19" t="str">
        <f>VLOOKUP(A480,Sheet1!A:I,9,0)</f>
        <v>Male</v>
      </c>
      <c r="D480" s="19">
        <f>VLOOKUP(A480,Sheet1!A:K,11,0)</f>
        <v>41</v>
      </c>
      <c r="E480" s="19" t="str">
        <f>VLOOKUP(A480,Sheet1!A:M,13,0)</f>
        <v>United Kingdom</v>
      </c>
      <c r="F480" s="19" t="str">
        <f>VLOOKUP(A480,Sheet1!A:N,14,0)</f>
        <v>English</v>
      </c>
      <c r="G480" s="19" t="str">
        <f>VLOOKUP(A480,Sheet1!A:O,15,0)</f>
        <v>DevOps</v>
      </c>
      <c r="H480" s="19">
        <f>VLOOKUP(A480,Sheet1!A:Q,17,0)</f>
        <v>8</v>
      </c>
      <c r="I480" s="20">
        <f>VLOOKUP(A480,Sheet1!A:V,22,0)</f>
        <v>50</v>
      </c>
      <c r="J480" s="21">
        <f>VLOOKUP(A480,Sheet1!A:X,24,0)</f>
        <v>4.8</v>
      </c>
      <c r="K480" s="19" t="str">
        <f>VLOOKUP(A480,Sheet1!A:AB,28,0)</f>
        <v>No</v>
      </c>
      <c r="L480" s="27">
        <f>VLOOKUP(A480,Sheet1!A:AD,30,0)</f>
        <v>75</v>
      </c>
    </row>
    <row r="481" spans="1:12" x14ac:dyDescent="0.3">
      <c r="A481" s="14" t="s">
        <v>466</v>
      </c>
      <c r="B481" s="19" t="str">
        <f>VLOOKUP(A481,Sheet1!A:E,5,0)</f>
        <v>Brandon Ford</v>
      </c>
      <c r="C481" s="19" t="str">
        <f>VLOOKUP(A481,Sheet1!A:I,9,0)</f>
        <v>Male</v>
      </c>
      <c r="D481" s="19">
        <f>VLOOKUP(A481,Sheet1!A:K,11,0)</f>
        <v>41</v>
      </c>
      <c r="E481" s="19" t="str">
        <f>VLOOKUP(A481,Sheet1!A:M,13,0)</f>
        <v>Spain</v>
      </c>
      <c r="F481" s="19" t="str">
        <f>VLOOKUP(A481,Sheet1!A:N,14,0)</f>
        <v>Spanish</v>
      </c>
      <c r="G481" s="19" t="str">
        <f>VLOOKUP(A481,Sheet1!A:O,15,0)</f>
        <v>Machine Learning</v>
      </c>
      <c r="H481" s="19">
        <f>VLOOKUP(A481,Sheet1!A:Q,17,0)</f>
        <v>21</v>
      </c>
      <c r="I481" s="20">
        <f>VLOOKUP(A481,Sheet1!A:V,22,0)</f>
        <v>50</v>
      </c>
      <c r="J481" s="21">
        <f>VLOOKUP(A481,Sheet1!A:X,24,0)</f>
        <v>3.3</v>
      </c>
      <c r="K481" s="19" t="str">
        <f>VLOOKUP(A481,Sheet1!A:AB,28,0)</f>
        <v>Yes</v>
      </c>
      <c r="L481" s="27">
        <f>VLOOKUP(A481,Sheet1!A:AD,30,0)</f>
        <v>65</v>
      </c>
    </row>
    <row r="482" spans="1:12" x14ac:dyDescent="0.3">
      <c r="A482" s="14" t="s">
        <v>1385</v>
      </c>
      <c r="B482" s="19" t="str">
        <f>VLOOKUP(A482,Sheet1!A:E,5,0)</f>
        <v>Brandon Newman</v>
      </c>
      <c r="C482" s="19" t="str">
        <f>VLOOKUP(A482,Sheet1!A:I,9,0)</f>
        <v>Male</v>
      </c>
      <c r="D482" s="19">
        <f>VLOOKUP(A482,Sheet1!A:K,11,0)</f>
        <v>41</v>
      </c>
      <c r="E482" s="19" t="str">
        <f>VLOOKUP(A482,Sheet1!A:M,13,0)</f>
        <v>India</v>
      </c>
      <c r="F482" s="19" t="str">
        <f>VLOOKUP(A482,Sheet1!A:N,14,0)</f>
        <v>Hindi</v>
      </c>
      <c r="G482" s="19" t="str">
        <f>VLOOKUP(A482,Sheet1!A:O,15,0)</f>
        <v>Cybersecurity</v>
      </c>
      <c r="H482" s="19">
        <f>VLOOKUP(A482,Sheet1!A:Q,17,0)</f>
        <v>9</v>
      </c>
      <c r="I482" s="20">
        <f>VLOOKUP(A482,Sheet1!A:V,22,0)</f>
        <v>100</v>
      </c>
      <c r="J482" s="21">
        <f>VLOOKUP(A482,Sheet1!A:X,24,0)</f>
        <v>4.8</v>
      </c>
      <c r="K482" s="19" t="str">
        <f>VLOOKUP(A482,Sheet1!A:AB,28,0)</f>
        <v>Yes</v>
      </c>
      <c r="L482" s="27">
        <f>VLOOKUP(A482,Sheet1!A:AD,30,0)</f>
        <v>72</v>
      </c>
    </row>
    <row r="483" spans="1:12" x14ac:dyDescent="0.3">
      <c r="A483" s="14" t="s">
        <v>827</v>
      </c>
      <c r="B483" s="19" t="str">
        <f>VLOOKUP(A483,Sheet1!A:E,5,0)</f>
        <v>Brandon Williams</v>
      </c>
      <c r="C483" s="19" t="str">
        <f>VLOOKUP(A483,Sheet1!A:I,9,0)</f>
        <v>Male</v>
      </c>
      <c r="D483" s="19">
        <f>VLOOKUP(A483,Sheet1!A:K,11,0)</f>
        <v>41</v>
      </c>
      <c r="E483" s="19" t="str">
        <f>VLOOKUP(A483,Sheet1!A:M,13,0)</f>
        <v>China</v>
      </c>
      <c r="F483" s="19" t="str">
        <f>VLOOKUP(A483,Sheet1!A:N,14,0)</f>
        <v>Mandarin</v>
      </c>
      <c r="G483" s="19" t="str">
        <f>VLOOKUP(A483,Sheet1!A:O,15,0)</f>
        <v>AI</v>
      </c>
      <c r="H483" s="19">
        <f>VLOOKUP(A483,Sheet1!A:Q,17,0)</f>
        <v>9</v>
      </c>
      <c r="I483" s="20">
        <f>VLOOKUP(A483,Sheet1!A:V,22,0)</f>
        <v>40</v>
      </c>
      <c r="J483" s="21">
        <f>VLOOKUP(A483,Sheet1!A:X,24,0)</f>
        <v>1.7</v>
      </c>
      <c r="K483" s="19" t="str">
        <f>VLOOKUP(A483,Sheet1!A:AB,28,0)</f>
        <v>Yes</v>
      </c>
      <c r="L483" s="27">
        <f>VLOOKUP(A483,Sheet1!A:AD,30,0)</f>
        <v>72</v>
      </c>
    </row>
    <row r="484" spans="1:12" x14ac:dyDescent="0.3">
      <c r="A484" s="14" t="s">
        <v>1251</v>
      </c>
      <c r="B484" s="19" t="str">
        <f>VLOOKUP(A484,Sheet1!A:E,5,0)</f>
        <v>Christopher Robinson</v>
      </c>
      <c r="C484" s="19" t="str">
        <f>VLOOKUP(A484,Sheet1!A:I,9,0)</f>
        <v>Male</v>
      </c>
      <c r="D484" s="19">
        <f>VLOOKUP(A484,Sheet1!A:K,11,0)</f>
        <v>41</v>
      </c>
      <c r="E484" s="19" t="str">
        <f>VLOOKUP(A484,Sheet1!A:M,13,0)</f>
        <v>United Kingdom</v>
      </c>
      <c r="F484" s="19" t="str">
        <f>VLOOKUP(A484,Sheet1!A:N,14,0)</f>
        <v>English</v>
      </c>
      <c r="G484" s="19" t="str">
        <f>VLOOKUP(A484,Sheet1!A:O,15,0)</f>
        <v>DevOps</v>
      </c>
      <c r="H484" s="19">
        <f>VLOOKUP(A484,Sheet1!A:Q,17,0)</f>
        <v>0</v>
      </c>
      <c r="I484" s="20">
        <f>VLOOKUP(A484,Sheet1!A:V,22,0)</f>
        <v>20</v>
      </c>
      <c r="J484" s="21">
        <f>VLOOKUP(A484,Sheet1!A:X,24,0)</f>
        <v>3.1</v>
      </c>
      <c r="K484" s="19" t="str">
        <f>VLOOKUP(A484,Sheet1!A:AB,28,0)</f>
        <v>No</v>
      </c>
      <c r="L484" s="27">
        <f>VLOOKUP(A484,Sheet1!A:AD,30,0)</f>
        <v>90</v>
      </c>
    </row>
    <row r="485" spans="1:12" x14ac:dyDescent="0.3">
      <c r="A485" s="14" t="s">
        <v>230</v>
      </c>
      <c r="B485" s="19" t="str">
        <f>VLOOKUP(A485,Sheet1!A:E,5,0)</f>
        <v>Corey Warren</v>
      </c>
      <c r="C485" s="19" t="str">
        <f>VLOOKUP(A485,Sheet1!A:I,9,0)</f>
        <v>Male</v>
      </c>
      <c r="D485" s="19">
        <f>VLOOKUP(A485,Sheet1!A:K,11,0)</f>
        <v>41</v>
      </c>
      <c r="E485" s="19" t="str">
        <f>VLOOKUP(A485,Sheet1!A:M,13,0)</f>
        <v>Argentina</v>
      </c>
      <c r="F485" s="19" t="str">
        <f>VLOOKUP(A485,Sheet1!A:N,14,0)</f>
        <v>Spanish</v>
      </c>
      <c r="G485" s="19" t="str">
        <f>VLOOKUP(A485,Sheet1!A:O,15,0)</f>
        <v>UI/UX Design</v>
      </c>
      <c r="H485" s="19">
        <f>VLOOKUP(A485,Sheet1!A:Q,17,0)</f>
        <v>6</v>
      </c>
      <c r="I485" s="20">
        <f>VLOOKUP(A485,Sheet1!A:V,22,0)</f>
        <v>100</v>
      </c>
      <c r="J485" s="21">
        <f>VLOOKUP(A485,Sheet1!A:X,24,0)</f>
        <v>1.5</v>
      </c>
      <c r="K485" s="19" t="str">
        <f>VLOOKUP(A485,Sheet1!A:AB,28,0)</f>
        <v>No</v>
      </c>
      <c r="L485" s="27">
        <f>VLOOKUP(A485,Sheet1!A:AD,30,0)</f>
        <v>79.407263294422833</v>
      </c>
    </row>
    <row r="486" spans="1:12" x14ac:dyDescent="0.3">
      <c r="A486" s="14" t="s">
        <v>525</v>
      </c>
      <c r="B486" s="19" t="str">
        <f>VLOOKUP(A486,Sheet1!A:E,5,0)</f>
        <v>Danny Brown</v>
      </c>
      <c r="C486" s="19" t="str">
        <f>VLOOKUP(A486,Sheet1!A:I,9,0)</f>
        <v>Male</v>
      </c>
      <c r="D486" s="19">
        <f>VLOOKUP(A486,Sheet1!A:K,11,0)</f>
        <v>41</v>
      </c>
      <c r="E486" s="19" t="str">
        <f>VLOOKUP(A486,Sheet1!A:M,13,0)</f>
        <v>India</v>
      </c>
      <c r="F486" s="19" t="str">
        <f>VLOOKUP(A486,Sheet1!A:N,14,0)</f>
        <v>Hindi</v>
      </c>
      <c r="G486" s="19" t="str">
        <f>VLOOKUP(A486,Sheet1!A:O,15,0)</f>
        <v>Machine Learning</v>
      </c>
      <c r="H486" s="19">
        <f>VLOOKUP(A486,Sheet1!A:Q,17,0)</f>
        <v>12</v>
      </c>
      <c r="I486" s="20">
        <f>VLOOKUP(A486,Sheet1!A:V,22,0)</f>
        <v>20</v>
      </c>
      <c r="J486" s="21">
        <f>VLOOKUP(A486,Sheet1!A:X,24,0)</f>
        <v>0</v>
      </c>
      <c r="K486" s="19" t="str">
        <f>VLOOKUP(A486,Sheet1!A:AB,28,0)</f>
        <v>Yes</v>
      </c>
      <c r="L486" s="27">
        <f>VLOOKUP(A486,Sheet1!A:AD,30,0)</f>
        <v>80</v>
      </c>
    </row>
    <row r="487" spans="1:12" x14ac:dyDescent="0.3">
      <c r="A487" s="14" t="s">
        <v>1341</v>
      </c>
      <c r="B487" s="19" t="str">
        <f>VLOOKUP(A487,Sheet1!A:E,5,0)</f>
        <v>David Bishop</v>
      </c>
      <c r="C487" s="19" t="str">
        <f>VLOOKUP(A487,Sheet1!A:I,9,0)</f>
        <v>Male</v>
      </c>
      <c r="D487" s="19">
        <f>VLOOKUP(A487,Sheet1!A:K,11,0)</f>
        <v>41</v>
      </c>
      <c r="E487" s="19" t="str">
        <f>VLOOKUP(A487,Sheet1!A:M,13,0)</f>
        <v>Spain</v>
      </c>
      <c r="F487" s="19" t="str">
        <f>VLOOKUP(A487,Sheet1!A:N,14,0)</f>
        <v>Spanish</v>
      </c>
      <c r="G487" s="19" t="str">
        <f>VLOOKUP(A487,Sheet1!A:O,15,0)</f>
        <v>Blockchain Development</v>
      </c>
      <c r="H487" s="19">
        <f>VLOOKUP(A487,Sheet1!A:Q,17,0)</f>
        <v>1</v>
      </c>
      <c r="I487" s="20">
        <f>VLOOKUP(A487,Sheet1!A:V,22,0)</f>
        <v>50</v>
      </c>
      <c r="J487" s="21">
        <f>VLOOKUP(A487,Sheet1!A:X,24,0)</f>
        <v>2.8</v>
      </c>
      <c r="K487" s="19" t="str">
        <f>VLOOKUP(A487,Sheet1!A:AB,28,0)</f>
        <v>No</v>
      </c>
      <c r="L487" s="27">
        <f>VLOOKUP(A487,Sheet1!A:AD,30,0)</f>
        <v>87</v>
      </c>
    </row>
    <row r="488" spans="1:12" x14ac:dyDescent="0.3">
      <c r="A488" s="14" t="s">
        <v>1508</v>
      </c>
      <c r="B488" s="19" t="str">
        <f>VLOOKUP(A488,Sheet1!A:E,5,0)</f>
        <v>David Griffin</v>
      </c>
      <c r="C488" s="19" t="str">
        <f>VLOOKUP(A488,Sheet1!A:I,9,0)</f>
        <v>Male</v>
      </c>
      <c r="D488" s="19">
        <f>VLOOKUP(A488,Sheet1!A:K,11,0)</f>
        <v>41</v>
      </c>
      <c r="E488" s="19" t="str">
        <f>VLOOKUP(A488,Sheet1!A:M,13,0)</f>
        <v>Russia</v>
      </c>
      <c r="F488" s="19" t="str">
        <f>VLOOKUP(A488,Sheet1!A:N,14,0)</f>
        <v>Russian</v>
      </c>
      <c r="G488" s="19" t="str">
        <f>VLOOKUP(A488,Sheet1!A:O,15,0)</f>
        <v>AI</v>
      </c>
      <c r="H488" s="19">
        <f>VLOOKUP(A488,Sheet1!A:Q,17,0)</f>
        <v>12</v>
      </c>
      <c r="I488" s="20">
        <f>VLOOKUP(A488,Sheet1!A:V,22,0)</f>
        <v>30</v>
      </c>
      <c r="J488" s="21">
        <f>VLOOKUP(A488,Sheet1!A:X,24,0)</f>
        <v>2.6</v>
      </c>
      <c r="K488" s="19" t="str">
        <f>VLOOKUP(A488,Sheet1!A:AB,28,0)</f>
        <v>Yes</v>
      </c>
      <c r="L488" s="27">
        <f>VLOOKUP(A488,Sheet1!A:AD,30,0)</f>
        <v>79.884773662551439</v>
      </c>
    </row>
    <row r="489" spans="1:12" x14ac:dyDescent="0.3">
      <c r="A489" s="14" t="s">
        <v>1373</v>
      </c>
      <c r="B489" s="19" t="str">
        <f>VLOOKUP(A489,Sheet1!A:E,5,0)</f>
        <v>David Watson</v>
      </c>
      <c r="C489" s="19" t="str">
        <f>VLOOKUP(A489,Sheet1!A:I,9,0)</f>
        <v>Male</v>
      </c>
      <c r="D489" s="19">
        <f>VLOOKUP(A489,Sheet1!A:K,11,0)</f>
        <v>41</v>
      </c>
      <c r="E489" s="19" t="str">
        <f>VLOOKUP(A489,Sheet1!A:M,13,0)</f>
        <v>Japan</v>
      </c>
      <c r="F489" s="19" t="str">
        <f>VLOOKUP(A489,Sheet1!A:N,14,0)</f>
        <v>Japanese</v>
      </c>
      <c r="G489" s="19" t="str">
        <f>VLOOKUP(A489,Sheet1!A:O,15,0)</f>
        <v>AI</v>
      </c>
      <c r="H489" s="19">
        <f>VLOOKUP(A489,Sheet1!A:Q,17,0)</f>
        <v>7</v>
      </c>
      <c r="I489" s="20">
        <f>VLOOKUP(A489,Sheet1!A:V,22,0)</f>
        <v>40</v>
      </c>
      <c r="J489" s="21">
        <f>VLOOKUP(A489,Sheet1!A:X,24,0)</f>
        <v>1.8</v>
      </c>
      <c r="K489" s="19" t="str">
        <f>VLOOKUP(A489,Sheet1!A:AB,28,0)</f>
        <v>No</v>
      </c>
      <c r="L489" s="27">
        <f>VLOOKUP(A489,Sheet1!A:AD,30,0)</f>
        <v>70</v>
      </c>
    </row>
    <row r="490" spans="1:12" x14ac:dyDescent="0.3">
      <c r="A490" s="14" t="s">
        <v>418</v>
      </c>
      <c r="B490" s="19" t="str">
        <f>VLOOKUP(A490,Sheet1!A:E,5,0)</f>
        <v>Donald Mitchell</v>
      </c>
      <c r="C490" s="19" t="str">
        <f>VLOOKUP(A490,Sheet1!A:I,9,0)</f>
        <v>Male</v>
      </c>
      <c r="D490" s="19">
        <f>VLOOKUP(A490,Sheet1!A:K,11,0)</f>
        <v>41</v>
      </c>
      <c r="E490" s="19" t="str">
        <f>VLOOKUP(A490,Sheet1!A:M,13,0)</f>
        <v>Argentina</v>
      </c>
      <c r="F490" s="19" t="str">
        <f>VLOOKUP(A490,Sheet1!A:N,14,0)</f>
        <v>Spanish</v>
      </c>
      <c r="G490" s="19" t="str">
        <f>VLOOKUP(A490,Sheet1!A:O,15,0)</f>
        <v>Data Analysis</v>
      </c>
      <c r="H490" s="19">
        <f>VLOOKUP(A490,Sheet1!A:Q,17,0)</f>
        <v>12</v>
      </c>
      <c r="I490" s="20">
        <f>VLOOKUP(A490,Sheet1!A:V,22,0)</f>
        <v>30</v>
      </c>
      <c r="J490" s="21">
        <f>VLOOKUP(A490,Sheet1!A:X,24,0)</f>
        <v>4.0999999999999996</v>
      </c>
      <c r="K490" s="19" t="str">
        <f>VLOOKUP(A490,Sheet1!A:AB,28,0)</f>
        <v>No</v>
      </c>
      <c r="L490" s="27">
        <f>VLOOKUP(A490,Sheet1!A:AD,30,0)</f>
        <v>68</v>
      </c>
    </row>
    <row r="491" spans="1:12" x14ac:dyDescent="0.3">
      <c r="A491" s="14" t="s">
        <v>843</v>
      </c>
      <c r="B491" s="19" t="str">
        <f>VLOOKUP(A491,Sheet1!A:E,5,0)</f>
        <v>Gerald Johnson</v>
      </c>
      <c r="C491" s="19" t="str">
        <f>VLOOKUP(A491,Sheet1!A:I,9,0)</f>
        <v>Male</v>
      </c>
      <c r="D491" s="19">
        <f>VLOOKUP(A491,Sheet1!A:K,11,0)</f>
        <v>41</v>
      </c>
      <c r="E491" s="19" t="str">
        <f>VLOOKUP(A491,Sheet1!A:M,13,0)</f>
        <v>Argentina</v>
      </c>
      <c r="F491" s="19" t="str">
        <f>VLOOKUP(A491,Sheet1!A:N,14,0)</f>
        <v>Spanish</v>
      </c>
      <c r="G491" s="19" t="str">
        <f>VLOOKUP(A491,Sheet1!A:O,15,0)</f>
        <v>Blockchain Development</v>
      </c>
      <c r="H491" s="19">
        <f>VLOOKUP(A491,Sheet1!A:Q,17,0)</f>
        <v>13</v>
      </c>
      <c r="I491" s="20">
        <f>VLOOKUP(A491,Sheet1!A:V,22,0)</f>
        <v>50</v>
      </c>
      <c r="J491" s="21">
        <f>VLOOKUP(A491,Sheet1!A:X,24,0)</f>
        <v>2.1</v>
      </c>
      <c r="K491" s="19" t="str">
        <f>VLOOKUP(A491,Sheet1!A:AB,28,0)</f>
        <v>Yes</v>
      </c>
      <c r="L491" s="27">
        <f>VLOOKUP(A491,Sheet1!A:AD,30,0)</f>
        <v>82</v>
      </c>
    </row>
    <row r="492" spans="1:12" x14ac:dyDescent="0.3">
      <c r="A492" s="14" t="s">
        <v>903</v>
      </c>
      <c r="B492" s="19" t="str">
        <f>VLOOKUP(A492,Sheet1!A:E,5,0)</f>
        <v>Jacob Austin</v>
      </c>
      <c r="C492" s="19" t="str">
        <f>VLOOKUP(A492,Sheet1!A:I,9,0)</f>
        <v>Male</v>
      </c>
      <c r="D492" s="19">
        <f>VLOOKUP(A492,Sheet1!A:K,11,0)</f>
        <v>41</v>
      </c>
      <c r="E492" s="19" t="str">
        <f>VLOOKUP(A492,Sheet1!A:M,13,0)</f>
        <v>South Africa</v>
      </c>
      <c r="F492" s="19" t="str">
        <f>VLOOKUP(A492,Sheet1!A:N,14,0)</f>
        <v>Afrikaans</v>
      </c>
      <c r="G492" s="19" t="str">
        <f>VLOOKUP(A492,Sheet1!A:O,15,0)</f>
        <v>Web Development</v>
      </c>
      <c r="H492" s="19">
        <f>VLOOKUP(A492,Sheet1!A:Q,17,0)</f>
        <v>10</v>
      </c>
      <c r="I492" s="20">
        <f>VLOOKUP(A492,Sheet1!A:V,22,0)</f>
        <v>20</v>
      </c>
      <c r="J492" s="21">
        <f>VLOOKUP(A492,Sheet1!A:X,24,0)</f>
        <v>1.8</v>
      </c>
      <c r="K492" s="19" t="str">
        <f>VLOOKUP(A492,Sheet1!A:AB,28,0)</f>
        <v>Yes</v>
      </c>
      <c r="L492" s="27">
        <f>VLOOKUP(A492,Sheet1!A:AD,30,0)</f>
        <v>85</v>
      </c>
    </row>
    <row r="493" spans="1:12" x14ac:dyDescent="0.3">
      <c r="A493" s="14" t="s">
        <v>179</v>
      </c>
      <c r="B493" s="19" t="str">
        <f>VLOOKUP(A493,Sheet1!A:E,5,0)</f>
        <v>James Brown</v>
      </c>
      <c r="C493" s="19" t="str">
        <f>VLOOKUP(A493,Sheet1!A:I,9,0)</f>
        <v>Male</v>
      </c>
      <c r="D493" s="19">
        <f>VLOOKUP(A493,Sheet1!A:K,11,0)</f>
        <v>41</v>
      </c>
      <c r="E493" s="19" t="str">
        <f>VLOOKUP(A493,Sheet1!A:M,13,0)</f>
        <v>South Africa</v>
      </c>
      <c r="F493" s="19" t="str">
        <f>VLOOKUP(A493,Sheet1!A:N,14,0)</f>
        <v>Afrikaans</v>
      </c>
      <c r="G493" s="19" t="str">
        <f>VLOOKUP(A493,Sheet1!A:O,15,0)</f>
        <v>Web Development</v>
      </c>
      <c r="H493" s="19">
        <f>VLOOKUP(A493,Sheet1!A:Q,17,0)</f>
        <v>9</v>
      </c>
      <c r="I493" s="20">
        <f>VLOOKUP(A493,Sheet1!A:V,22,0)</f>
        <v>75</v>
      </c>
      <c r="J493" s="21">
        <f>VLOOKUP(A493,Sheet1!A:X,24,0)</f>
        <v>4.9000000000000004</v>
      </c>
      <c r="K493" s="19" t="str">
        <f>VLOOKUP(A493,Sheet1!A:AB,28,0)</f>
        <v>Yes</v>
      </c>
      <c r="L493" s="27">
        <f>VLOOKUP(A493,Sheet1!A:AD,30,0)</f>
        <v>74</v>
      </c>
    </row>
    <row r="494" spans="1:12" x14ac:dyDescent="0.3">
      <c r="A494" s="14" t="s">
        <v>111</v>
      </c>
      <c r="B494" s="19" t="str">
        <f>VLOOKUP(A494,Sheet1!A:E,5,0)</f>
        <v>James Cherry</v>
      </c>
      <c r="C494" s="19" t="str">
        <f>VLOOKUP(A494,Sheet1!A:I,9,0)</f>
        <v>Male</v>
      </c>
      <c r="D494" s="19">
        <f>VLOOKUP(A494,Sheet1!A:K,11,0)</f>
        <v>41</v>
      </c>
      <c r="E494" s="19" t="str">
        <f>VLOOKUP(A494,Sheet1!A:M,13,0)</f>
        <v>Indonesia</v>
      </c>
      <c r="F494" s="19" t="str">
        <f>VLOOKUP(A494,Sheet1!A:N,14,0)</f>
        <v>Indonesian</v>
      </c>
      <c r="G494" s="19" t="str">
        <f>VLOOKUP(A494,Sheet1!A:O,15,0)</f>
        <v>AI</v>
      </c>
      <c r="H494" s="19">
        <f>VLOOKUP(A494,Sheet1!A:Q,17,0)</f>
        <v>9</v>
      </c>
      <c r="I494" s="20">
        <f>VLOOKUP(A494,Sheet1!A:V,22,0)</f>
        <v>50</v>
      </c>
      <c r="J494" s="21">
        <f>VLOOKUP(A494,Sheet1!A:X,24,0)</f>
        <v>1.8</v>
      </c>
      <c r="K494" s="19" t="str">
        <f>VLOOKUP(A494,Sheet1!A:AB,28,0)</f>
        <v>No</v>
      </c>
      <c r="L494" s="27">
        <f>VLOOKUP(A494,Sheet1!A:AD,30,0)</f>
        <v>65</v>
      </c>
    </row>
    <row r="495" spans="1:12" x14ac:dyDescent="0.3">
      <c r="A495" s="14" t="s">
        <v>537</v>
      </c>
      <c r="B495" s="19" t="str">
        <f>VLOOKUP(A495,Sheet1!A:E,5,0)</f>
        <v>James Skinner</v>
      </c>
      <c r="C495" s="19" t="str">
        <f>VLOOKUP(A495,Sheet1!A:I,9,0)</f>
        <v>Male</v>
      </c>
      <c r="D495" s="19">
        <f>VLOOKUP(A495,Sheet1!A:K,11,0)</f>
        <v>41</v>
      </c>
      <c r="E495" s="19" t="str">
        <f>VLOOKUP(A495,Sheet1!A:M,13,0)</f>
        <v>South Korea</v>
      </c>
      <c r="F495" s="19" t="str">
        <f>VLOOKUP(A495,Sheet1!A:N,14,0)</f>
        <v>Korean</v>
      </c>
      <c r="G495" s="19" t="str">
        <f>VLOOKUP(A495,Sheet1!A:O,15,0)</f>
        <v>Machine Learning</v>
      </c>
      <c r="H495" s="19">
        <f>VLOOKUP(A495,Sheet1!A:Q,17,0)</f>
        <v>4</v>
      </c>
      <c r="I495" s="20">
        <f>VLOOKUP(A495,Sheet1!A:V,22,0)</f>
        <v>75</v>
      </c>
      <c r="J495" s="21">
        <f>VLOOKUP(A495,Sheet1!A:X,24,0)</f>
        <v>2.6</v>
      </c>
      <c r="K495" s="19" t="str">
        <f>VLOOKUP(A495,Sheet1!A:AB,28,0)</f>
        <v>Unknown</v>
      </c>
      <c r="L495" s="27">
        <f>VLOOKUP(A495,Sheet1!A:AD,30,0)</f>
        <v>85</v>
      </c>
    </row>
    <row r="496" spans="1:12" x14ac:dyDescent="0.3">
      <c r="A496" s="14" t="s">
        <v>175</v>
      </c>
      <c r="B496" s="19" t="str">
        <f>VLOOKUP(A496,Sheet1!A:E,5,0)</f>
        <v>Jason Singh</v>
      </c>
      <c r="C496" s="19" t="str">
        <f>VLOOKUP(A496,Sheet1!A:I,9,0)</f>
        <v>Male</v>
      </c>
      <c r="D496" s="19">
        <f>VLOOKUP(A496,Sheet1!A:K,11,0)</f>
        <v>41</v>
      </c>
      <c r="E496" s="19" t="str">
        <f>VLOOKUP(A496,Sheet1!A:M,13,0)</f>
        <v>United Kingdom</v>
      </c>
      <c r="F496" s="19" t="str">
        <f>VLOOKUP(A496,Sheet1!A:N,14,0)</f>
        <v>English</v>
      </c>
      <c r="G496" s="19" t="str">
        <f>VLOOKUP(A496,Sheet1!A:O,15,0)</f>
        <v>Data Analysis</v>
      </c>
      <c r="H496" s="19">
        <f>VLOOKUP(A496,Sheet1!A:Q,17,0)</f>
        <v>13</v>
      </c>
      <c r="I496" s="20">
        <f>VLOOKUP(A496,Sheet1!A:V,22,0)</f>
        <v>20</v>
      </c>
      <c r="J496" s="21">
        <f>VLOOKUP(A496,Sheet1!A:X,24,0)</f>
        <v>2.8</v>
      </c>
      <c r="K496" s="19" t="str">
        <f>VLOOKUP(A496,Sheet1!A:AB,28,0)</f>
        <v>Yes</v>
      </c>
      <c r="L496" s="27">
        <f>VLOOKUP(A496,Sheet1!A:AD,30,0)</f>
        <v>63</v>
      </c>
    </row>
    <row r="497" spans="1:12" x14ac:dyDescent="0.3">
      <c r="A497" s="14" t="s">
        <v>199</v>
      </c>
      <c r="B497" s="19" t="str">
        <f>VLOOKUP(A497,Sheet1!A:E,5,0)</f>
        <v>Jimmy Hogan</v>
      </c>
      <c r="C497" s="19" t="str">
        <f>VLOOKUP(A497,Sheet1!A:I,9,0)</f>
        <v>Male</v>
      </c>
      <c r="D497" s="19">
        <f>VLOOKUP(A497,Sheet1!A:K,11,0)</f>
        <v>41</v>
      </c>
      <c r="E497" s="19" t="str">
        <f>VLOOKUP(A497,Sheet1!A:M,13,0)</f>
        <v>Spain</v>
      </c>
      <c r="F497" s="19" t="str">
        <f>VLOOKUP(A497,Sheet1!A:N,14,0)</f>
        <v>Spanish</v>
      </c>
      <c r="G497" s="19" t="str">
        <f>VLOOKUP(A497,Sheet1!A:O,15,0)</f>
        <v>UI/UX Design</v>
      </c>
      <c r="H497" s="19">
        <f>VLOOKUP(A497,Sheet1!A:Q,17,0)</f>
        <v>1</v>
      </c>
      <c r="I497" s="20">
        <f>VLOOKUP(A497,Sheet1!A:V,22,0)</f>
        <v>30</v>
      </c>
      <c r="J497" s="21">
        <f>VLOOKUP(A497,Sheet1!A:X,24,0)</f>
        <v>0</v>
      </c>
      <c r="K497" s="19" t="str">
        <f>VLOOKUP(A497,Sheet1!A:AB,28,0)</f>
        <v>No</v>
      </c>
      <c r="L497" s="27">
        <f>VLOOKUP(A497,Sheet1!A:AD,30,0)</f>
        <v>68</v>
      </c>
    </row>
    <row r="498" spans="1:12" x14ac:dyDescent="0.3">
      <c r="A498" s="14" t="s">
        <v>1249</v>
      </c>
      <c r="B498" s="19" t="str">
        <f>VLOOKUP(A498,Sheet1!A:E,5,0)</f>
        <v>Joseph Horn</v>
      </c>
      <c r="C498" s="19" t="str">
        <f>VLOOKUP(A498,Sheet1!A:I,9,0)</f>
        <v>Male</v>
      </c>
      <c r="D498" s="19">
        <f>VLOOKUP(A498,Sheet1!A:K,11,0)</f>
        <v>41</v>
      </c>
      <c r="E498" s="19" t="str">
        <f>VLOOKUP(A498,Sheet1!A:M,13,0)</f>
        <v>France</v>
      </c>
      <c r="F498" s="19" t="str">
        <f>VLOOKUP(A498,Sheet1!A:N,14,0)</f>
        <v>French</v>
      </c>
      <c r="G498" s="19" t="str">
        <f>VLOOKUP(A498,Sheet1!A:O,15,0)</f>
        <v>Web Development</v>
      </c>
      <c r="H498" s="19">
        <f>VLOOKUP(A498,Sheet1!A:Q,17,0)</f>
        <v>11</v>
      </c>
      <c r="I498" s="20">
        <f>VLOOKUP(A498,Sheet1!A:V,22,0)</f>
        <v>20</v>
      </c>
      <c r="J498" s="21">
        <f>VLOOKUP(A498,Sheet1!A:X,24,0)</f>
        <v>4.7</v>
      </c>
      <c r="K498" s="19" t="str">
        <f>VLOOKUP(A498,Sheet1!A:AB,28,0)</f>
        <v>Unknown</v>
      </c>
      <c r="L498" s="27">
        <f>VLOOKUP(A498,Sheet1!A:AD,30,0)</f>
        <v>69</v>
      </c>
    </row>
    <row r="499" spans="1:12" x14ac:dyDescent="0.3">
      <c r="A499" s="14" t="s">
        <v>1028</v>
      </c>
      <c r="B499" s="19" t="str">
        <f>VLOOKUP(A499,Sheet1!A:E,5,0)</f>
        <v>Judith Riggs</v>
      </c>
      <c r="C499" s="19" t="str">
        <f>VLOOKUP(A499,Sheet1!A:I,9,0)</f>
        <v>Female</v>
      </c>
      <c r="D499" s="19">
        <f>VLOOKUP(A499,Sheet1!A:K,11,0)</f>
        <v>41</v>
      </c>
      <c r="E499" s="19" t="str">
        <f>VLOOKUP(A499,Sheet1!A:M,13,0)</f>
        <v>China</v>
      </c>
      <c r="F499" s="19" t="str">
        <f>VLOOKUP(A499,Sheet1!A:N,14,0)</f>
        <v>Mandarin</v>
      </c>
      <c r="G499" s="19" t="str">
        <f>VLOOKUP(A499,Sheet1!A:O,15,0)</f>
        <v>Machine Learning</v>
      </c>
      <c r="H499" s="19">
        <f>VLOOKUP(A499,Sheet1!A:Q,17,0)</f>
        <v>19</v>
      </c>
      <c r="I499" s="20">
        <f>VLOOKUP(A499,Sheet1!A:V,22,0)</f>
        <v>100</v>
      </c>
      <c r="J499" s="21">
        <f>VLOOKUP(A499,Sheet1!A:X,24,0)</f>
        <v>3.8</v>
      </c>
      <c r="K499" s="19" t="str">
        <f>VLOOKUP(A499,Sheet1!A:AB,28,0)</f>
        <v>Yes</v>
      </c>
      <c r="L499" s="27">
        <f>VLOOKUP(A499,Sheet1!A:AD,30,0)</f>
        <v>71</v>
      </c>
    </row>
    <row r="500" spans="1:12" x14ac:dyDescent="0.3">
      <c r="A500" s="14" t="s">
        <v>1227</v>
      </c>
      <c r="B500" s="19" t="str">
        <f>VLOOKUP(A500,Sheet1!A:E,5,0)</f>
        <v>Kevin Gonzales</v>
      </c>
      <c r="C500" s="19" t="str">
        <f>VLOOKUP(A500,Sheet1!A:I,9,0)</f>
        <v>Male</v>
      </c>
      <c r="D500" s="19">
        <f>VLOOKUP(A500,Sheet1!A:K,11,0)</f>
        <v>41</v>
      </c>
      <c r="E500" s="19" t="str">
        <f>VLOOKUP(A500,Sheet1!A:M,13,0)</f>
        <v>Canada</v>
      </c>
      <c r="F500" s="19" t="str">
        <f>VLOOKUP(A500,Sheet1!A:N,14,0)</f>
        <v>English</v>
      </c>
      <c r="G500" s="19" t="str">
        <f>VLOOKUP(A500,Sheet1!A:O,15,0)</f>
        <v>Cybersecurity</v>
      </c>
      <c r="H500" s="19">
        <f>VLOOKUP(A500,Sheet1!A:Q,17,0)</f>
        <v>11</v>
      </c>
      <c r="I500" s="20">
        <f>VLOOKUP(A500,Sheet1!A:V,22,0)</f>
        <v>50</v>
      </c>
      <c r="J500" s="21">
        <f>VLOOKUP(A500,Sheet1!A:X,24,0)</f>
        <v>3.5</v>
      </c>
      <c r="K500" s="19" t="str">
        <f>VLOOKUP(A500,Sheet1!A:AB,28,0)</f>
        <v>Yes</v>
      </c>
      <c r="L500" s="27">
        <f>VLOOKUP(A500,Sheet1!A:AD,30,0)</f>
        <v>68</v>
      </c>
    </row>
    <row r="501" spans="1:12" x14ac:dyDescent="0.3">
      <c r="A501" s="14" t="s">
        <v>1800</v>
      </c>
      <c r="B501" s="19" t="str">
        <f>VLOOKUP(A501,Sheet1!A:E,5,0)</f>
        <v>Kevin Serrano</v>
      </c>
      <c r="C501" s="19" t="str">
        <f>VLOOKUP(A501,Sheet1!A:I,9,0)</f>
        <v>Male</v>
      </c>
      <c r="D501" s="19">
        <f>VLOOKUP(A501,Sheet1!A:K,11,0)</f>
        <v>41</v>
      </c>
      <c r="E501" s="19" t="str">
        <f>VLOOKUP(A501,Sheet1!A:M,13,0)</f>
        <v>Turkey</v>
      </c>
      <c r="F501" s="19" t="str">
        <f>VLOOKUP(A501,Sheet1!A:N,14,0)</f>
        <v>Turkish</v>
      </c>
      <c r="G501" s="19" t="str">
        <f>VLOOKUP(A501,Sheet1!A:O,15,0)</f>
        <v>DevOps</v>
      </c>
      <c r="H501" s="19">
        <f>VLOOKUP(A501,Sheet1!A:Q,17,0)</f>
        <v>12</v>
      </c>
      <c r="I501" s="20">
        <f>VLOOKUP(A501,Sheet1!A:V,22,0)</f>
        <v>54.777777777777779</v>
      </c>
      <c r="J501" s="21">
        <f>VLOOKUP(A501,Sheet1!A:X,24,0)</f>
        <v>1.3</v>
      </c>
      <c r="K501" s="19" t="str">
        <f>VLOOKUP(A501,Sheet1!A:AB,28,0)</f>
        <v>No</v>
      </c>
      <c r="L501" s="27">
        <f>VLOOKUP(A501,Sheet1!A:AD,30,0)</f>
        <v>85</v>
      </c>
    </row>
    <row r="502" spans="1:12" x14ac:dyDescent="0.3">
      <c r="A502" s="14" t="s">
        <v>1175</v>
      </c>
      <c r="B502" s="19" t="str">
        <f>VLOOKUP(A502,Sheet1!A:E,5,0)</f>
        <v>Kevin Smith</v>
      </c>
      <c r="C502" s="19" t="str">
        <f>VLOOKUP(A502,Sheet1!A:I,9,0)</f>
        <v>Male</v>
      </c>
      <c r="D502" s="19">
        <f>VLOOKUP(A502,Sheet1!A:K,11,0)</f>
        <v>41</v>
      </c>
      <c r="E502" s="19" t="str">
        <f>VLOOKUP(A502,Sheet1!A:M,13,0)</f>
        <v>China</v>
      </c>
      <c r="F502" s="19" t="str">
        <f>VLOOKUP(A502,Sheet1!A:N,14,0)</f>
        <v>Mandarin</v>
      </c>
      <c r="G502" s="19" t="str">
        <f>VLOOKUP(A502,Sheet1!A:O,15,0)</f>
        <v>Data Analysis</v>
      </c>
      <c r="H502" s="19">
        <f>VLOOKUP(A502,Sheet1!A:Q,17,0)</f>
        <v>0</v>
      </c>
      <c r="I502" s="20">
        <f>VLOOKUP(A502,Sheet1!A:V,22,0)</f>
        <v>40</v>
      </c>
      <c r="J502" s="21">
        <f>VLOOKUP(A502,Sheet1!A:X,24,0)</f>
        <v>4.5</v>
      </c>
      <c r="K502" s="19" t="str">
        <f>VLOOKUP(A502,Sheet1!A:AB,28,0)</f>
        <v>No</v>
      </c>
      <c r="L502" s="27">
        <f>VLOOKUP(A502,Sheet1!A:AD,30,0)</f>
        <v>68</v>
      </c>
    </row>
    <row r="503" spans="1:12" x14ac:dyDescent="0.3">
      <c r="A503" s="14" t="s">
        <v>883</v>
      </c>
      <c r="B503" s="19" t="str">
        <f>VLOOKUP(A503,Sheet1!A:E,5,0)</f>
        <v>Lori Malone</v>
      </c>
      <c r="C503" s="19" t="str">
        <f>VLOOKUP(A503,Sheet1!A:I,9,0)</f>
        <v>Female</v>
      </c>
      <c r="D503" s="19">
        <f>VLOOKUP(A503,Sheet1!A:K,11,0)</f>
        <v>41</v>
      </c>
      <c r="E503" s="19" t="str">
        <f>VLOOKUP(A503,Sheet1!A:M,13,0)</f>
        <v>Egypt</v>
      </c>
      <c r="F503" s="19" t="str">
        <f>VLOOKUP(A503,Sheet1!A:N,14,0)</f>
        <v>Arabic</v>
      </c>
      <c r="G503" s="19" t="str">
        <f>VLOOKUP(A503,Sheet1!A:O,15,0)</f>
        <v>Blockchain Development</v>
      </c>
      <c r="H503" s="19">
        <f>VLOOKUP(A503,Sheet1!A:Q,17,0)</f>
        <v>21</v>
      </c>
      <c r="I503" s="20">
        <f>VLOOKUP(A503,Sheet1!A:V,22,0)</f>
        <v>53.457350272232304</v>
      </c>
      <c r="J503" s="21">
        <f>VLOOKUP(A503,Sheet1!A:X,24,0)</f>
        <v>0</v>
      </c>
      <c r="K503" s="19" t="str">
        <f>VLOOKUP(A503,Sheet1!A:AB,28,0)</f>
        <v>Yes</v>
      </c>
      <c r="L503" s="27">
        <f>VLOOKUP(A503,Sheet1!A:AD,30,0)</f>
        <v>79.487128712871282</v>
      </c>
    </row>
    <row r="504" spans="1:12" x14ac:dyDescent="0.3">
      <c r="A504" s="14" t="s">
        <v>139</v>
      </c>
      <c r="B504" s="19" t="str">
        <f>VLOOKUP(A504,Sheet1!A:E,5,0)</f>
        <v>Lori Smith</v>
      </c>
      <c r="C504" s="19" t="str">
        <f>VLOOKUP(A504,Sheet1!A:I,9,0)</f>
        <v>Female</v>
      </c>
      <c r="D504" s="19">
        <f>VLOOKUP(A504,Sheet1!A:K,11,0)</f>
        <v>41</v>
      </c>
      <c r="E504" s="19" t="str">
        <f>VLOOKUP(A504,Sheet1!A:M,13,0)</f>
        <v>Netherlands</v>
      </c>
      <c r="F504" s="19" t="str">
        <f>VLOOKUP(A504,Sheet1!A:N,14,0)</f>
        <v>Dutch</v>
      </c>
      <c r="G504" s="19" t="str">
        <f>VLOOKUP(A504,Sheet1!A:O,15,0)</f>
        <v>Data Analysis</v>
      </c>
      <c r="H504" s="19">
        <f>VLOOKUP(A504,Sheet1!A:Q,17,0)</f>
        <v>14</v>
      </c>
      <c r="I504" s="20">
        <f>VLOOKUP(A504,Sheet1!A:V,22,0)</f>
        <v>75</v>
      </c>
      <c r="J504" s="21">
        <f>VLOOKUP(A504,Sheet1!A:X,24,0)</f>
        <v>1.2</v>
      </c>
      <c r="K504" s="19" t="str">
        <f>VLOOKUP(A504,Sheet1!A:AB,28,0)</f>
        <v>No</v>
      </c>
      <c r="L504" s="27">
        <f>VLOOKUP(A504,Sheet1!A:AD,30,0)</f>
        <v>79.251564455569465</v>
      </c>
    </row>
    <row r="505" spans="1:12" x14ac:dyDescent="0.3">
      <c r="A505" s="14" t="s">
        <v>1159</v>
      </c>
      <c r="B505" s="19" t="str">
        <f>VLOOKUP(A505,Sheet1!A:E,5,0)</f>
        <v>Maria Hall</v>
      </c>
      <c r="C505" s="19" t="str">
        <f>VLOOKUP(A505,Sheet1!A:I,9,0)</f>
        <v>Female</v>
      </c>
      <c r="D505" s="19">
        <f>VLOOKUP(A505,Sheet1!A:K,11,0)</f>
        <v>41</v>
      </c>
      <c r="E505" s="19" t="str">
        <f>VLOOKUP(A505,Sheet1!A:M,13,0)</f>
        <v>Germany</v>
      </c>
      <c r="F505" s="19" t="str">
        <f>VLOOKUP(A505,Sheet1!A:N,14,0)</f>
        <v>German</v>
      </c>
      <c r="G505" s="19" t="str">
        <f>VLOOKUP(A505,Sheet1!A:O,15,0)</f>
        <v>Web Development</v>
      </c>
      <c r="H505" s="19">
        <f>VLOOKUP(A505,Sheet1!A:Q,17,0)</f>
        <v>14</v>
      </c>
      <c r="I505" s="20">
        <f>VLOOKUP(A505,Sheet1!A:V,22,0)</f>
        <v>40</v>
      </c>
      <c r="J505" s="21">
        <f>VLOOKUP(A505,Sheet1!A:X,24,0)</f>
        <v>1.1000000000000001</v>
      </c>
      <c r="K505" s="19" t="str">
        <f>VLOOKUP(A505,Sheet1!A:AB,28,0)</f>
        <v>Yes</v>
      </c>
      <c r="L505" s="27">
        <f>VLOOKUP(A505,Sheet1!A:AD,30,0)</f>
        <v>73</v>
      </c>
    </row>
    <row r="506" spans="1:12" x14ac:dyDescent="0.3">
      <c r="A506" s="14" t="s">
        <v>396</v>
      </c>
      <c r="B506" s="19" t="str">
        <f>VLOOKUP(A506,Sheet1!A:E,5,0)</f>
        <v>Matthew Richards</v>
      </c>
      <c r="C506" s="19" t="str">
        <f>VLOOKUP(A506,Sheet1!A:I,9,0)</f>
        <v>Male</v>
      </c>
      <c r="D506" s="19">
        <f>VLOOKUP(A506,Sheet1!A:K,11,0)</f>
        <v>41</v>
      </c>
      <c r="E506" s="19" t="str">
        <f>VLOOKUP(A506,Sheet1!A:M,13,0)</f>
        <v>Turkey</v>
      </c>
      <c r="F506" s="19" t="str">
        <f>VLOOKUP(A506,Sheet1!A:N,14,0)</f>
        <v>Turkish</v>
      </c>
      <c r="G506" s="19" t="str">
        <f>VLOOKUP(A506,Sheet1!A:O,15,0)</f>
        <v>Data Analysis</v>
      </c>
      <c r="H506" s="19">
        <f>VLOOKUP(A506,Sheet1!A:Q,17,0)</f>
        <v>10</v>
      </c>
      <c r="I506" s="20">
        <f>VLOOKUP(A506,Sheet1!A:V,22,0)</f>
        <v>40</v>
      </c>
      <c r="J506" s="21">
        <f>VLOOKUP(A506,Sheet1!A:X,24,0)</f>
        <v>0</v>
      </c>
      <c r="K506" s="19" t="str">
        <f>VLOOKUP(A506,Sheet1!A:AB,28,0)</f>
        <v>Unknown</v>
      </c>
      <c r="L506" s="27">
        <f>VLOOKUP(A506,Sheet1!A:AD,30,0)</f>
        <v>79.565155807365443</v>
      </c>
    </row>
    <row r="507" spans="1:12" x14ac:dyDescent="0.3">
      <c r="A507" s="14" t="s">
        <v>480</v>
      </c>
      <c r="B507" s="19" t="str">
        <f>VLOOKUP(A507,Sheet1!A:E,5,0)</f>
        <v>Matthew Smith</v>
      </c>
      <c r="C507" s="19" t="str">
        <f>VLOOKUP(A507,Sheet1!A:I,9,0)</f>
        <v>Male</v>
      </c>
      <c r="D507" s="19">
        <f>VLOOKUP(A507,Sheet1!A:K,11,0)</f>
        <v>41</v>
      </c>
      <c r="E507" s="19" t="str">
        <f>VLOOKUP(A507,Sheet1!A:M,13,0)</f>
        <v>Italy</v>
      </c>
      <c r="F507" s="19" t="str">
        <f>VLOOKUP(A507,Sheet1!A:N,14,0)</f>
        <v>Italian</v>
      </c>
      <c r="G507" s="19" t="str">
        <f>VLOOKUP(A507,Sheet1!A:O,15,0)</f>
        <v>DevOps</v>
      </c>
      <c r="H507" s="19">
        <f>VLOOKUP(A507,Sheet1!A:Q,17,0)</f>
        <v>13</v>
      </c>
      <c r="I507" s="20">
        <f>VLOOKUP(A507,Sheet1!A:V,22,0)</f>
        <v>30</v>
      </c>
      <c r="J507" s="21">
        <f>VLOOKUP(A507,Sheet1!A:X,24,0)</f>
        <v>1.4</v>
      </c>
      <c r="K507" s="19" t="str">
        <f>VLOOKUP(A507,Sheet1!A:AB,28,0)</f>
        <v>No</v>
      </c>
      <c r="L507" s="27">
        <f>VLOOKUP(A507,Sheet1!A:AD,30,0)</f>
        <v>74</v>
      </c>
    </row>
    <row r="508" spans="1:12" x14ac:dyDescent="0.3">
      <c r="A508" s="14" t="s">
        <v>152</v>
      </c>
      <c r="B508" s="19" t="str">
        <f>VLOOKUP(A508,Sheet1!A:E,5,0)</f>
        <v>Michael Anderson</v>
      </c>
      <c r="C508" s="19" t="str">
        <f>VLOOKUP(A508,Sheet1!A:I,9,0)</f>
        <v>Male</v>
      </c>
      <c r="D508" s="19">
        <f>VLOOKUP(A508,Sheet1!A:K,11,0)</f>
        <v>41</v>
      </c>
      <c r="E508" s="19" t="str">
        <f>VLOOKUP(A508,Sheet1!A:M,13,0)</f>
        <v>South Korea</v>
      </c>
      <c r="F508" s="19" t="str">
        <f>VLOOKUP(A508,Sheet1!A:N,14,0)</f>
        <v>Korean</v>
      </c>
      <c r="G508" s="19" t="str">
        <f>VLOOKUP(A508,Sheet1!A:O,15,0)</f>
        <v>AI</v>
      </c>
      <c r="H508" s="19">
        <f>VLOOKUP(A508,Sheet1!A:Q,17,0)</f>
        <v>9</v>
      </c>
      <c r="I508" s="20">
        <f>VLOOKUP(A508,Sheet1!A:V,22,0)</f>
        <v>40</v>
      </c>
      <c r="J508" s="21">
        <f>VLOOKUP(A508,Sheet1!A:X,24,0)</f>
        <v>2.4</v>
      </c>
      <c r="K508" s="19" t="str">
        <f>VLOOKUP(A508,Sheet1!A:AB,28,0)</f>
        <v>Yes</v>
      </c>
      <c r="L508" s="27">
        <f>VLOOKUP(A508,Sheet1!A:AD,30,0)</f>
        <v>82</v>
      </c>
    </row>
    <row r="509" spans="1:12" x14ac:dyDescent="0.3">
      <c r="A509" s="14" t="s">
        <v>521</v>
      </c>
      <c r="B509" s="19" t="str">
        <f>VLOOKUP(A509,Sheet1!A:E,5,0)</f>
        <v>Michael Ruiz</v>
      </c>
      <c r="C509" s="19" t="str">
        <f>VLOOKUP(A509,Sheet1!A:I,9,0)</f>
        <v>Male</v>
      </c>
      <c r="D509" s="19">
        <f>VLOOKUP(A509,Sheet1!A:K,11,0)</f>
        <v>41</v>
      </c>
      <c r="E509" s="19" t="str">
        <f>VLOOKUP(A509,Sheet1!A:M,13,0)</f>
        <v>Germany</v>
      </c>
      <c r="F509" s="19" t="str">
        <f>VLOOKUP(A509,Sheet1!A:N,14,0)</f>
        <v>German</v>
      </c>
      <c r="G509" s="19" t="str">
        <f>VLOOKUP(A509,Sheet1!A:O,15,0)</f>
        <v>Blockchain Development</v>
      </c>
      <c r="H509" s="19">
        <f>VLOOKUP(A509,Sheet1!A:Q,17,0)</f>
        <v>8</v>
      </c>
      <c r="I509" s="20">
        <f>VLOOKUP(A509,Sheet1!A:V,22,0)</f>
        <v>40</v>
      </c>
      <c r="J509" s="21">
        <f>VLOOKUP(A509,Sheet1!A:X,24,0)</f>
        <v>0</v>
      </c>
      <c r="K509" s="19" t="str">
        <f>VLOOKUP(A509,Sheet1!A:AB,28,0)</f>
        <v>No</v>
      </c>
      <c r="L509" s="27">
        <f>VLOOKUP(A509,Sheet1!A:AD,30,0)</f>
        <v>64</v>
      </c>
    </row>
    <row r="510" spans="1:12" x14ac:dyDescent="0.3">
      <c r="A510" s="14" t="s">
        <v>1869</v>
      </c>
      <c r="B510" s="19" t="str">
        <f>VLOOKUP(A510,Sheet1!A:E,5,0)</f>
        <v>Michele Jones</v>
      </c>
      <c r="C510" s="19" t="str">
        <f>VLOOKUP(A510,Sheet1!A:I,9,0)</f>
        <v>Female</v>
      </c>
      <c r="D510" s="19">
        <f>VLOOKUP(A510,Sheet1!A:K,11,0)</f>
        <v>41</v>
      </c>
      <c r="E510" s="19" t="str">
        <f>VLOOKUP(A510,Sheet1!A:M,13,0)</f>
        <v>Russia</v>
      </c>
      <c r="F510" s="19" t="str">
        <f>VLOOKUP(A510,Sheet1!A:N,14,0)</f>
        <v>Russian</v>
      </c>
      <c r="G510" s="19" t="str">
        <f>VLOOKUP(A510,Sheet1!A:O,15,0)</f>
        <v>DevOps</v>
      </c>
      <c r="H510" s="19">
        <f>VLOOKUP(A510,Sheet1!A:Q,17,0)</f>
        <v>2</v>
      </c>
      <c r="I510" s="20">
        <f>VLOOKUP(A510,Sheet1!A:V,22,0)</f>
        <v>100</v>
      </c>
      <c r="J510" s="21">
        <f>VLOOKUP(A510,Sheet1!A:X,24,0)</f>
        <v>4.5</v>
      </c>
      <c r="K510" s="19" t="str">
        <f>VLOOKUP(A510,Sheet1!A:AB,28,0)</f>
        <v>No</v>
      </c>
      <c r="L510" s="27">
        <f>VLOOKUP(A510,Sheet1!A:AD,30,0)</f>
        <v>75</v>
      </c>
    </row>
    <row r="511" spans="1:12" x14ac:dyDescent="0.3">
      <c r="A511" s="14" t="s">
        <v>587</v>
      </c>
      <c r="B511" s="19" t="str">
        <f>VLOOKUP(A511,Sheet1!A:E,5,0)</f>
        <v>Nicole Wright</v>
      </c>
      <c r="C511" s="19" t="str">
        <f>VLOOKUP(A511,Sheet1!A:I,9,0)</f>
        <v>Female</v>
      </c>
      <c r="D511" s="19">
        <f>VLOOKUP(A511,Sheet1!A:K,11,0)</f>
        <v>41</v>
      </c>
      <c r="E511" s="19" t="str">
        <f>VLOOKUP(A511,Sheet1!A:M,13,0)</f>
        <v>Turkey</v>
      </c>
      <c r="F511" s="19" t="str">
        <f>VLOOKUP(A511,Sheet1!A:N,14,0)</f>
        <v>Turkish</v>
      </c>
      <c r="G511" s="19" t="str">
        <f>VLOOKUP(A511,Sheet1!A:O,15,0)</f>
        <v>Blockchain Development</v>
      </c>
      <c r="H511" s="19">
        <f>VLOOKUP(A511,Sheet1!A:Q,17,0)</f>
        <v>4</v>
      </c>
      <c r="I511" s="20">
        <f>VLOOKUP(A511,Sheet1!A:V,22,0)</f>
        <v>40</v>
      </c>
      <c r="J511" s="21">
        <f>VLOOKUP(A511,Sheet1!A:X,24,0)</f>
        <v>2.7</v>
      </c>
      <c r="K511" s="19" t="str">
        <f>VLOOKUP(A511,Sheet1!A:AB,28,0)</f>
        <v>Yes</v>
      </c>
      <c r="L511" s="27">
        <f>VLOOKUP(A511,Sheet1!A:AD,30,0)</f>
        <v>70</v>
      </c>
    </row>
    <row r="512" spans="1:12" x14ac:dyDescent="0.3">
      <c r="A512" s="14" t="s">
        <v>1056</v>
      </c>
      <c r="B512" s="19" t="str">
        <f>VLOOKUP(A512,Sheet1!A:E,5,0)</f>
        <v>Richard Harvey</v>
      </c>
      <c r="C512" s="19" t="str">
        <f>VLOOKUP(A512,Sheet1!A:I,9,0)</f>
        <v>Male</v>
      </c>
      <c r="D512" s="19">
        <f>VLOOKUP(A512,Sheet1!A:K,11,0)</f>
        <v>41</v>
      </c>
      <c r="E512" s="19" t="str">
        <f>VLOOKUP(A512,Sheet1!A:M,13,0)</f>
        <v>United Kingdom</v>
      </c>
      <c r="F512" s="19" t="str">
        <f>VLOOKUP(A512,Sheet1!A:N,14,0)</f>
        <v>English</v>
      </c>
      <c r="G512" s="19" t="str">
        <f>VLOOKUP(A512,Sheet1!A:O,15,0)</f>
        <v>Web Development</v>
      </c>
      <c r="H512" s="19">
        <f>VLOOKUP(A512,Sheet1!A:Q,17,0)</f>
        <v>13</v>
      </c>
      <c r="I512" s="20">
        <f>VLOOKUP(A512,Sheet1!A:V,22,0)</f>
        <v>40</v>
      </c>
      <c r="J512" s="21">
        <f>VLOOKUP(A512,Sheet1!A:X,24,0)</f>
        <v>1.9</v>
      </c>
      <c r="K512" s="19" t="str">
        <f>VLOOKUP(A512,Sheet1!A:AB,28,0)</f>
        <v>Yes</v>
      </c>
      <c r="L512" s="27">
        <f>VLOOKUP(A512,Sheet1!A:AD,30,0)</f>
        <v>94</v>
      </c>
    </row>
    <row r="513" spans="1:12" x14ac:dyDescent="0.3">
      <c r="A513" s="14" t="s">
        <v>1590</v>
      </c>
      <c r="B513" s="19" t="str">
        <f>VLOOKUP(A513,Sheet1!A:E,5,0)</f>
        <v>Ryan Taylor</v>
      </c>
      <c r="C513" s="19" t="str">
        <f>VLOOKUP(A513,Sheet1!A:I,9,0)</f>
        <v>Male</v>
      </c>
      <c r="D513" s="19">
        <f>VLOOKUP(A513,Sheet1!A:K,11,0)</f>
        <v>41</v>
      </c>
      <c r="E513" s="19" t="str">
        <f>VLOOKUP(A513,Sheet1!A:M,13,0)</f>
        <v>Netherlands</v>
      </c>
      <c r="F513" s="19" t="str">
        <f>VLOOKUP(A513,Sheet1!A:N,14,0)</f>
        <v>Dutch</v>
      </c>
      <c r="G513" s="19" t="str">
        <f>VLOOKUP(A513,Sheet1!A:O,15,0)</f>
        <v>AI</v>
      </c>
      <c r="H513" s="19">
        <f>VLOOKUP(A513,Sheet1!A:Q,17,0)</f>
        <v>21</v>
      </c>
      <c r="I513" s="20">
        <f>VLOOKUP(A513,Sheet1!A:V,22,0)</f>
        <v>100</v>
      </c>
      <c r="J513" s="21">
        <f>VLOOKUP(A513,Sheet1!A:X,24,0)</f>
        <v>2.2000000000000002</v>
      </c>
      <c r="K513" s="19" t="str">
        <f>VLOOKUP(A513,Sheet1!A:AB,28,0)</f>
        <v>Yes</v>
      </c>
      <c r="L513" s="27">
        <f>VLOOKUP(A513,Sheet1!A:AD,30,0)</f>
        <v>83</v>
      </c>
    </row>
    <row r="514" spans="1:12" x14ac:dyDescent="0.3">
      <c r="A514" s="14" t="s">
        <v>1355</v>
      </c>
      <c r="B514" s="19" t="str">
        <f>VLOOKUP(A514,Sheet1!A:E,5,0)</f>
        <v>Sarah Anderson</v>
      </c>
      <c r="C514" s="19" t="str">
        <f>VLOOKUP(A514,Sheet1!A:I,9,0)</f>
        <v>Female</v>
      </c>
      <c r="D514" s="19">
        <f>VLOOKUP(A514,Sheet1!A:K,11,0)</f>
        <v>41</v>
      </c>
      <c r="E514" s="19" t="str">
        <f>VLOOKUP(A514,Sheet1!A:M,13,0)</f>
        <v>South Korea</v>
      </c>
      <c r="F514" s="19" t="str">
        <f>VLOOKUP(A514,Sheet1!A:N,14,0)</f>
        <v>Korean</v>
      </c>
      <c r="G514" s="19" t="str">
        <f>VLOOKUP(A514,Sheet1!A:O,15,0)</f>
        <v>UI/UX Design</v>
      </c>
      <c r="H514" s="19">
        <f>VLOOKUP(A514,Sheet1!A:Q,17,0)</f>
        <v>23</v>
      </c>
      <c r="I514" s="20">
        <f>VLOOKUP(A514,Sheet1!A:V,22,0)</f>
        <v>75</v>
      </c>
      <c r="J514" s="21">
        <f>VLOOKUP(A514,Sheet1!A:X,24,0)</f>
        <v>1.4</v>
      </c>
      <c r="K514" s="19" t="str">
        <f>VLOOKUP(A514,Sheet1!A:AB,28,0)</f>
        <v>No</v>
      </c>
      <c r="L514" s="27">
        <f>VLOOKUP(A514,Sheet1!A:AD,30,0)</f>
        <v>79.857605177993534</v>
      </c>
    </row>
    <row r="515" spans="1:12" x14ac:dyDescent="0.3">
      <c r="A515" s="14" t="s">
        <v>1207</v>
      </c>
      <c r="B515" s="19" t="str">
        <f>VLOOKUP(A515,Sheet1!A:E,5,0)</f>
        <v>Sean Martinez</v>
      </c>
      <c r="C515" s="19" t="str">
        <f>VLOOKUP(A515,Sheet1!A:I,9,0)</f>
        <v>Male</v>
      </c>
      <c r="D515" s="19">
        <f>VLOOKUP(A515,Sheet1!A:K,11,0)</f>
        <v>41</v>
      </c>
      <c r="E515" s="19" t="str">
        <f>VLOOKUP(A515,Sheet1!A:M,13,0)</f>
        <v>Turkey</v>
      </c>
      <c r="F515" s="19" t="str">
        <f>VLOOKUP(A515,Sheet1!A:N,14,0)</f>
        <v>Turkish</v>
      </c>
      <c r="G515" s="19" t="str">
        <f>VLOOKUP(A515,Sheet1!A:O,15,0)</f>
        <v>Graphic Design</v>
      </c>
      <c r="H515" s="19">
        <f>VLOOKUP(A515,Sheet1!A:Q,17,0)</f>
        <v>15</v>
      </c>
      <c r="I515" s="20">
        <f>VLOOKUP(A515,Sheet1!A:V,22,0)</f>
        <v>53.663366336633665</v>
      </c>
      <c r="J515" s="21">
        <f>VLOOKUP(A515,Sheet1!A:X,24,0)</f>
        <v>3.8</v>
      </c>
      <c r="K515" s="19" t="str">
        <f>VLOOKUP(A515,Sheet1!A:AB,28,0)</f>
        <v>Yes</v>
      </c>
      <c r="L515" s="27">
        <f>VLOOKUP(A515,Sheet1!A:AD,30,0)</f>
        <v>79.889189189189196</v>
      </c>
    </row>
    <row r="516" spans="1:12" x14ac:dyDescent="0.3">
      <c r="A516" s="14" t="s">
        <v>901</v>
      </c>
      <c r="B516" s="19" t="str">
        <f>VLOOKUP(A516,Sheet1!A:E,5,0)</f>
        <v>Stacie Wall</v>
      </c>
      <c r="C516" s="19" t="str">
        <f>VLOOKUP(A516,Sheet1!A:I,9,0)</f>
        <v>Female</v>
      </c>
      <c r="D516" s="19">
        <f>VLOOKUP(A516,Sheet1!A:K,11,0)</f>
        <v>41</v>
      </c>
      <c r="E516" s="19" t="str">
        <f>VLOOKUP(A516,Sheet1!A:M,13,0)</f>
        <v>Australia</v>
      </c>
      <c r="F516" s="19" t="str">
        <f>VLOOKUP(A516,Sheet1!A:N,14,0)</f>
        <v>English</v>
      </c>
      <c r="G516" s="19" t="str">
        <f>VLOOKUP(A516,Sheet1!A:O,15,0)</f>
        <v>Blockchain Development</v>
      </c>
      <c r="H516" s="19">
        <f>VLOOKUP(A516,Sheet1!A:Q,17,0)</f>
        <v>14</v>
      </c>
      <c r="I516" s="20">
        <f>VLOOKUP(A516,Sheet1!A:V,22,0)</f>
        <v>30</v>
      </c>
      <c r="J516" s="21">
        <f>VLOOKUP(A516,Sheet1!A:X,24,0)</f>
        <v>0</v>
      </c>
      <c r="K516" s="19" t="str">
        <f>VLOOKUP(A516,Sheet1!A:AB,28,0)</f>
        <v>Yes</v>
      </c>
      <c r="L516" s="27">
        <f>VLOOKUP(A516,Sheet1!A:AD,30,0)</f>
        <v>78</v>
      </c>
    </row>
    <row r="517" spans="1:12" x14ac:dyDescent="0.3">
      <c r="A517" s="14" t="s">
        <v>1980</v>
      </c>
      <c r="B517" s="19" t="str">
        <f>VLOOKUP(A517,Sheet1!A:E,5,0)</f>
        <v>Thomas Jackson</v>
      </c>
      <c r="C517" s="19" t="str">
        <f>VLOOKUP(A517,Sheet1!A:I,9,0)</f>
        <v>Male</v>
      </c>
      <c r="D517" s="19">
        <f>VLOOKUP(A517,Sheet1!A:K,11,0)</f>
        <v>41</v>
      </c>
      <c r="E517" s="19" t="str">
        <f>VLOOKUP(A517,Sheet1!A:M,13,0)</f>
        <v>Mexico</v>
      </c>
      <c r="F517" s="19" t="str">
        <f>VLOOKUP(A517,Sheet1!A:N,14,0)</f>
        <v>Spanish</v>
      </c>
      <c r="G517" s="19" t="str">
        <f>VLOOKUP(A517,Sheet1!A:O,15,0)</f>
        <v>AI</v>
      </c>
      <c r="H517" s="19">
        <f>VLOOKUP(A517,Sheet1!A:Q,17,0)</f>
        <v>1</v>
      </c>
      <c r="I517" s="20">
        <f>VLOOKUP(A517,Sheet1!A:V,22,0)</f>
        <v>75</v>
      </c>
      <c r="J517" s="21">
        <f>VLOOKUP(A517,Sheet1!A:X,24,0)</f>
        <v>0</v>
      </c>
      <c r="K517" s="19" t="str">
        <f>VLOOKUP(A517,Sheet1!A:AB,28,0)</f>
        <v>Yes</v>
      </c>
      <c r="L517" s="27">
        <f>VLOOKUP(A517,Sheet1!A:AD,30,0)</f>
        <v>94</v>
      </c>
    </row>
    <row r="518" spans="1:12" x14ac:dyDescent="0.3">
      <c r="A518" s="14" t="s">
        <v>1728</v>
      </c>
      <c r="B518" s="19" t="str">
        <f>VLOOKUP(A518,Sheet1!A:E,5,0)</f>
        <v>Alexandra Sims</v>
      </c>
      <c r="C518" s="19" t="str">
        <f>VLOOKUP(A518,Sheet1!A:I,9,0)</f>
        <v>Female</v>
      </c>
      <c r="D518" s="19">
        <f>VLOOKUP(A518,Sheet1!A:K,11,0)</f>
        <v>40</v>
      </c>
      <c r="E518" s="19" t="str">
        <f>VLOOKUP(A518,Sheet1!A:M,13,0)</f>
        <v>India</v>
      </c>
      <c r="F518" s="19" t="str">
        <f>VLOOKUP(A518,Sheet1!A:N,14,0)</f>
        <v>Hindi</v>
      </c>
      <c r="G518" s="19" t="str">
        <f>VLOOKUP(A518,Sheet1!A:O,15,0)</f>
        <v>Blockchain Development</v>
      </c>
      <c r="H518" s="19">
        <f>VLOOKUP(A518,Sheet1!A:Q,17,0)</f>
        <v>14</v>
      </c>
      <c r="I518" s="20">
        <f>VLOOKUP(A518,Sheet1!A:V,22,0)</f>
        <v>75</v>
      </c>
      <c r="J518" s="21">
        <f>VLOOKUP(A518,Sheet1!A:X,24,0)</f>
        <v>0</v>
      </c>
      <c r="K518" s="19" t="str">
        <f>VLOOKUP(A518,Sheet1!A:AB,28,0)</f>
        <v>Yes</v>
      </c>
      <c r="L518" s="27">
        <f>VLOOKUP(A518,Sheet1!A:AD,30,0)</f>
        <v>79</v>
      </c>
    </row>
    <row r="519" spans="1:12" x14ac:dyDescent="0.3">
      <c r="A519" s="14" t="s">
        <v>1694</v>
      </c>
      <c r="B519" s="19" t="str">
        <f>VLOOKUP(A519,Sheet1!A:E,5,0)</f>
        <v>Amanda Fowler</v>
      </c>
      <c r="C519" s="19" t="str">
        <f>VLOOKUP(A519,Sheet1!A:I,9,0)</f>
        <v>Female</v>
      </c>
      <c r="D519" s="19">
        <f>VLOOKUP(A519,Sheet1!A:K,11,0)</f>
        <v>40</v>
      </c>
      <c r="E519" s="19" t="str">
        <f>VLOOKUP(A519,Sheet1!A:M,13,0)</f>
        <v>Spain</v>
      </c>
      <c r="F519" s="19" t="str">
        <f>VLOOKUP(A519,Sheet1!A:N,14,0)</f>
        <v>Spanish</v>
      </c>
      <c r="G519" s="19" t="str">
        <f>VLOOKUP(A519,Sheet1!A:O,15,0)</f>
        <v>Blockchain Development</v>
      </c>
      <c r="H519" s="19">
        <f>VLOOKUP(A519,Sheet1!A:Q,17,0)</f>
        <v>20</v>
      </c>
      <c r="I519" s="20">
        <f>VLOOKUP(A519,Sheet1!A:V,22,0)</f>
        <v>30</v>
      </c>
      <c r="J519" s="21">
        <f>VLOOKUP(A519,Sheet1!A:X,24,0)</f>
        <v>2.4770114942528743</v>
      </c>
      <c r="K519" s="19" t="str">
        <f>VLOOKUP(A519,Sheet1!A:AB,28,0)</f>
        <v>No</v>
      </c>
      <c r="L519" s="27">
        <f>VLOOKUP(A519,Sheet1!A:AD,30,0)</f>
        <v>90</v>
      </c>
    </row>
    <row r="520" spans="1:12" x14ac:dyDescent="0.3">
      <c r="A520" s="14" t="s">
        <v>1064</v>
      </c>
      <c r="B520" s="19" t="str">
        <f>VLOOKUP(A520,Sheet1!A:E,5,0)</f>
        <v>Antonio King</v>
      </c>
      <c r="C520" s="19" t="str">
        <f>VLOOKUP(A520,Sheet1!A:I,9,0)</f>
        <v>Male</v>
      </c>
      <c r="D520" s="19">
        <f>VLOOKUP(A520,Sheet1!A:K,11,0)</f>
        <v>40</v>
      </c>
      <c r="E520" s="19" t="str">
        <f>VLOOKUP(A520,Sheet1!A:M,13,0)</f>
        <v>Turkey</v>
      </c>
      <c r="F520" s="19" t="str">
        <f>VLOOKUP(A520,Sheet1!A:N,14,0)</f>
        <v>Turkish</v>
      </c>
      <c r="G520" s="19" t="str">
        <f>VLOOKUP(A520,Sheet1!A:O,15,0)</f>
        <v>DevOps</v>
      </c>
      <c r="H520" s="19">
        <f>VLOOKUP(A520,Sheet1!A:Q,17,0)</f>
        <v>12</v>
      </c>
      <c r="I520" s="20">
        <f>VLOOKUP(A520,Sheet1!A:V,22,0)</f>
        <v>75</v>
      </c>
      <c r="J520" s="21">
        <f>VLOOKUP(A520,Sheet1!A:X,24,0)</f>
        <v>2.6</v>
      </c>
      <c r="K520" s="19" t="str">
        <f>VLOOKUP(A520,Sheet1!A:AB,28,0)</f>
        <v>No</v>
      </c>
      <c r="L520" s="27">
        <f>VLOOKUP(A520,Sheet1!A:AD,30,0)</f>
        <v>79.610208816705338</v>
      </c>
    </row>
    <row r="521" spans="1:12" x14ac:dyDescent="0.3">
      <c r="A521" s="14" t="s">
        <v>693</v>
      </c>
      <c r="B521" s="19" t="str">
        <f>VLOOKUP(A521,Sheet1!A:E,5,0)</f>
        <v>Beth Crane</v>
      </c>
      <c r="C521" s="19" t="str">
        <f>VLOOKUP(A521,Sheet1!A:I,9,0)</f>
        <v>Female</v>
      </c>
      <c r="D521" s="19">
        <f>VLOOKUP(A521,Sheet1!A:K,11,0)</f>
        <v>40</v>
      </c>
      <c r="E521" s="19" t="str">
        <f>VLOOKUP(A521,Sheet1!A:M,13,0)</f>
        <v>Netherlands</v>
      </c>
      <c r="F521" s="19" t="str">
        <f>VLOOKUP(A521,Sheet1!A:N,14,0)</f>
        <v>Dutch</v>
      </c>
      <c r="G521" s="19" t="str">
        <f>VLOOKUP(A521,Sheet1!A:O,15,0)</f>
        <v>Mobile Apps</v>
      </c>
      <c r="H521" s="19">
        <f>VLOOKUP(A521,Sheet1!A:Q,17,0)</f>
        <v>6</v>
      </c>
      <c r="I521" s="20">
        <f>VLOOKUP(A521,Sheet1!A:V,22,0)</f>
        <v>40</v>
      </c>
      <c r="J521" s="21">
        <f>VLOOKUP(A521,Sheet1!A:X,24,0)</f>
        <v>3.5</v>
      </c>
      <c r="K521" s="19" t="str">
        <f>VLOOKUP(A521,Sheet1!A:AB,28,0)</f>
        <v>No</v>
      </c>
      <c r="L521" s="27">
        <f>VLOOKUP(A521,Sheet1!A:AD,30,0)</f>
        <v>76</v>
      </c>
    </row>
    <row r="522" spans="1:12" x14ac:dyDescent="0.3">
      <c r="A522" s="14" t="s">
        <v>1058</v>
      </c>
      <c r="B522" s="19" t="str">
        <f>VLOOKUP(A522,Sheet1!A:E,5,0)</f>
        <v>Bonnie Sherman</v>
      </c>
      <c r="C522" s="19" t="str">
        <f>VLOOKUP(A522,Sheet1!A:I,9,0)</f>
        <v>Female</v>
      </c>
      <c r="D522" s="19">
        <f>VLOOKUP(A522,Sheet1!A:K,11,0)</f>
        <v>40</v>
      </c>
      <c r="E522" s="19" t="str">
        <f>VLOOKUP(A522,Sheet1!A:M,13,0)</f>
        <v>Netherlands</v>
      </c>
      <c r="F522" s="19" t="str">
        <f>VLOOKUP(A522,Sheet1!A:N,14,0)</f>
        <v>Dutch</v>
      </c>
      <c r="G522" s="19" t="str">
        <f>VLOOKUP(A522,Sheet1!A:O,15,0)</f>
        <v>Mobile Apps</v>
      </c>
      <c r="H522" s="19">
        <f>VLOOKUP(A522,Sheet1!A:Q,17,0)</f>
        <v>11</v>
      </c>
      <c r="I522" s="20">
        <f>VLOOKUP(A522,Sheet1!A:V,22,0)</f>
        <v>20</v>
      </c>
      <c r="J522" s="21">
        <f>VLOOKUP(A522,Sheet1!A:X,24,0)</f>
        <v>3.6</v>
      </c>
      <c r="K522" s="19" t="str">
        <f>VLOOKUP(A522,Sheet1!A:AB,28,0)</f>
        <v>No</v>
      </c>
      <c r="L522" s="27">
        <f>VLOOKUP(A522,Sheet1!A:AD,30,0)</f>
        <v>69</v>
      </c>
    </row>
    <row r="523" spans="1:12" x14ac:dyDescent="0.3">
      <c r="A523" s="14" t="s">
        <v>362</v>
      </c>
      <c r="B523" s="19" t="str">
        <f>VLOOKUP(A523,Sheet1!A:E,5,0)</f>
        <v>Cindy Jacobs</v>
      </c>
      <c r="C523" s="19" t="str">
        <f>VLOOKUP(A523,Sheet1!A:I,9,0)</f>
        <v>Female</v>
      </c>
      <c r="D523" s="19">
        <f>VLOOKUP(A523,Sheet1!A:K,11,0)</f>
        <v>40</v>
      </c>
      <c r="E523" s="19" t="str">
        <f>VLOOKUP(A523,Sheet1!A:M,13,0)</f>
        <v>Brazil</v>
      </c>
      <c r="F523" s="19" t="str">
        <f>VLOOKUP(A523,Sheet1!A:N,14,0)</f>
        <v>Portuguese</v>
      </c>
      <c r="G523" s="19" t="str">
        <f>VLOOKUP(A523,Sheet1!A:O,15,0)</f>
        <v>Machine Learning</v>
      </c>
      <c r="H523" s="19">
        <f>VLOOKUP(A523,Sheet1!A:Q,17,0)</f>
        <v>4</v>
      </c>
      <c r="I523" s="20">
        <f>VLOOKUP(A523,Sheet1!A:V,22,0)</f>
        <v>52.639240506329116</v>
      </c>
      <c r="J523" s="21">
        <f>VLOOKUP(A523,Sheet1!A:X,24,0)</f>
        <v>2.5</v>
      </c>
      <c r="K523" s="19" t="str">
        <f>VLOOKUP(A523,Sheet1!A:AB,28,0)</f>
        <v>Unknown</v>
      </c>
      <c r="L523" s="27">
        <f>VLOOKUP(A523,Sheet1!A:AD,30,0)</f>
        <v>70</v>
      </c>
    </row>
    <row r="524" spans="1:12" x14ac:dyDescent="0.3">
      <c r="A524" s="14" t="s">
        <v>2052</v>
      </c>
      <c r="B524" s="19" t="str">
        <f>VLOOKUP(A524,Sheet1!A:E,5,0)</f>
        <v>Cindy Williams</v>
      </c>
      <c r="C524" s="19" t="str">
        <f>VLOOKUP(A524,Sheet1!A:I,9,0)</f>
        <v>Female</v>
      </c>
      <c r="D524" s="19">
        <f>VLOOKUP(A524,Sheet1!A:K,11,0)</f>
        <v>40</v>
      </c>
      <c r="E524" s="19" t="str">
        <f>VLOOKUP(A524,Sheet1!A:M,13,0)</f>
        <v>South Africa</v>
      </c>
      <c r="F524" s="19" t="str">
        <f>VLOOKUP(A524,Sheet1!A:N,14,0)</f>
        <v>Afrikaans</v>
      </c>
      <c r="G524" s="19" t="str">
        <f>VLOOKUP(A524,Sheet1!A:O,15,0)</f>
        <v>Graphic Design</v>
      </c>
      <c r="H524" s="19">
        <f>VLOOKUP(A524,Sheet1!A:Q,17,0)</f>
        <v>0</v>
      </c>
      <c r="I524" s="20">
        <f>VLOOKUP(A524,Sheet1!A:V,22,0)</f>
        <v>40</v>
      </c>
      <c r="J524" s="21">
        <f>VLOOKUP(A524,Sheet1!A:X,24,0)</f>
        <v>0</v>
      </c>
      <c r="K524" s="19" t="str">
        <f>VLOOKUP(A524,Sheet1!A:AB,28,0)</f>
        <v>No</v>
      </c>
      <c r="L524" s="27">
        <f>VLOOKUP(A524,Sheet1!A:AD,30,0)</f>
        <v>97</v>
      </c>
    </row>
    <row r="525" spans="1:12" x14ac:dyDescent="0.3">
      <c r="A525" s="14" t="s">
        <v>1654</v>
      </c>
      <c r="B525" s="19" t="str">
        <f>VLOOKUP(A525,Sheet1!A:E,5,0)</f>
        <v>Cynthia Walton</v>
      </c>
      <c r="C525" s="19" t="str">
        <f>VLOOKUP(A525,Sheet1!A:I,9,0)</f>
        <v>Female</v>
      </c>
      <c r="D525" s="19">
        <f>VLOOKUP(A525,Sheet1!A:K,11,0)</f>
        <v>40</v>
      </c>
      <c r="E525" s="19" t="str">
        <f>VLOOKUP(A525,Sheet1!A:M,13,0)</f>
        <v>Argentina</v>
      </c>
      <c r="F525" s="19" t="str">
        <f>VLOOKUP(A525,Sheet1!A:N,14,0)</f>
        <v>Spanish</v>
      </c>
      <c r="G525" s="19" t="str">
        <f>VLOOKUP(A525,Sheet1!A:O,15,0)</f>
        <v>Blockchain Development</v>
      </c>
      <c r="H525" s="19">
        <f>VLOOKUP(A525,Sheet1!A:Q,17,0)</f>
        <v>9</v>
      </c>
      <c r="I525" s="20">
        <f>VLOOKUP(A525,Sheet1!A:V,22,0)</f>
        <v>100</v>
      </c>
      <c r="J525" s="21">
        <f>VLOOKUP(A525,Sheet1!A:X,24,0)</f>
        <v>4.5</v>
      </c>
      <c r="K525" s="19" t="str">
        <f>VLOOKUP(A525,Sheet1!A:AB,28,0)</f>
        <v>Yes</v>
      </c>
      <c r="L525" s="27">
        <f>VLOOKUP(A525,Sheet1!A:AD,30,0)</f>
        <v>83</v>
      </c>
    </row>
    <row r="526" spans="1:12" x14ac:dyDescent="0.3">
      <c r="A526" s="14" t="s">
        <v>1010</v>
      </c>
      <c r="B526" s="19" t="str">
        <f>VLOOKUP(A526,Sheet1!A:E,5,0)</f>
        <v>David Sanchez</v>
      </c>
      <c r="C526" s="19" t="str">
        <f>VLOOKUP(A526,Sheet1!A:I,9,0)</f>
        <v>Male</v>
      </c>
      <c r="D526" s="19">
        <f>VLOOKUP(A526,Sheet1!A:K,11,0)</f>
        <v>40</v>
      </c>
      <c r="E526" s="19" t="str">
        <f>VLOOKUP(A526,Sheet1!A:M,13,0)</f>
        <v>Canada</v>
      </c>
      <c r="F526" s="19" t="str">
        <f>VLOOKUP(A526,Sheet1!A:N,14,0)</f>
        <v>English</v>
      </c>
      <c r="G526" s="19" t="str">
        <f>VLOOKUP(A526,Sheet1!A:O,15,0)</f>
        <v>Machine Learning</v>
      </c>
      <c r="H526" s="19">
        <f>VLOOKUP(A526,Sheet1!A:Q,17,0)</f>
        <v>1</v>
      </c>
      <c r="I526" s="20">
        <f>VLOOKUP(A526,Sheet1!A:V,22,0)</f>
        <v>100</v>
      </c>
      <c r="J526" s="21">
        <f>VLOOKUP(A526,Sheet1!A:X,24,0)</f>
        <v>2.1</v>
      </c>
      <c r="K526" s="19" t="str">
        <f>VLOOKUP(A526,Sheet1!A:AB,28,0)</f>
        <v>Yes</v>
      </c>
      <c r="L526" s="27">
        <f>VLOOKUP(A526,Sheet1!A:AD,30,0)</f>
        <v>79.330376940133036</v>
      </c>
    </row>
    <row r="527" spans="1:12" x14ac:dyDescent="0.3">
      <c r="A527" s="14" t="s">
        <v>1804</v>
      </c>
      <c r="B527" s="19" t="str">
        <f>VLOOKUP(A527,Sheet1!A:E,5,0)</f>
        <v>Deanna Miles</v>
      </c>
      <c r="C527" s="19" t="str">
        <f>VLOOKUP(A527,Sheet1!A:I,9,0)</f>
        <v>Female</v>
      </c>
      <c r="D527" s="19">
        <f>VLOOKUP(A527,Sheet1!A:K,11,0)</f>
        <v>40</v>
      </c>
      <c r="E527" s="19" t="str">
        <f>VLOOKUP(A527,Sheet1!A:M,13,0)</f>
        <v>Mexico</v>
      </c>
      <c r="F527" s="19" t="str">
        <f>VLOOKUP(A527,Sheet1!A:N,14,0)</f>
        <v>Spanish</v>
      </c>
      <c r="G527" s="19" t="str">
        <f>VLOOKUP(A527,Sheet1!A:O,15,0)</f>
        <v>Graphic Design</v>
      </c>
      <c r="H527" s="19">
        <f>VLOOKUP(A527,Sheet1!A:Q,17,0)</f>
        <v>22</v>
      </c>
      <c r="I527" s="20">
        <f>VLOOKUP(A527,Sheet1!A:V,22,0)</f>
        <v>40</v>
      </c>
      <c r="J527" s="21">
        <f>VLOOKUP(A527,Sheet1!A:X,24,0)</f>
        <v>4.3</v>
      </c>
      <c r="K527" s="19" t="str">
        <f>VLOOKUP(A527,Sheet1!A:AB,28,0)</f>
        <v>No</v>
      </c>
      <c r="L527" s="27">
        <f>VLOOKUP(A527,Sheet1!A:AD,30,0)</f>
        <v>95</v>
      </c>
    </row>
    <row r="528" spans="1:12" x14ac:dyDescent="0.3">
      <c r="A528" s="14" t="s">
        <v>436</v>
      </c>
      <c r="B528" s="19" t="str">
        <f>VLOOKUP(A528,Sheet1!A:E,5,0)</f>
        <v>Debra Salazar</v>
      </c>
      <c r="C528" s="19" t="str">
        <f>VLOOKUP(A528,Sheet1!A:I,9,0)</f>
        <v>Female</v>
      </c>
      <c r="D528" s="19">
        <f>VLOOKUP(A528,Sheet1!A:K,11,0)</f>
        <v>40</v>
      </c>
      <c r="E528" s="19" t="str">
        <f>VLOOKUP(A528,Sheet1!A:M,13,0)</f>
        <v>Netherlands</v>
      </c>
      <c r="F528" s="19" t="str">
        <f>VLOOKUP(A528,Sheet1!A:N,14,0)</f>
        <v>Dutch</v>
      </c>
      <c r="G528" s="19" t="str">
        <f>VLOOKUP(A528,Sheet1!A:O,15,0)</f>
        <v>Blockchain Development</v>
      </c>
      <c r="H528" s="19">
        <f>VLOOKUP(A528,Sheet1!A:Q,17,0)</f>
        <v>9</v>
      </c>
      <c r="I528" s="20">
        <f>VLOOKUP(A528,Sheet1!A:V,22,0)</f>
        <v>40</v>
      </c>
      <c r="J528" s="21">
        <f>VLOOKUP(A528,Sheet1!A:X,24,0)</f>
        <v>2.8</v>
      </c>
      <c r="K528" s="19" t="str">
        <f>VLOOKUP(A528,Sheet1!A:AB,28,0)</f>
        <v>No</v>
      </c>
      <c r="L528" s="27">
        <f>VLOOKUP(A528,Sheet1!A:AD,30,0)</f>
        <v>80</v>
      </c>
    </row>
    <row r="529" spans="1:12" x14ac:dyDescent="0.3">
      <c r="A529" s="14" t="s">
        <v>956</v>
      </c>
      <c r="B529" s="19" t="str">
        <f>VLOOKUP(A529,Sheet1!A:E,5,0)</f>
        <v>Dr. Paul</v>
      </c>
      <c r="C529" s="19" t="str">
        <f>VLOOKUP(A529,Sheet1!A:I,9,0)</f>
        <v>Male</v>
      </c>
      <c r="D529" s="19">
        <f>VLOOKUP(A529,Sheet1!A:K,11,0)</f>
        <v>40</v>
      </c>
      <c r="E529" s="19" t="str">
        <f>VLOOKUP(A529,Sheet1!A:M,13,0)</f>
        <v>India</v>
      </c>
      <c r="F529" s="19" t="str">
        <f>VLOOKUP(A529,Sheet1!A:N,14,0)</f>
        <v>Hindi</v>
      </c>
      <c r="G529" s="19" t="str">
        <f>VLOOKUP(A529,Sheet1!A:O,15,0)</f>
        <v>AI</v>
      </c>
      <c r="H529" s="19">
        <f>VLOOKUP(A529,Sheet1!A:Q,17,0)</f>
        <v>13</v>
      </c>
      <c r="I529" s="20">
        <f>VLOOKUP(A529,Sheet1!A:V,22,0)</f>
        <v>100</v>
      </c>
      <c r="J529" s="21">
        <f>VLOOKUP(A529,Sheet1!A:X,24,0)</f>
        <v>1.1000000000000001</v>
      </c>
      <c r="K529" s="19" t="str">
        <f>VLOOKUP(A529,Sheet1!A:AB,28,0)</f>
        <v>Yes</v>
      </c>
      <c r="L529" s="27">
        <f>VLOOKUP(A529,Sheet1!A:AD,30,0)</f>
        <v>79.490486257928112</v>
      </c>
    </row>
    <row r="530" spans="1:12" x14ac:dyDescent="0.3">
      <c r="A530" s="14" t="s">
        <v>73</v>
      </c>
      <c r="B530" s="19" t="str">
        <f>VLOOKUP(A530,Sheet1!A:E,5,0)</f>
        <v>Gavin Randall</v>
      </c>
      <c r="C530" s="19" t="str">
        <f>VLOOKUP(A530,Sheet1!A:I,9,0)</f>
        <v>Male</v>
      </c>
      <c r="D530" s="19">
        <f>VLOOKUP(A530,Sheet1!A:K,11,0)</f>
        <v>40</v>
      </c>
      <c r="E530" s="19" t="str">
        <f>VLOOKUP(A530,Sheet1!A:M,13,0)</f>
        <v>United Kingdom</v>
      </c>
      <c r="F530" s="19" t="str">
        <f>VLOOKUP(A530,Sheet1!A:N,14,0)</f>
        <v>English</v>
      </c>
      <c r="G530" s="19" t="str">
        <f>VLOOKUP(A530,Sheet1!A:O,15,0)</f>
        <v>Data Analysis</v>
      </c>
      <c r="H530" s="19">
        <f>VLOOKUP(A530,Sheet1!A:Q,17,0)</f>
        <v>17</v>
      </c>
      <c r="I530" s="20">
        <f>VLOOKUP(A530,Sheet1!A:V,22,0)</f>
        <v>40</v>
      </c>
      <c r="J530" s="21">
        <f>VLOOKUP(A530,Sheet1!A:X,24,0)</f>
        <v>3.6</v>
      </c>
      <c r="K530" s="19" t="str">
        <f>VLOOKUP(A530,Sheet1!A:AB,28,0)</f>
        <v>Yes</v>
      </c>
      <c r="L530" s="27">
        <f>VLOOKUP(A530,Sheet1!A:AD,30,0)</f>
        <v>77</v>
      </c>
    </row>
    <row r="531" spans="1:12" x14ac:dyDescent="0.3">
      <c r="A531" s="14" t="s">
        <v>825</v>
      </c>
      <c r="B531" s="19" t="str">
        <f>VLOOKUP(A531,Sheet1!A:E,5,0)</f>
        <v>Jackie Allen</v>
      </c>
      <c r="C531" s="19" t="str">
        <f>VLOOKUP(A531,Sheet1!A:I,9,0)</f>
        <v>Female</v>
      </c>
      <c r="D531" s="19">
        <f>VLOOKUP(A531,Sheet1!A:K,11,0)</f>
        <v>40</v>
      </c>
      <c r="E531" s="19" t="str">
        <f>VLOOKUP(A531,Sheet1!A:M,13,0)</f>
        <v>South Korea</v>
      </c>
      <c r="F531" s="19" t="str">
        <f>VLOOKUP(A531,Sheet1!A:N,14,0)</f>
        <v>Korean</v>
      </c>
      <c r="G531" s="19" t="str">
        <f>VLOOKUP(A531,Sheet1!A:O,15,0)</f>
        <v>Blockchain Development</v>
      </c>
      <c r="H531" s="19">
        <f>VLOOKUP(A531,Sheet1!A:Q,17,0)</f>
        <v>9</v>
      </c>
      <c r="I531" s="20">
        <f>VLOOKUP(A531,Sheet1!A:V,22,0)</f>
        <v>40</v>
      </c>
      <c r="J531" s="21">
        <f>VLOOKUP(A531,Sheet1!A:X,24,0)</f>
        <v>1.5</v>
      </c>
      <c r="K531" s="19" t="str">
        <f>VLOOKUP(A531,Sheet1!A:AB,28,0)</f>
        <v>No</v>
      </c>
      <c r="L531" s="27">
        <f>VLOOKUP(A531,Sheet1!A:AD,30,0)</f>
        <v>96</v>
      </c>
    </row>
    <row r="532" spans="1:12" x14ac:dyDescent="0.3">
      <c r="A532" s="14" t="s">
        <v>1540</v>
      </c>
      <c r="B532" s="19" t="str">
        <f>VLOOKUP(A532,Sheet1!A:E,5,0)</f>
        <v>James Gonzalez</v>
      </c>
      <c r="C532" s="19" t="str">
        <f>VLOOKUP(A532,Sheet1!A:I,9,0)</f>
        <v>Male</v>
      </c>
      <c r="D532" s="19">
        <f>VLOOKUP(A532,Sheet1!A:K,11,0)</f>
        <v>40</v>
      </c>
      <c r="E532" s="19" t="str">
        <f>VLOOKUP(A532,Sheet1!A:M,13,0)</f>
        <v>Spain</v>
      </c>
      <c r="F532" s="19" t="str">
        <f>VLOOKUP(A532,Sheet1!A:N,14,0)</f>
        <v>Spanish</v>
      </c>
      <c r="G532" s="19" t="str">
        <f>VLOOKUP(A532,Sheet1!A:O,15,0)</f>
        <v>Web Development</v>
      </c>
      <c r="H532" s="19">
        <f>VLOOKUP(A532,Sheet1!A:Q,17,0)</f>
        <v>7</v>
      </c>
      <c r="I532" s="20">
        <f>VLOOKUP(A532,Sheet1!A:V,22,0)</f>
        <v>40</v>
      </c>
      <c r="J532" s="21">
        <f>VLOOKUP(A532,Sheet1!A:X,24,0)</f>
        <v>4.5</v>
      </c>
      <c r="K532" s="19" t="str">
        <f>VLOOKUP(A532,Sheet1!A:AB,28,0)</f>
        <v>Unknown</v>
      </c>
      <c r="L532" s="27">
        <f>VLOOKUP(A532,Sheet1!A:AD,30,0)</f>
        <v>79</v>
      </c>
    </row>
    <row r="533" spans="1:12" x14ac:dyDescent="0.3">
      <c r="A533" s="14" t="s">
        <v>1824</v>
      </c>
      <c r="B533" s="19" t="str">
        <f>VLOOKUP(A533,Sheet1!A:E,5,0)</f>
        <v>Jerry Price</v>
      </c>
      <c r="C533" s="19" t="str">
        <f>VLOOKUP(A533,Sheet1!A:I,9,0)</f>
        <v>Male</v>
      </c>
      <c r="D533" s="19">
        <f>VLOOKUP(A533,Sheet1!A:K,11,0)</f>
        <v>40</v>
      </c>
      <c r="E533" s="19" t="str">
        <f>VLOOKUP(A533,Sheet1!A:M,13,0)</f>
        <v>Indonesia</v>
      </c>
      <c r="F533" s="19" t="str">
        <f>VLOOKUP(A533,Sheet1!A:N,14,0)</f>
        <v>Indonesian</v>
      </c>
      <c r="G533" s="19" t="str">
        <f>VLOOKUP(A533,Sheet1!A:O,15,0)</f>
        <v>Data Analysis</v>
      </c>
      <c r="H533" s="19">
        <f>VLOOKUP(A533,Sheet1!A:Q,17,0)</f>
        <v>2</v>
      </c>
      <c r="I533" s="20">
        <f>VLOOKUP(A533,Sheet1!A:V,22,0)</f>
        <v>75</v>
      </c>
      <c r="J533" s="21">
        <f>VLOOKUP(A533,Sheet1!A:X,24,0)</f>
        <v>4.5</v>
      </c>
      <c r="K533" s="19" t="str">
        <f>VLOOKUP(A533,Sheet1!A:AB,28,0)</f>
        <v>Yes</v>
      </c>
      <c r="L533" s="27">
        <f>VLOOKUP(A533,Sheet1!A:AD,30,0)</f>
        <v>80.414414414414409</v>
      </c>
    </row>
    <row r="534" spans="1:12" x14ac:dyDescent="0.3">
      <c r="A534" s="14" t="s">
        <v>1197</v>
      </c>
      <c r="B534" s="19" t="str">
        <f>VLOOKUP(A534,Sheet1!A:E,5,0)</f>
        <v>Kristina Williams</v>
      </c>
      <c r="C534" s="19" t="str">
        <f>VLOOKUP(A534,Sheet1!A:I,9,0)</f>
        <v>Female</v>
      </c>
      <c r="D534" s="19">
        <f>VLOOKUP(A534,Sheet1!A:K,11,0)</f>
        <v>40</v>
      </c>
      <c r="E534" s="19" t="str">
        <f>VLOOKUP(A534,Sheet1!A:M,13,0)</f>
        <v>Australia</v>
      </c>
      <c r="F534" s="19" t="str">
        <f>VLOOKUP(A534,Sheet1!A:N,14,0)</f>
        <v>English</v>
      </c>
      <c r="G534" s="19" t="str">
        <f>VLOOKUP(A534,Sheet1!A:O,15,0)</f>
        <v>DevOps</v>
      </c>
      <c r="H534" s="19">
        <f>VLOOKUP(A534,Sheet1!A:Q,17,0)</f>
        <v>0</v>
      </c>
      <c r="I534" s="20">
        <f>VLOOKUP(A534,Sheet1!A:V,22,0)</f>
        <v>100</v>
      </c>
      <c r="J534" s="21">
        <f>VLOOKUP(A534,Sheet1!A:X,24,0)</f>
        <v>1.2</v>
      </c>
      <c r="K534" s="19" t="str">
        <f>VLOOKUP(A534,Sheet1!A:AB,28,0)</f>
        <v>Unknown</v>
      </c>
      <c r="L534" s="27">
        <f>VLOOKUP(A534,Sheet1!A:AD,30,0)</f>
        <v>87</v>
      </c>
    </row>
    <row r="535" spans="1:12" x14ac:dyDescent="0.3">
      <c r="A535" s="14" t="s">
        <v>1840</v>
      </c>
      <c r="B535" s="19" t="str">
        <f>VLOOKUP(A535,Sheet1!A:E,5,0)</f>
        <v>Mary Ward</v>
      </c>
      <c r="C535" s="19" t="str">
        <f>VLOOKUP(A535,Sheet1!A:I,9,0)</f>
        <v>Female</v>
      </c>
      <c r="D535" s="19">
        <f>VLOOKUP(A535,Sheet1!A:K,11,0)</f>
        <v>40</v>
      </c>
      <c r="E535" s="19" t="str">
        <f>VLOOKUP(A535,Sheet1!A:M,13,0)</f>
        <v>Spain</v>
      </c>
      <c r="F535" s="19" t="str">
        <f>VLOOKUP(A535,Sheet1!A:N,14,0)</f>
        <v>Spanish</v>
      </c>
      <c r="G535" s="19" t="str">
        <f>VLOOKUP(A535,Sheet1!A:O,15,0)</f>
        <v>AI</v>
      </c>
      <c r="H535" s="19">
        <f>VLOOKUP(A535,Sheet1!A:Q,17,0)</f>
        <v>9</v>
      </c>
      <c r="I535" s="20">
        <f>VLOOKUP(A535,Sheet1!A:V,22,0)</f>
        <v>54.82905982905983</v>
      </c>
      <c r="J535" s="21">
        <f>VLOOKUP(A535,Sheet1!A:X,24,0)</f>
        <v>1.2</v>
      </c>
      <c r="K535" s="19" t="str">
        <f>VLOOKUP(A535,Sheet1!A:AB,28,0)</f>
        <v>Yes</v>
      </c>
      <c r="L535" s="27">
        <f>VLOOKUP(A535,Sheet1!A:AD,30,0)</f>
        <v>67</v>
      </c>
    </row>
    <row r="536" spans="1:12" x14ac:dyDescent="0.3">
      <c r="A536" s="14" t="s">
        <v>1149</v>
      </c>
      <c r="B536" s="19" t="str">
        <f>VLOOKUP(A536,Sheet1!A:E,5,0)</f>
        <v>Maureen Keith</v>
      </c>
      <c r="C536" s="19" t="str">
        <f>VLOOKUP(A536,Sheet1!A:I,9,0)</f>
        <v>Female</v>
      </c>
      <c r="D536" s="19">
        <f>VLOOKUP(A536,Sheet1!A:K,11,0)</f>
        <v>40</v>
      </c>
      <c r="E536" s="19" t="str">
        <f>VLOOKUP(A536,Sheet1!A:M,13,0)</f>
        <v>United Kingdom</v>
      </c>
      <c r="F536" s="19" t="str">
        <f>VLOOKUP(A536,Sheet1!A:N,14,0)</f>
        <v>English</v>
      </c>
      <c r="G536" s="19" t="str">
        <f>VLOOKUP(A536,Sheet1!A:O,15,0)</f>
        <v>DevOps</v>
      </c>
      <c r="H536" s="19">
        <f>VLOOKUP(A536,Sheet1!A:Q,17,0)</f>
        <v>12</v>
      </c>
      <c r="I536" s="20">
        <f>VLOOKUP(A536,Sheet1!A:V,22,0)</f>
        <v>30</v>
      </c>
      <c r="J536" s="21">
        <f>VLOOKUP(A536,Sheet1!A:X,24,0)</f>
        <v>3.5</v>
      </c>
      <c r="K536" s="19" t="str">
        <f>VLOOKUP(A536,Sheet1!A:AB,28,0)</f>
        <v>Unknown</v>
      </c>
      <c r="L536" s="27">
        <f>VLOOKUP(A536,Sheet1!A:AD,30,0)</f>
        <v>98</v>
      </c>
    </row>
    <row r="537" spans="1:12" x14ac:dyDescent="0.3">
      <c r="A537" s="14" t="s">
        <v>639</v>
      </c>
      <c r="B537" s="19" t="str">
        <f>VLOOKUP(A537,Sheet1!A:E,5,0)</f>
        <v>Nancy Long</v>
      </c>
      <c r="C537" s="19" t="str">
        <f>VLOOKUP(A537,Sheet1!A:I,9,0)</f>
        <v>Female</v>
      </c>
      <c r="D537" s="19">
        <f>VLOOKUP(A537,Sheet1!A:K,11,0)</f>
        <v>40</v>
      </c>
      <c r="E537" s="19" t="str">
        <f>VLOOKUP(A537,Sheet1!A:M,13,0)</f>
        <v>United Kingdom</v>
      </c>
      <c r="F537" s="19" t="str">
        <f>VLOOKUP(A537,Sheet1!A:N,14,0)</f>
        <v>English</v>
      </c>
      <c r="G537" s="19" t="str">
        <f>VLOOKUP(A537,Sheet1!A:O,15,0)</f>
        <v>Cybersecurity</v>
      </c>
      <c r="H537" s="19">
        <f>VLOOKUP(A537,Sheet1!A:Q,17,0)</f>
        <v>5</v>
      </c>
      <c r="I537" s="20">
        <f>VLOOKUP(A537,Sheet1!A:V,22,0)</f>
        <v>100</v>
      </c>
      <c r="J537" s="21">
        <f>VLOOKUP(A537,Sheet1!A:X,24,0)</f>
        <v>1.3</v>
      </c>
      <c r="K537" s="19" t="str">
        <f>VLOOKUP(A537,Sheet1!A:AB,28,0)</f>
        <v>No</v>
      </c>
      <c r="L537" s="27">
        <f>VLOOKUP(A537,Sheet1!A:AD,30,0)</f>
        <v>60</v>
      </c>
    </row>
    <row r="538" spans="1:12" x14ac:dyDescent="0.3">
      <c r="A538" s="14" t="s">
        <v>1802</v>
      </c>
      <c r="B538" s="19" t="str">
        <f>VLOOKUP(A538,Sheet1!A:E,5,0)</f>
        <v>Nathaniel Benson</v>
      </c>
      <c r="C538" s="19" t="str">
        <f>VLOOKUP(A538,Sheet1!A:I,9,0)</f>
        <v>Male</v>
      </c>
      <c r="D538" s="19">
        <f>VLOOKUP(A538,Sheet1!A:K,11,0)</f>
        <v>40</v>
      </c>
      <c r="E538" s="19" t="str">
        <f>VLOOKUP(A538,Sheet1!A:M,13,0)</f>
        <v>Australia</v>
      </c>
      <c r="F538" s="19" t="str">
        <f>VLOOKUP(A538,Sheet1!A:N,14,0)</f>
        <v>English</v>
      </c>
      <c r="G538" s="19" t="str">
        <f>VLOOKUP(A538,Sheet1!A:O,15,0)</f>
        <v>Cybersecurity</v>
      </c>
      <c r="H538" s="19">
        <f>VLOOKUP(A538,Sheet1!A:Q,17,0)</f>
        <v>13</v>
      </c>
      <c r="I538" s="20">
        <f>VLOOKUP(A538,Sheet1!A:V,22,0)</f>
        <v>50</v>
      </c>
      <c r="J538" s="21">
        <f>VLOOKUP(A538,Sheet1!A:X,24,0)</f>
        <v>2.9</v>
      </c>
      <c r="K538" s="19" t="str">
        <f>VLOOKUP(A538,Sheet1!A:AB,28,0)</f>
        <v>No</v>
      </c>
      <c r="L538" s="27">
        <f>VLOOKUP(A538,Sheet1!A:AD,30,0)</f>
        <v>82</v>
      </c>
    </row>
    <row r="539" spans="1:12" x14ac:dyDescent="0.3">
      <c r="A539" s="14" t="s">
        <v>238</v>
      </c>
      <c r="B539" s="19" t="str">
        <f>VLOOKUP(A539,Sheet1!A:E,5,0)</f>
        <v>Nicholas Burton</v>
      </c>
      <c r="C539" s="19" t="str">
        <f>VLOOKUP(A539,Sheet1!A:I,9,0)</f>
        <v>Male</v>
      </c>
      <c r="D539" s="19">
        <f>VLOOKUP(A539,Sheet1!A:K,11,0)</f>
        <v>40</v>
      </c>
      <c r="E539" s="19" t="str">
        <f>VLOOKUP(A539,Sheet1!A:M,13,0)</f>
        <v>United States</v>
      </c>
      <c r="F539" s="19" t="str">
        <f>VLOOKUP(A539,Sheet1!A:N,14,0)</f>
        <v>English</v>
      </c>
      <c r="G539" s="19" t="str">
        <f>VLOOKUP(A539,Sheet1!A:O,15,0)</f>
        <v>Web Development</v>
      </c>
      <c r="H539" s="19">
        <f>VLOOKUP(A539,Sheet1!A:Q,17,0)</f>
        <v>9</v>
      </c>
      <c r="I539" s="20">
        <f>VLOOKUP(A539,Sheet1!A:V,22,0)</f>
        <v>100</v>
      </c>
      <c r="J539" s="21">
        <f>VLOOKUP(A539,Sheet1!A:X,24,0)</f>
        <v>4.5</v>
      </c>
      <c r="K539" s="19" t="str">
        <f>VLOOKUP(A539,Sheet1!A:AB,28,0)</f>
        <v>Yes</v>
      </c>
      <c r="L539" s="27">
        <f>VLOOKUP(A539,Sheet1!A:AD,30,0)</f>
        <v>69</v>
      </c>
    </row>
    <row r="540" spans="1:12" x14ac:dyDescent="0.3">
      <c r="A540" s="14" t="s">
        <v>1018</v>
      </c>
      <c r="B540" s="19" t="str">
        <f>VLOOKUP(A540,Sheet1!A:E,5,0)</f>
        <v>Nicole York</v>
      </c>
      <c r="C540" s="19" t="str">
        <f>VLOOKUP(A540,Sheet1!A:I,9,0)</f>
        <v>Female</v>
      </c>
      <c r="D540" s="19">
        <f>VLOOKUP(A540,Sheet1!A:K,11,0)</f>
        <v>40</v>
      </c>
      <c r="E540" s="19" t="str">
        <f>VLOOKUP(A540,Sheet1!A:M,13,0)</f>
        <v>Japan</v>
      </c>
      <c r="F540" s="19" t="str">
        <f>VLOOKUP(A540,Sheet1!A:N,14,0)</f>
        <v>Japanese</v>
      </c>
      <c r="G540" s="19" t="str">
        <f>VLOOKUP(A540,Sheet1!A:O,15,0)</f>
        <v>DevOps</v>
      </c>
      <c r="H540" s="19">
        <f>VLOOKUP(A540,Sheet1!A:Q,17,0)</f>
        <v>12</v>
      </c>
      <c r="I540" s="20">
        <f>VLOOKUP(A540,Sheet1!A:V,22,0)</f>
        <v>50</v>
      </c>
      <c r="J540" s="21">
        <f>VLOOKUP(A540,Sheet1!A:X,24,0)</f>
        <v>4.0999999999999996</v>
      </c>
      <c r="K540" s="19" t="str">
        <f>VLOOKUP(A540,Sheet1!A:AB,28,0)</f>
        <v>Yes</v>
      </c>
      <c r="L540" s="27">
        <f>VLOOKUP(A540,Sheet1!A:AD,30,0)</f>
        <v>62</v>
      </c>
    </row>
    <row r="541" spans="1:12" x14ac:dyDescent="0.3">
      <c r="A541" s="14" t="s">
        <v>1592</v>
      </c>
      <c r="B541" s="19" t="str">
        <f>VLOOKUP(A541,Sheet1!A:E,5,0)</f>
        <v>Patricia Scott</v>
      </c>
      <c r="C541" s="19" t="str">
        <f>VLOOKUP(A541,Sheet1!A:I,9,0)</f>
        <v>Female</v>
      </c>
      <c r="D541" s="19">
        <f>VLOOKUP(A541,Sheet1!A:K,11,0)</f>
        <v>40</v>
      </c>
      <c r="E541" s="19" t="str">
        <f>VLOOKUP(A541,Sheet1!A:M,13,0)</f>
        <v>Argentina</v>
      </c>
      <c r="F541" s="19" t="str">
        <f>VLOOKUP(A541,Sheet1!A:N,14,0)</f>
        <v>Spanish</v>
      </c>
      <c r="G541" s="19" t="str">
        <f>VLOOKUP(A541,Sheet1!A:O,15,0)</f>
        <v>Web Development</v>
      </c>
      <c r="H541" s="19">
        <f>VLOOKUP(A541,Sheet1!A:Q,17,0)</f>
        <v>0</v>
      </c>
      <c r="I541" s="20">
        <f>VLOOKUP(A541,Sheet1!A:V,22,0)</f>
        <v>40</v>
      </c>
      <c r="J541" s="21">
        <f>VLOOKUP(A541,Sheet1!A:X,24,0)</f>
        <v>2.5493150684931525</v>
      </c>
      <c r="K541" s="19" t="str">
        <f>VLOOKUP(A541,Sheet1!A:AB,28,0)</f>
        <v>Yes</v>
      </c>
      <c r="L541" s="27">
        <f>VLOOKUP(A541,Sheet1!A:AD,30,0)</f>
        <v>74</v>
      </c>
    </row>
    <row r="542" spans="1:12" x14ac:dyDescent="0.3">
      <c r="A542" s="14" t="s">
        <v>861</v>
      </c>
      <c r="B542" s="19" t="str">
        <f>VLOOKUP(A542,Sheet1!A:E,5,0)</f>
        <v>Phyllis Dawson</v>
      </c>
      <c r="C542" s="19" t="str">
        <f>VLOOKUP(A542,Sheet1!A:I,9,0)</f>
        <v>Female</v>
      </c>
      <c r="D542" s="19">
        <f>VLOOKUP(A542,Sheet1!A:K,11,0)</f>
        <v>40</v>
      </c>
      <c r="E542" s="19" t="str">
        <f>VLOOKUP(A542,Sheet1!A:M,13,0)</f>
        <v>United Kingdom</v>
      </c>
      <c r="F542" s="19" t="str">
        <f>VLOOKUP(A542,Sheet1!A:N,14,0)</f>
        <v>English</v>
      </c>
      <c r="G542" s="19" t="str">
        <f>VLOOKUP(A542,Sheet1!A:O,15,0)</f>
        <v>UI/UX Design</v>
      </c>
      <c r="H542" s="19">
        <f>VLOOKUP(A542,Sheet1!A:Q,17,0)</f>
        <v>0</v>
      </c>
      <c r="I542" s="20">
        <f>VLOOKUP(A542,Sheet1!A:V,22,0)</f>
        <v>20</v>
      </c>
      <c r="J542" s="21">
        <f>VLOOKUP(A542,Sheet1!A:X,24,0)</f>
        <v>4.8</v>
      </c>
      <c r="K542" s="19" t="str">
        <f>VLOOKUP(A542,Sheet1!A:AB,28,0)</f>
        <v>No</v>
      </c>
      <c r="L542" s="27">
        <f>VLOOKUP(A542,Sheet1!A:AD,30,0)</f>
        <v>74</v>
      </c>
    </row>
    <row r="543" spans="1:12" x14ac:dyDescent="0.3">
      <c r="A543" s="14" t="s">
        <v>1972</v>
      </c>
      <c r="B543" s="19" t="str">
        <f>VLOOKUP(A543,Sheet1!A:E,5,0)</f>
        <v>Richard Sanchez</v>
      </c>
      <c r="C543" s="19" t="str">
        <f>VLOOKUP(A543,Sheet1!A:I,9,0)</f>
        <v>Male</v>
      </c>
      <c r="D543" s="19">
        <f>VLOOKUP(A543,Sheet1!A:K,11,0)</f>
        <v>40</v>
      </c>
      <c r="E543" s="19" t="str">
        <f>VLOOKUP(A543,Sheet1!A:M,13,0)</f>
        <v>Canada</v>
      </c>
      <c r="F543" s="19" t="str">
        <f>VLOOKUP(A543,Sheet1!A:N,14,0)</f>
        <v>English</v>
      </c>
      <c r="G543" s="19" t="str">
        <f>VLOOKUP(A543,Sheet1!A:O,15,0)</f>
        <v>Data Analysis</v>
      </c>
      <c r="H543" s="19">
        <f>VLOOKUP(A543,Sheet1!A:Q,17,0)</f>
        <v>20</v>
      </c>
      <c r="I543" s="20">
        <f>VLOOKUP(A543,Sheet1!A:V,22,0)</f>
        <v>20</v>
      </c>
      <c r="J543" s="21">
        <f>VLOOKUP(A543,Sheet1!A:X,24,0)</f>
        <v>2.5</v>
      </c>
      <c r="K543" s="19" t="str">
        <f>VLOOKUP(A543,Sheet1!A:AB,28,0)</f>
        <v>No</v>
      </c>
      <c r="L543" s="27">
        <f>VLOOKUP(A543,Sheet1!A:AD,30,0)</f>
        <v>81</v>
      </c>
    </row>
    <row r="544" spans="1:12" x14ac:dyDescent="0.3">
      <c r="A544" s="14" t="s">
        <v>2014</v>
      </c>
      <c r="B544" s="19" t="str">
        <f>VLOOKUP(A544,Sheet1!A:E,5,0)</f>
        <v>Robert Meza</v>
      </c>
      <c r="C544" s="19" t="str">
        <f>VLOOKUP(A544,Sheet1!A:I,9,0)</f>
        <v>Male</v>
      </c>
      <c r="D544" s="19">
        <f>VLOOKUP(A544,Sheet1!A:K,11,0)</f>
        <v>40</v>
      </c>
      <c r="E544" s="19" t="str">
        <f>VLOOKUP(A544,Sheet1!A:M,13,0)</f>
        <v>Germany</v>
      </c>
      <c r="F544" s="19" t="str">
        <f>VLOOKUP(A544,Sheet1!A:N,14,0)</f>
        <v>German</v>
      </c>
      <c r="G544" s="19" t="str">
        <f>VLOOKUP(A544,Sheet1!A:O,15,0)</f>
        <v>AI</v>
      </c>
      <c r="H544" s="19">
        <f>VLOOKUP(A544,Sheet1!A:Q,17,0)</f>
        <v>2</v>
      </c>
      <c r="I544" s="20">
        <f>VLOOKUP(A544,Sheet1!A:V,22,0)</f>
        <v>30</v>
      </c>
      <c r="J544" s="21">
        <f>VLOOKUP(A544,Sheet1!A:X,24,0)</f>
        <v>1.3</v>
      </c>
      <c r="K544" s="19" t="str">
        <f>VLOOKUP(A544,Sheet1!A:AB,28,0)</f>
        <v>Yes</v>
      </c>
      <c r="L544" s="27">
        <f>VLOOKUP(A544,Sheet1!A:AD,30,0)</f>
        <v>77</v>
      </c>
    </row>
    <row r="545" spans="1:12" x14ac:dyDescent="0.3">
      <c r="A545" s="14" t="s">
        <v>1253</v>
      </c>
      <c r="B545" s="19" t="str">
        <f>VLOOKUP(A545,Sheet1!A:E,5,0)</f>
        <v>Sandra Mccormick</v>
      </c>
      <c r="C545" s="19" t="str">
        <f>VLOOKUP(A545,Sheet1!A:I,9,0)</f>
        <v>Female</v>
      </c>
      <c r="D545" s="19">
        <f>VLOOKUP(A545,Sheet1!A:K,11,0)</f>
        <v>40</v>
      </c>
      <c r="E545" s="19" t="str">
        <f>VLOOKUP(A545,Sheet1!A:M,13,0)</f>
        <v>United Kingdom</v>
      </c>
      <c r="F545" s="19" t="str">
        <f>VLOOKUP(A545,Sheet1!A:N,14,0)</f>
        <v>English</v>
      </c>
      <c r="G545" s="19" t="str">
        <f>VLOOKUP(A545,Sheet1!A:O,15,0)</f>
        <v>Mobile Apps</v>
      </c>
      <c r="H545" s="19">
        <f>VLOOKUP(A545,Sheet1!A:Q,17,0)</f>
        <v>20</v>
      </c>
      <c r="I545" s="20">
        <f>VLOOKUP(A545,Sheet1!A:V,22,0)</f>
        <v>20</v>
      </c>
      <c r="J545" s="21">
        <f>VLOOKUP(A545,Sheet1!A:X,24,0)</f>
        <v>2.2999999999999998</v>
      </c>
      <c r="K545" s="19" t="str">
        <f>VLOOKUP(A545,Sheet1!A:AB,28,0)</f>
        <v>No</v>
      </c>
      <c r="L545" s="27">
        <f>VLOOKUP(A545,Sheet1!A:AD,30,0)</f>
        <v>92</v>
      </c>
    </row>
    <row r="546" spans="1:12" x14ac:dyDescent="0.3">
      <c r="A546" s="14" t="s">
        <v>919</v>
      </c>
      <c r="B546" s="19" t="str">
        <f>VLOOKUP(A546,Sheet1!A:E,5,0)</f>
        <v>Sara Moses</v>
      </c>
      <c r="C546" s="19" t="str">
        <f>VLOOKUP(A546,Sheet1!A:I,9,0)</f>
        <v>Female</v>
      </c>
      <c r="D546" s="19">
        <f>VLOOKUP(A546,Sheet1!A:K,11,0)</f>
        <v>40</v>
      </c>
      <c r="E546" s="19" t="str">
        <f>VLOOKUP(A546,Sheet1!A:M,13,0)</f>
        <v>Brazil</v>
      </c>
      <c r="F546" s="19" t="str">
        <f>VLOOKUP(A546,Sheet1!A:N,14,0)</f>
        <v>Portuguese</v>
      </c>
      <c r="G546" s="19" t="str">
        <f>VLOOKUP(A546,Sheet1!A:O,15,0)</f>
        <v>UI/UX Design</v>
      </c>
      <c r="H546" s="19">
        <f>VLOOKUP(A546,Sheet1!A:Q,17,0)</f>
        <v>2</v>
      </c>
      <c r="I546" s="20">
        <f>VLOOKUP(A546,Sheet1!A:V,22,0)</f>
        <v>100</v>
      </c>
      <c r="J546" s="21">
        <f>VLOOKUP(A546,Sheet1!A:X,24,0)</f>
        <v>0</v>
      </c>
      <c r="K546" s="19" t="str">
        <f>VLOOKUP(A546,Sheet1!A:AB,28,0)</f>
        <v>No</v>
      </c>
      <c r="L546" s="27">
        <f>VLOOKUP(A546,Sheet1!A:AD,30,0)</f>
        <v>79.497950819672127</v>
      </c>
    </row>
    <row r="547" spans="1:12" x14ac:dyDescent="0.3">
      <c r="A547" s="14" t="s">
        <v>1091</v>
      </c>
      <c r="B547" s="19" t="str">
        <f>VLOOKUP(A547,Sheet1!A:E,5,0)</f>
        <v>Suzanne Ingram</v>
      </c>
      <c r="C547" s="19" t="str">
        <f>VLOOKUP(A547,Sheet1!A:I,9,0)</f>
        <v>Female</v>
      </c>
      <c r="D547" s="19">
        <f>VLOOKUP(A547,Sheet1!A:K,11,0)</f>
        <v>40</v>
      </c>
      <c r="E547" s="19" t="str">
        <f>VLOOKUP(A547,Sheet1!A:M,13,0)</f>
        <v>Egypt</v>
      </c>
      <c r="F547" s="19" t="str">
        <f>VLOOKUP(A547,Sheet1!A:N,14,0)</f>
        <v>Arabic</v>
      </c>
      <c r="G547" s="19" t="str">
        <f>VLOOKUP(A547,Sheet1!A:O,15,0)</f>
        <v>Web Development</v>
      </c>
      <c r="H547" s="19">
        <f>VLOOKUP(A547,Sheet1!A:Q,17,0)</f>
        <v>11</v>
      </c>
      <c r="I547" s="20">
        <f>VLOOKUP(A547,Sheet1!A:V,22,0)</f>
        <v>20</v>
      </c>
      <c r="J547" s="21">
        <f>VLOOKUP(A547,Sheet1!A:X,24,0)</f>
        <v>1.8</v>
      </c>
      <c r="K547" s="19" t="str">
        <f>VLOOKUP(A547,Sheet1!A:AB,28,0)</f>
        <v>Yes</v>
      </c>
      <c r="L547" s="27">
        <f>VLOOKUP(A547,Sheet1!A:AD,30,0)</f>
        <v>90</v>
      </c>
    </row>
    <row r="548" spans="1:12" x14ac:dyDescent="0.3">
      <c r="A548" s="14" t="s">
        <v>1630</v>
      </c>
      <c r="B548" s="19" t="str">
        <f>VLOOKUP(A548,Sheet1!A:E,5,0)</f>
        <v>Anne Hamilton</v>
      </c>
      <c r="C548" s="19" t="str">
        <f>VLOOKUP(A548,Sheet1!A:I,9,0)</f>
        <v>Female</v>
      </c>
      <c r="D548" s="19">
        <f>VLOOKUP(A548,Sheet1!A:K,11,0)</f>
        <v>39</v>
      </c>
      <c r="E548" s="19" t="str">
        <f>VLOOKUP(A548,Sheet1!A:M,13,0)</f>
        <v>Turkey</v>
      </c>
      <c r="F548" s="19" t="str">
        <f>VLOOKUP(A548,Sheet1!A:N,14,0)</f>
        <v>Turkish</v>
      </c>
      <c r="G548" s="19" t="str">
        <f>VLOOKUP(A548,Sheet1!A:O,15,0)</f>
        <v>Web Development</v>
      </c>
      <c r="H548" s="19">
        <f>VLOOKUP(A548,Sheet1!A:Q,17,0)</f>
        <v>20</v>
      </c>
      <c r="I548" s="20">
        <f>VLOOKUP(A548,Sheet1!A:V,22,0)</f>
        <v>100</v>
      </c>
      <c r="J548" s="21">
        <f>VLOOKUP(A548,Sheet1!A:X,24,0)</f>
        <v>2.5269607843137258</v>
      </c>
      <c r="K548" s="19" t="str">
        <f>VLOOKUP(A548,Sheet1!A:AB,28,0)</f>
        <v>Yes</v>
      </c>
      <c r="L548" s="27">
        <f>VLOOKUP(A548,Sheet1!A:AD,30,0)</f>
        <v>89</v>
      </c>
    </row>
    <row r="549" spans="1:12" x14ac:dyDescent="0.3">
      <c r="A549" s="14" t="s">
        <v>631</v>
      </c>
      <c r="B549" s="19" t="str">
        <f>VLOOKUP(A549,Sheet1!A:E,5,0)</f>
        <v>Barbara Keith</v>
      </c>
      <c r="C549" s="19" t="str">
        <f>VLOOKUP(A549,Sheet1!A:I,9,0)</f>
        <v>Female</v>
      </c>
      <c r="D549" s="19">
        <f>VLOOKUP(A549,Sheet1!A:K,11,0)</f>
        <v>39</v>
      </c>
      <c r="E549" s="19" t="str">
        <f>VLOOKUP(A549,Sheet1!A:M,13,0)</f>
        <v>Japan</v>
      </c>
      <c r="F549" s="19" t="str">
        <f>VLOOKUP(A549,Sheet1!A:N,14,0)</f>
        <v>Japanese</v>
      </c>
      <c r="G549" s="19" t="str">
        <f>VLOOKUP(A549,Sheet1!A:O,15,0)</f>
        <v>Web Development</v>
      </c>
      <c r="H549" s="19">
        <f>VLOOKUP(A549,Sheet1!A:Q,17,0)</f>
        <v>21</v>
      </c>
      <c r="I549" s="20">
        <f>VLOOKUP(A549,Sheet1!A:V,22,0)</f>
        <v>100</v>
      </c>
      <c r="J549" s="21">
        <f>VLOOKUP(A549,Sheet1!A:X,24,0)</f>
        <v>0</v>
      </c>
      <c r="K549" s="19" t="str">
        <f>VLOOKUP(A549,Sheet1!A:AB,28,0)</f>
        <v>No</v>
      </c>
      <c r="L549" s="27">
        <f>VLOOKUP(A549,Sheet1!A:AD,30,0)</f>
        <v>91</v>
      </c>
    </row>
    <row r="550" spans="1:12" x14ac:dyDescent="0.3">
      <c r="A550" s="14" t="s">
        <v>1690</v>
      </c>
      <c r="B550" s="19" t="str">
        <f>VLOOKUP(A550,Sheet1!A:E,5,0)</f>
        <v>Beth Young</v>
      </c>
      <c r="C550" s="19" t="str">
        <f>VLOOKUP(A550,Sheet1!A:I,9,0)</f>
        <v>Female</v>
      </c>
      <c r="D550" s="19">
        <f>VLOOKUP(A550,Sheet1!A:K,11,0)</f>
        <v>39</v>
      </c>
      <c r="E550" s="19" t="str">
        <f>VLOOKUP(A550,Sheet1!A:M,13,0)</f>
        <v>Spain</v>
      </c>
      <c r="F550" s="19" t="str">
        <f>VLOOKUP(A550,Sheet1!A:N,14,0)</f>
        <v>Spanish</v>
      </c>
      <c r="G550" s="19" t="str">
        <f>VLOOKUP(A550,Sheet1!A:O,15,0)</f>
        <v>Mobile Apps</v>
      </c>
      <c r="H550" s="19">
        <f>VLOOKUP(A550,Sheet1!A:Q,17,0)</f>
        <v>15</v>
      </c>
      <c r="I550" s="20">
        <f>VLOOKUP(A550,Sheet1!A:V,22,0)</f>
        <v>50</v>
      </c>
      <c r="J550" s="21">
        <f>VLOOKUP(A550,Sheet1!A:X,24,0)</f>
        <v>2.4697142857142862</v>
      </c>
      <c r="K550" s="19" t="str">
        <f>VLOOKUP(A550,Sheet1!A:AB,28,0)</f>
        <v>No</v>
      </c>
      <c r="L550" s="27">
        <f>VLOOKUP(A550,Sheet1!A:AD,30,0)</f>
        <v>80</v>
      </c>
    </row>
    <row r="551" spans="1:12" x14ac:dyDescent="0.3">
      <c r="A551" s="14" t="s">
        <v>841</v>
      </c>
      <c r="B551" s="19" t="str">
        <f>VLOOKUP(A551,Sheet1!A:E,5,0)</f>
        <v>Chelsea Anderson</v>
      </c>
      <c r="C551" s="19" t="str">
        <f>VLOOKUP(A551,Sheet1!A:I,9,0)</f>
        <v>Female</v>
      </c>
      <c r="D551" s="19">
        <f>VLOOKUP(A551,Sheet1!A:K,11,0)</f>
        <v>39</v>
      </c>
      <c r="E551" s="19" t="str">
        <f>VLOOKUP(A551,Sheet1!A:M,13,0)</f>
        <v>Netherlands</v>
      </c>
      <c r="F551" s="19" t="str">
        <f>VLOOKUP(A551,Sheet1!A:N,14,0)</f>
        <v>Dutch</v>
      </c>
      <c r="G551" s="19" t="str">
        <f>VLOOKUP(A551,Sheet1!A:O,15,0)</f>
        <v>Data Analysis</v>
      </c>
      <c r="H551" s="19">
        <f>VLOOKUP(A551,Sheet1!A:Q,17,0)</f>
        <v>13</v>
      </c>
      <c r="I551" s="20">
        <f>VLOOKUP(A551,Sheet1!A:V,22,0)</f>
        <v>30</v>
      </c>
      <c r="J551" s="21">
        <f>VLOOKUP(A551,Sheet1!A:X,24,0)</f>
        <v>1.1000000000000001</v>
      </c>
      <c r="K551" s="19" t="str">
        <f>VLOOKUP(A551,Sheet1!A:AB,28,0)</f>
        <v>Yes</v>
      </c>
      <c r="L551" s="27">
        <f>VLOOKUP(A551,Sheet1!A:AD,30,0)</f>
        <v>79.444444444444443</v>
      </c>
    </row>
    <row r="552" spans="1:12" x14ac:dyDescent="0.3">
      <c r="A552" s="14" t="s">
        <v>723</v>
      </c>
      <c r="B552" s="19" t="str">
        <f>VLOOKUP(A552,Sheet1!A:E,5,0)</f>
        <v>Dakota Giles</v>
      </c>
      <c r="C552" s="19" t="str">
        <f>VLOOKUP(A552,Sheet1!A:I,9,0)</f>
        <v>Male</v>
      </c>
      <c r="D552" s="19">
        <f>VLOOKUP(A552,Sheet1!A:K,11,0)</f>
        <v>39</v>
      </c>
      <c r="E552" s="19" t="str">
        <f>VLOOKUP(A552,Sheet1!A:M,13,0)</f>
        <v>Germany</v>
      </c>
      <c r="F552" s="19" t="str">
        <f>VLOOKUP(A552,Sheet1!A:N,14,0)</f>
        <v>German</v>
      </c>
      <c r="G552" s="19" t="str">
        <f>VLOOKUP(A552,Sheet1!A:O,15,0)</f>
        <v>Cybersecurity</v>
      </c>
      <c r="H552" s="19">
        <f>VLOOKUP(A552,Sheet1!A:Q,17,0)</f>
        <v>9</v>
      </c>
      <c r="I552" s="20">
        <f>VLOOKUP(A552,Sheet1!A:V,22,0)</f>
        <v>75</v>
      </c>
      <c r="J552" s="21">
        <f>VLOOKUP(A552,Sheet1!A:X,24,0)</f>
        <v>3.6</v>
      </c>
      <c r="K552" s="19" t="str">
        <f>VLOOKUP(A552,Sheet1!A:AB,28,0)</f>
        <v>Yes</v>
      </c>
      <c r="L552" s="27">
        <f>VLOOKUP(A552,Sheet1!A:AD,30,0)</f>
        <v>87</v>
      </c>
    </row>
    <row r="553" spans="1:12" x14ac:dyDescent="0.3">
      <c r="A553" s="14" t="s">
        <v>370</v>
      </c>
      <c r="B553" s="19" t="str">
        <f>VLOOKUP(A553,Sheet1!A:E,5,0)</f>
        <v>Donna Bailey</v>
      </c>
      <c r="C553" s="19" t="str">
        <f>VLOOKUP(A553,Sheet1!A:I,9,0)</f>
        <v>Female</v>
      </c>
      <c r="D553" s="19">
        <f>VLOOKUP(A553,Sheet1!A:K,11,0)</f>
        <v>39</v>
      </c>
      <c r="E553" s="19" t="str">
        <f>VLOOKUP(A553,Sheet1!A:M,13,0)</f>
        <v>France</v>
      </c>
      <c r="F553" s="19" t="str">
        <f>VLOOKUP(A553,Sheet1!A:N,14,0)</f>
        <v>French</v>
      </c>
      <c r="G553" s="19" t="str">
        <f>VLOOKUP(A553,Sheet1!A:O,15,0)</f>
        <v>Cybersecurity</v>
      </c>
      <c r="H553" s="19">
        <f>VLOOKUP(A553,Sheet1!A:Q,17,0)</f>
        <v>5</v>
      </c>
      <c r="I553" s="20">
        <f>VLOOKUP(A553,Sheet1!A:V,22,0)</f>
        <v>40</v>
      </c>
      <c r="J553" s="21">
        <f>VLOOKUP(A553,Sheet1!A:X,24,0)</f>
        <v>1.2</v>
      </c>
      <c r="K553" s="19" t="str">
        <f>VLOOKUP(A553,Sheet1!A:AB,28,0)</f>
        <v>No</v>
      </c>
      <c r="L553" s="27">
        <f>VLOOKUP(A553,Sheet1!A:AD,30,0)</f>
        <v>83</v>
      </c>
    </row>
    <row r="554" spans="1:12" x14ac:dyDescent="0.3">
      <c r="A554" s="14" t="s">
        <v>605</v>
      </c>
      <c r="B554" s="19" t="str">
        <f>VLOOKUP(A554,Sheet1!A:E,5,0)</f>
        <v>Elizabeth Walker</v>
      </c>
      <c r="C554" s="19" t="str">
        <f>VLOOKUP(A554,Sheet1!A:I,9,0)</f>
        <v>Female</v>
      </c>
      <c r="D554" s="19">
        <f>VLOOKUP(A554,Sheet1!A:K,11,0)</f>
        <v>39</v>
      </c>
      <c r="E554" s="19" t="str">
        <f>VLOOKUP(A554,Sheet1!A:M,13,0)</f>
        <v>South Korea</v>
      </c>
      <c r="F554" s="19" t="str">
        <f>VLOOKUP(A554,Sheet1!A:N,14,0)</f>
        <v>Korean</v>
      </c>
      <c r="G554" s="19" t="str">
        <f>VLOOKUP(A554,Sheet1!A:O,15,0)</f>
        <v>Data Analysis</v>
      </c>
      <c r="H554" s="19">
        <f>VLOOKUP(A554,Sheet1!A:Q,17,0)</f>
        <v>12</v>
      </c>
      <c r="I554" s="20">
        <f>VLOOKUP(A554,Sheet1!A:V,22,0)</f>
        <v>20</v>
      </c>
      <c r="J554" s="21">
        <f>VLOOKUP(A554,Sheet1!A:X,24,0)</f>
        <v>3.2</v>
      </c>
      <c r="K554" s="19" t="str">
        <f>VLOOKUP(A554,Sheet1!A:AB,28,0)</f>
        <v>Yes</v>
      </c>
      <c r="L554" s="27">
        <f>VLOOKUP(A554,Sheet1!A:AD,30,0)</f>
        <v>66</v>
      </c>
    </row>
    <row r="555" spans="1:12" x14ac:dyDescent="0.3">
      <c r="A555" s="14" t="s">
        <v>857</v>
      </c>
      <c r="B555" s="19" t="str">
        <f>VLOOKUP(A555,Sheet1!A:E,5,0)</f>
        <v>James Mills</v>
      </c>
      <c r="C555" s="19" t="str">
        <f>VLOOKUP(A555,Sheet1!A:I,9,0)</f>
        <v>Male</v>
      </c>
      <c r="D555" s="19">
        <f>VLOOKUP(A555,Sheet1!A:K,11,0)</f>
        <v>39</v>
      </c>
      <c r="E555" s="19" t="str">
        <f>VLOOKUP(A555,Sheet1!A:M,13,0)</f>
        <v>Spain</v>
      </c>
      <c r="F555" s="19" t="str">
        <f>VLOOKUP(A555,Sheet1!A:N,14,0)</f>
        <v>Spanish</v>
      </c>
      <c r="G555" s="19" t="str">
        <f>VLOOKUP(A555,Sheet1!A:O,15,0)</f>
        <v>Blockchain Development</v>
      </c>
      <c r="H555" s="19">
        <f>VLOOKUP(A555,Sheet1!A:Q,17,0)</f>
        <v>18</v>
      </c>
      <c r="I555" s="20">
        <f>VLOOKUP(A555,Sheet1!A:V,22,0)</f>
        <v>75</v>
      </c>
      <c r="J555" s="21">
        <f>VLOOKUP(A555,Sheet1!A:X,24,0)</f>
        <v>4</v>
      </c>
      <c r="K555" s="19" t="str">
        <f>VLOOKUP(A555,Sheet1!A:AB,28,0)</f>
        <v>Yes</v>
      </c>
      <c r="L555" s="27">
        <f>VLOOKUP(A555,Sheet1!A:AD,30,0)</f>
        <v>66</v>
      </c>
    </row>
    <row r="556" spans="1:12" x14ac:dyDescent="0.3">
      <c r="A556" s="14" t="s">
        <v>1554</v>
      </c>
      <c r="B556" s="19" t="str">
        <f>VLOOKUP(A556,Sheet1!A:E,5,0)</f>
        <v>Kyle Hall</v>
      </c>
      <c r="C556" s="19" t="str">
        <f>VLOOKUP(A556,Sheet1!A:I,9,0)</f>
        <v>Male</v>
      </c>
      <c r="D556" s="19">
        <f>VLOOKUP(A556,Sheet1!A:K,11,0)</f>
        <v>39</v>
      </c>
      <c r="E556" s="19" t="str">
        <f>VLOOKUP(A556,Sheet1!A:M,13,0)</f>
        <v>Germany</v>
      </c>
      <c r="F556" s="19" t="str">
        <f>VLOOKUP(A556,Sheet1!A:N,14,0)</f>
        <v>German</v>
      </c>
      <c r="G556" s="19" t="str">
        <f>VLOOKUP(A556,Sheet1!A:O,15,0)</f>
        <v>Web Development</v>
      </c>
      <c r="H556" s="19">
        <f>VLOOKUP(A556,Sheet1!A:Q,17,0)</f>
        <v>21</v>
      </c>
      <c r="I556" s="20">
        <f>VLOOKUP(A556,Sheet1!A:V,22,0)</f>
        <v>100</v>
      </c>
      <c r="J556" s="21">
        <f>VLOOKUP(A556,Sheet1!A:X,24,0)</f>
        <v>2.2000000000000002</v>
      </c>
      <c r="K556" s="19" t="str">
        <f>VLOOKUP(A556,Sheet1!A:AB,28,0)</f>
        <v>No</v>
      </c>
      <c r="L556" s="27">
        <f>VLOOKUP(A556,Sheet1!A:AD,30,0)</f>
        <v>79</v>
      </c>
    </row>
    <row r="557" spans="1:12" x14ac:dyDescent="0.3">
      <c r="A557" s="14" t="s">
        <v>97</v>
      </c>
      <c r="B557" s="19" t="str">
        <f>VLOOKUP(A557,Sheet1!A:E,5,0)</f>
        <v>Laura Johnson</v>
      </c>
      <c r="C557" s="19" t="str">
        <f>VLOOKUP(A557,Sheet1!A:I,9,0)</f>
        <v>Female</v>
      </c>
      <c r="D557" s="19">
        <f>VLOOKUP(A557,Sheet1!A:K,11,0)</f>
        <v>39</v>
      </c>
      <c r="E557" s="19" t="str">
        <f>VLOOKUP(A557,Sheet1!A:M,13,0)</f>
        <v>Australia</v>
      </c>
      <c r="F557" s="19" t="str">
        <f>VLOOKUP(A557,Sheet1!A:N,14,0)</f>
        <v>English</v>
      </c>
      <c r="G557" s="19" t="str">
        <f>VLOOKUP(A557,Sheet1!A:O,15,0)</f>
        <v>DevOps</v>
      </c>
      <c r="H557" s="19">
        <f>VLOOKUP(A557,Sheet1!A:Q,17,0)</f>
        <v>13</v>
      </c>
      <c r="I557" s="20">
        <f>VLOOKUP(A557,Sheet1!A:V,22,0)</f>
        <v>30</v>
      </c>
      <c r="J557" s="21">
        <f>VLOOKUP(A557,Sheet1!A:X,24,0)</f>
        <v>2.5</v>
      </c>
      <c r="K557" s="19" t="str">
        <f>VLOOKUP(A557,Sheet1!A:AB,28,0)</f>
        <v>No</v>
      </c>
      <c r="L557" s="27">
        <f>VLOOKUP(A557,Sheet1!A:AD,30,0)</f>
        <v>60</v>
      </c>
    </row>
    <row r="558" spans="1:12" x14ac:dyDescent="0.3">
      <c r="A558" s="14" t="s">
        <v>1714</v>
      </c>
      <c r="B558" s="19" t="str">
        <f>VLOOKUP(A558,Sheet1!A:E,5,0)</f>
        <v>Lindsay Potts</v>
      </c>
      <c r="C558" s="19" t="str">
        <f>VLOOKUP(A558,Sheet1!A:I,9,0)</f>
        <v>Female</v>
      </c>
      <c r="D558" s="19">
        <f>VLOOKUP(A558,Sheet1!A:K,11,0)</f>
        <v>39</v>
      </c>
      <c r="E558" s="19" t="str">
        <f>VLOOKUP(A558,Sheet1!A:M,13,0)</f>
        <v>Russia</v>
      </c>
      <c r="F558" s="19" t="str">
        <f>VLOOKUP(A558,Sheet1!A:N,14,0)</f>
        <v>Russian</v>
      </c>
      <c r="G558" s="19" t="str">
        <f>VLOOKUP(A558,Sheet1!A:O,15,0)</f>
        <v>Graphic Design</v>
      </c>
      <c r="H558" s="19">
        <f>VLOOKUP(A558,Sheet1!A:Q,17,0)</f>
        <v>20</v>
      </c>
      <c r="I558" s="20">
        <f>VLOOKUP(A558,Sheet1!A:V,22,0)</f>
        <v>75</v>
      </c>
      <c r="J558" s="21">
        <f>VLOOKUP(A558,Sheet1!A:X,24,0)</f>
        <v>2.7</v>
      </c>
      <c r="K558" s="19" t="str">
        <f>VLOOKUP(A558,Sheet1!A:AB,28,0)</f>
        <v>Yes</v>
      </c>
      <c r="L558" s="27">
        <f>VLOOKUP(A558,Sheet1!A:AD,30,0)</f>
        <v>67</v>
      </c>
    </row>
    <row r="559" spans="1:12" x14ac:dyDescent="0.3">
      <c r="A559" s="14" t="s">
        <v>1026</v>
      </c>
      <c r="B559" s="19" t="str">
        <f>VLOOKUP(A559,Sheet1!A:E,5,0)</f>
        <v>Mary Henry</v>
      </c>
      <c r="C559" s="19" t="str">
        <f>VLOOKUP(A559,Sheet1!A:I,9,0)</f>
        <v>Female</v>
      </c>
      <c r="D559" s="19">
        <f>VLOOKUP(A559,Sheet1!A:K,11,0)</f>
        <v>39</v>
      </c>
      <c r="E559" s="19" t="str">
        <f>VLOOKUP(A559,Sheet1!A:M,13,0)</f>
        <v>China</v>
      </c>
      <c r="F559" s="19" t="str">
        <f>VLOOKUP(A559,Sheet1!A:N,14,0)</f>
        <v>Mandarin</v>
      </c>
      <c r="G559" s="19" t="str">
        <f>VLOOKUP(A559,Sheet1!A:O,15,0)</f>
        <v>Blockchain Development</v>
      </c>
      <c r="H559" s="19">
        <f>VLOOKUP(A559,Sheet1!A:Q,17,0)</f>
        <v>11</v>
      </c>
      <c r="I559" s="20">
        <f>VLOOKUP(A559,Sheet1!A:V,22,0)</f>
        <v>100</v>
      </c>
      <c r="J559" s="21">
        <f>VLOOKUP(A559,Sheet1!A:X,24,0)</f>
        <v>2.8</v>
      </c>
      <c r="K559" s="19" t="str">
        <f>VLOOKUP(A559,Sheet1!A:AB,28,0)</f>
        <v>Unknown</v>
      </c>
      <c r="L559" s="27">
        <f>VLOOKUP(A559,Sheet1!A:AD,30,0)</f>
        <v>70</v>
      </c>
    </row>
    <row r="560" spans="1:12" x14ac:dyDescent="0.3">
      <c r="A560" s="14" t="s">
        <v>1818</v>
      </c>
      <c r="B560" s="19" t="str">
        <f>VLOOKUP(A560,Sheet1!A:E,5,0)</f>
        <v>Michelle Cook</v>
      </c>
      <c r="C560" s="19" t="str">
        <f>VLOOKUP(A560,Sheet1!A:I,9,0)</f>
        <v>Female</v>
      </c>
      <c r="D560" s="19">
        <f>VLOOKUP(A560,Sheet1!A:K,11,0)</f>
        <v>39</v>
      </c>
      <c r="E560" s="19" t="str">
        <f>VLOOKUP(A560,Sheet1!A:M,13,0)</f>
        <v>Brazil</v>
      </c>
      <c r="F560" s="19" t="str">
        <f>VLOOKUP(A560,Sheet1!A:N,14,0)</f>
        <v>Portuguese</v>
      </c>
      <c r="G560" s="19" t="str">
        <f>VLOOKUP(A560,Sheet1!A:O,15,0)</f>
        <v>Mobile Apps</v>
      </c>
      <c r="H560" s="19">
        <f>VLOOKUP(A560,Sheet1!A:Q,17,0)</f>
        <v>18</v>
      </c>
      <c r="I560" s="20">
        <f>VLOOKUP(A560,Sheet1!A:V,22,0)</f>
        <v>20</v>
      </c>
      <c r="J560" s="21">
        <f>VLOOKUP(A560,Sheet1!A:X,24,0)</f>
        <v>2.5</v>
      </c>
      <c r="K560" s="19" t="str">
        <f>VLOOKUP(A560,Sheet1!A:AB,28,0)</f>
        <v>Yes</v>
      </c>
      <c r="L560" s="27">
        <f>VLOOKUP(A560,Sheet1!A:AD,30,0)</f>
        <v>61</v>
      </c>
    </row>
    <row r="561" spans="1:12" x14ac:dyDescent="0.3">
      <c r="A561" s="14" t="s">
        <v>493</v>
      </c>
      <c r="B561" s="19" t="str">
        <f>VLOOKUP(A561,Sheet1!A:E,5,0)</f>
        <v>Nicole Meyers</v>
      </c>
      <c r="C561" s="19" t="str">
        <f>VLOOKUP(A561,Sheet1!A:I,9,0)</f>
        <v>Female</v>
      </c>
      <c r="D561" s="19">
        <f>VLOOKUP(A561,Sheet1!A:K,11,0)</f>
        <v>39</v>
      </c>
      <c r="E561" s="19" t="str">
        <f>VLOOKUP(A561,Sheet1!A:M,13,0)</f>
        <v>Argentina</v>
      </c>
      <c r="F561" s="19" t="str">
        <f>VLOOKUP(A561,Sheet1!A:N,14,0)</f>
        <v>Spanish</v>
      </c>
      <c r="G561" s="19" t="str">
        <f>VLOOKUP(A561,Sheet1!A:O,15,0)</f>
        <v>Data Analysis</v>
      </c>
      <c r="H561" s="19">
        <f>VLOOKUP(A561,Sheet1!A:Q,17,0)</f>
        <v>11</v>
      </c>
      <c r="I561" s="20">
        <f>VLOOKUP(A561,Sheet1!A:V,22,0)</f>
        <v>100</v>
      </c>
      <c r="J561" s="21">
        <f>VLOOKUP(A561,Sheet1!A:X,24,0)</f>
        <v>3.5</v>
      </c>
      <c r="K561" s="19" t="str">
        <f>VLOOKUP(A561,Sheet1!A:AB,28,0)</f>
        <v>Yes</v>
      </c>
      <c r="L561" s="27">
        <f>VLOOKUP(A561,Sheet1!A:AD,30,0)</f>
        <v>82</v>
      </c>
    </row>
    <row r="562" spans="1:12" x14ac:dyDescent="0.3">
      <c r="A562" s="14" t="s">
        <v>863</v>
      </c>
      <c r="B562" s="19" t="str">
        <f>VLOOKUP(A562,Sheet1!A:E,5,0)</f>
        <v>Renee Arnold</v>
      </c>
      <c r="C562" s="19" t="str">
        <f>VLOOKUP(A562,Sheet1!A:I,9,0)</f>
        <v>Female</v>
      </c>
      <c r="D562" s="19">
        <f>VLOOKUP(A562,Sheet1!A:K,11,0)</f>
        <v>39</v>
      </c>
      <c r="E562" s="19" t="str">
        <f>VLOOKUP(A562,Sheet1!A:M,13,0)</f>
        <v>Mexico</v>
      </c>
      <c r="F562" s="19" t="str">
        <f>VLOOKUP(A562,Sheet1!A:N,14,0)</f>
        <v>Spanish</v>
      </c>
      <c r="G562" s="19" t="str">
        <f>VLOOKUP(A562,Sheet1!A:O,15,0)</f>
        <v>Blockchain Development</v>
      </c>
      <c r="H562" s="19">
        <f>VLOOKUP(A562,Sheet1!A:Q,17,0)</f>
        <v>21</v>
      </c>
      <c r="I562" s="20">
        <f>VLOOKUP(A562,Sheet1!A:V,22,0)</f>
        <v>30</v>
      </c>
      <c r="J562" s="21">
        <f>VLOOKUP(A562,Sheet1!A:X,24,0)</f>
        <v>4.7</v>
      </c>
      <c r="K562" s="19" t="str">
        <f>VLOOKUP(A562,Sheet1!A:AB,28,0)</f>
        <v>No</v>
      </c>
      <c r="L562" s="27">
        <f>VLOOKUP(A562,Sheet1!A:AD,30,0)</f>
        <v>61</v>
      </c>
    </row>
    <row r="563" spans="1:12" x14ac:dyDescent="0.3">
      <c r="A563" s="14" t="s">
        <v>529</v>
      </c>
      <c r="B563" s="19" t="str">
        <f>VLOOKUP(A563,Sheet1!A:E,5,0)</f>
        <v>Robert Evans</v>
      </c>
      <c r="C563" s="19" t="str">
        <f>VLOOKUP(A563,Sheet1!A:I,9,0)</f>
        <v>Male</v>
      </c>
      <c r="D563" s="19">
        <f>VLOOKUP(A563,Sheet1!A:K,11,0)</f>
        <v>39</v>
      </c>
      <c r="E563" s="19" t="str">
        <f>VLOOKUP(A563,Sheet1!A:M,13,0)</f>
        <v>South Korea</v>
      </c>
      <c r="F563" s="19" t="str">
        <f>VLOOKUP(A563,Sheet1!A:N,14,0)</f>
        <v>Korean</v>
      </c>
      <c r="G563" s="19" t="str">
        <f>VLOOKUP(A563,Sheet1!A:O,15,0)</f>
        <v>Web Development</v>
      </c>
      <c r="H563" s="19">
        <f>VLOOKUP(A563,Sheet1!A:Q,17,0)</f>
        <v>14</v>
      </c>
      <c r="I563" s="20">
        <f>VLOOKUP(A563,Sheet1!A:V,22,0)</f>
        <v>100</v>
      </c>
      <c r="J563" s="21">
        <f>VLOOKUP(A563,Sheet1!A:X,24,0)</f>
        <v>0</v>
      </c>
      <c r="K563" s="19" t="str">
        <f>VLOOKUP(A563,Sheet1!A:AB,28,0)</f>
        <v>Yes</v>
      </c>
      <c r="L563" s="27">
        <f>VLOOKUP(A563,Sheet1!A:AD,30,0)</f>
        <v>92</v>
      </c>
    </row>
    <row r="564" spans="1:12" x14ac:dyDescent="0.3">
      <c r="A564" s="14" t="s">
        <v>1887</v>
      </c>
      <c r="B564" s="19" t="str">
        <f>VLOOKUP(A564,Sheet1!A:E,5,0)</f>
        <v>Robin Walsh</v>
      </c>
      <c r="C564" s="19" t="str">
        <f>VLOOKUP(A564,Sheet1!A:I,9,0)</f>
        <v>Female</v>
      </c>
      <c r="D564" s="19">
        <f>VLOOKUP(A564,Sheet1!A:K,11,0)</f>
        <v>39</v>
      </c>
      <c r="E564" s="19" t="str">
        <f>VLOOKUP(A564,Sheet1!A:M,13,0)</f>
        <v>Indonesia</v>
      </c>
      <c r="F564" s="19" t="str">
        <f>VLOOKUP(A564,Sheet1!A:N,14,0)</f>
        <v>Indonesian</v>
      </c>
      <c r="G564" s="19" t="str">
        <f>VLOOKUP(A564,Sheet1!A:O,15,0)</f>
        <v>UI/UX Design</v>
      </c>
      <c r="H564" s="19">
        <f>VLOOKUP(A564,Sheet1!A:Q,17,0)</f>
        <v>18</v>
      </c>
      <c r="I564" s="20">
        <f>VLOOKUP(A564,Sheet1!A:V,22,0)</f>
        <v>50</v>
      </c>
      <c r="J564" s="21">
        <f>VLOOKUP(A564,Sheet1!A:X,24,0)</f>
        <v>2.1</v>
      </c>
      <c r="K564" s="19" t="str">
        <f>VLOOKUP(A564,Sheet1!A:AB,28,0)</f>
        <v>No</v>
      </c>
      <c r="L564" s="27">
        <f>VLOOKUP(A564,Sheet1!A:AD,30,0)</f>
        <v>75</v>
      </c>
    </row>
    <row r="565" spans="1:12" x14ac:dyDescent="0.3">
      <c r="A565" s="14" t="s">
        <v>36</v>
      </c>
      <c r="B565" s="19" t="str">
        <f>VLOOKUP(A565,Sheet1!A:E,5,0)</f>
        <v>Amanda Spencer</v>
      </c>
      <c r="C565" s="19" t="str">
        <f>VLOOKUP(A565,Sheet1!A:I,9,0)</f>
        <v>Female</v>
      </c>
      <c r="D565" s="19">
        <f>VLOOKUP(A565,Sheet1!A:K,11,0)</f>
        <v>38</v>
      </c>
      <c r="E565" s="19" t="str">
        <f>VLOOKUP(A565,Sheet1!A:M,13,0)</f>
        <v>Australia</v>
      </c>
      <c r="F565" s="19" t="str">
        <f>VLOOKUP(A565,Sheet1!A:N,14,0)</f>
        <v>English</v>
      </c>
      <c r="G565" s="19" t="str">
        <f>VLOOKUP(A565,Sheet1!A:O,15,0)</f>
        <v>Web Development</v>
      </c>
      <c r="H565" s="19">
        <f>VLOOKUP(A565,Sheet1!A:Q,17,0)</f>
        <v>4</v>
      </c>
      <c r="I565" s="20">
        <f>VLOOKUP(A565,Sheet1!A:V,22,0)</f>
        <v>40</v>
      </c>
      <c r="J565" s="21">
        <f>VLOOKUP(A565,Sheet1!A:X,24,0)</f>
        <v>1.5</v>
      </c>
      <c r="K565" s="19" t="str">
        <f>VLOOKUP(A565,Sheet1!A:AB,28,0)</f>
        <v>No</v>
      </c>
      <c r="L565" s="27">
        <f>VLOOKUP(A565,Sheet1!A:AD,30,0)</f>
        <v>90</v>
      </c>
    </row>
    <row r="566" spans="1:12" x14ac:dyDescent="0.3">
      <c r="A566" s="14" t="s">
        <v>402</v>
      </c>
      <c r="B566" s="19" t="str">
        <f>VLOOKUP(A566,Sheet1!A:E,5,0)</f>
        <v>Anne Edwards</v>
      </c>
      <c r="C566" s="19" t="str">
        <f>VLOOKUP(A566,Sheet1!A:I,9,0)</f>
        <v>Female</v>
      </c>
      <c r="D566" s="19">
        <f>VLOOKUP(A566,Sheet1!A:K,11,0)</f>
        <v>38</v>
      </c>
      <c r="E566" s="19" t="str">
        <f>VLOOKUP(A566,Sheet1!A:M,13,0)</f>
        <v>Japan</v>
      </c>
      <c r="F566" s="19" t="str">
        <f>VLOOKUP(A566,Sheet1!A:N,14,0)</f>
        <v>Japanese</v>
      </c>
      <c r="G566" s="19" t="str">
        <f>VLOOKUP(A566,Sheet1!A:O,15,0)</f>
        <v>DevOps</v>
      </c>
      <c r="H566" s="19">
        <f>VLOOKUP(A566,Sheet1!A:Q,17,0)</f>
        <v>20</v>
      </c>
      <c r="I566" s="20">
        <f>VLOOKUP(A566,Sheet1!A:V,22,0)</f>
        <v>75</v>
      </c>
      <c r="J566" s="21">
        <f>VLOOKUP(A566,Sheet1!A:X,24,0)</f>
        <v>1.1000000000000001</v>
      </c>
      <c r="K566" s="19" t="str">
        <f>VLOOKUP(A566,Sheet1!A:AB,28,0)</f>
        <v>No</v>
      </c>
      <c r="L566" s="27">
        <f>VLOOKUP(A566,Sheet1!A:AD,30,0)</f>
        <v>71</v>
      </c>
    </row>
    <row r="567" spans="1:12" x14ac:dyDescent="0.3">
      <c r="A567" s="14" t="s">
        <v>269</v>
      </c>
      <c r="B567" s="19" t="str">
        <f>VLOOKUP(A567,Sheet1!A:E,5,0)</f>
        <v>Briana Smith</v>
      </c>
      <c r="C567" s="19" t="str">
        <f>VLOOKUP(A567,Sheet1!A:I,9,0)</f>
        <v>Female</v>
      </c>
      <c r="D567" s="19">
        <f>VLOOKUP(A567,Sheet1!A:K,11,0)</f>
        <v>38</v>
      </c>
      <c r="E567" s="19" t="str">
        <f>VLOOKUP(A567,Sheet1!A:M,13,0)</f>
        <v>Mexico</v>
      </c>
      <c r="F567" s="19" t="str">
        <f>VLOOKUP(A567,Sheet1!A:N,14,0)</f>
        <v>Spanish</v>
      </c>
      <c r="G567" s="19" t="str">
        <f>VLOOKUP(A567,Sheet1!A:O,15,0)</f>
        <v>Web Development</v>
      </c>
      <c r="H567" s="19">
        <f>VLOOKUP(A567,Sheet1!A:Q,17,0)</f>
        <v>19</v>
      </c>
      <c r="I567" s="20">
        <f>VLOOKUP(A567,Sheet1!A:V,22,0)</f>
        <v>75</v>
      </c>
      <c r="J567" s="21">
        <f>VLOOKUP(A567,Sheet1!A:X,24,0)</f>
        <v>2.2999999999999998</v>
      </c>
      <c r="K567" s="19" t="str">
        <f>VLOOKUP(A567,Sheet1!A:AB,28,0)</f>
        <v>No</v>
      </c>
      <c r="L567" s="27">
        <f>VLOOKUP(A567,Sheet1!A:AD,30,0)</f>
        <v>61</v>
      </c>
    </row>
    <row r="568" spans="1:12" x14ac:dyDescent="0.3">
      <c r="A568" s="14" t="s">
        <v>1956</v>
      </c>
      <c r="B568" s="19" t="str">
        <f>VLOOKUP(A568,Sheet1!A:E,5,0)</f>
        <v>Deborah Kelley</v>
      </c>
      <c r="C568" s="19" t="str">
        <f>VLOOKUP(A568,Sheet1!A:I,9,0)</f>
        <v>Female</v>
      </c>
      <c r="D568" s="19">
        <f>VLOOKUP(A568,Sheet1!A:K,11,0)</f>
        <v>38</v>
      </c>
      <c r="E568" s="19" t="str">
        <f>VLOOKUP(A568,Sheet1!A:M,13,0)</f>
        <v>Mexico</v>
      </c>
      <c r="F568" s="19" t="str">
        <f>VLOOKUP(A568,Sheet1!A:N,14,0)</f>
        <v>Spanish</v>
      </c>
      <c r="G568" s="19" t="str">
        <f>VLOOKUP(A568,Sheet1!A:O,15,0)</f>
        <v>Mobile Apps</v>
      </c>
      <c r="H568" s="19">
        <f>VLOOKUP(A568,Sheet1!A:Q,17,0)</f>
        <v>11</v>
      </c>
      <c r="I568" s="20">
        <f>VLOOKUP(A568,Sheet1!A:V,22,0)</f>
        <v>54.032258064516128</v>
      </c>
      <c r="J568" s="21">
        <f>VLOOKUP(A568,Sheet1!A:X,24,0)</f>
        <v>2.8</v>
      </c>
      <c r="K568" s="19" t="str">
        <f>VLOOKUP(A568,Sheet1!A:AB,28,0)</f>
        <v>Unknown</v>
      </c>
      <c r="L568" s="27">
        <f>VLOOKUP(A568,Sheet1!A:AD,30,0)</f>
        <v>91</v>
      </c>
    </row>
    <row r="569" spans="1:12" x14ac:dyDescent="0.3">
      <c r="A569" s="14" t="s">
        <v>1770</v>
      </c>
      <c r="B569" s="19" t="str">
        <f>VLOOKUP(A569,Sheet1!A:E,5,0)</f>
        <v>Emily Scott</v>
      </c>
      <c r="C569" s="19" t="str">
        <f>VLOOKUP(A569,Sheet1!A:I,9,0)</f>
        <v>Female</v>
      </c>
      <c r="D569" s="19">
        <f>VLOOKUP(A569,Sheet1!A:K,11,0)</f>
        <v>38</v>
      </c>
      <c r="E569" s="19" t="str">
        <f>VLOOKUP(A569,Sheet1!A:M,13,0)</f>
        <v>South Africa</v>
      </c>
      <c r="F569" s="19" t="str">
        <f>VLOOKUP(A569,Sheet1!A:N,14,0)</f>
        <v>Afrikaans</v>
      </c>
      <c r="G569" s="19" t="str">
        <f>VLOOKUP(A569,Sheet1!A:O,15,0)</f>
        <v>Mobile Apps</v>
      </c>
      <c r="H569" s="19">
        <f>VLOOKUP(A569,Sheet1!A:Q,17,0)</f>
        <v>14</v>
      </c>
      <c r="I569" s="20">
        <f>VLOOKUP(A569,Sheet1!A:V,22,0)</f>
        <v>54.664429530201339</v>
      </c>
      <c r="J569" s="21">
        <f>VLOOKUP(A569,Sheet1!A:X,24,0)</f>
        <v>1.1000000000000001</v>
      </c>
      <c r="K569" s="19" t="str">
        <f>VLOOKUP(A569,Sheet1!A:AB,28,0)</f>
        <v>Yes</v>
      </c>
      <c r="L569" s="27">
        <f>VLOOKUP(A569,Sheet1!A:AD,30,0)</f>
        <v>76</v>
      </c>
    </row>
    <row r="570" spans="1:12" x14ac:dyDescent="0.3">
      <c r="A570" s="14" t="s">
        <v>927</v>
      </c>
      <c r="B570" s="19" t="str">
        <f>VLOOKUP(A570,Sheet1!A:E,5,0)</f>
        <v>Jason Carter</v>
      </c>
      <c r="C570" s="19" t="str">
        <f>VLOOKUP(A570,Sheet1!A:I,9,0)</f>
        <v>Male</v>
      </c>
      <c r="D570" s="19">
        <f>VLOOKUP(A570,Sheet1!A:K,11,0)</f>
        <v>38</v>
      </c>
      <c r="E570" s="19" t="str">
        <f>VLOOKUP(A570,Sheet1!A:M,13,0)</f>
        <v>Mexico</v>
      </c>
      <c r="F570" s="19" t="str">
        <f>VLOOKUP(A570,Sheet1!A:N,14,0)</f>
        <v>Spanish</v>
      </c>
      <c r="G570" s="19" t="str">
        <f>VLOOKUP(A570,Sheet1!A:O,15,0)</f>
        <v>Data Analysis</v>
      </c>
      <c r="H570" s="19">
        <f>VLOOKUP(A570,Sheet1!A:Q,17,0)</f>
        <v>9</v>
      </c>
      <c r="I570" s="20">
        <f>VLOOKUP(A570,Sheet1!A:V,22,0)</f>
        <v>50</v>
      </c>
      <c r="J570" s="21">
        <f>VLOOKUP(A570,Sheet1!A:X,24,0)</f>
        <v>0</v>
      </c>
      <c r="K570" s="19" t="str">
        <f>VLOOKUP(A570,Sheet1!A:AB,28,0)</f>
        <v>No</v>
      </c>
      <c r="L570" s="27">
        <f>VLOOKUP(A570,Sheet1!A:AD,30,0)</f>
        <v>74</v>
      </c>
    </row>
    <row r="571" spans="1:12" x14ac:dyDescent="0.3">
      <c r="A571" s="14" t="s">
        <v>1480</v>
      </c>
      <c r="B571" s="19" t="str">
        <f>VLOOKUP(A571,Sheet1!A:E,5,0)</f>
        <v>Jon Jones</v>
      </c>
      <c r="C571" s="19" t="str">
        <f>VLOOKUP(A571,Sheet1!A:I,9,0)</f>
        <v>Male</v>
      </c>
      <c r="D571" s="19">
        <f>VLOOKUP(A571,Sheet1!A:K,11,0)</f>
        <v>38</v>
      </c>
      <c r="E571" s="19" t="str">
        <f>VLOOKUP(A571,Sheet1!A:M,13,0)</f>
        <v>India</v>
      </c>
      <c r="F571" s="19" t="str">
        <f>VLOOKUP(A571,Sheet1!A:N,14,0)</f>
        <v>Hindi</v>
      </c>
      <c r="G571" s="19" t="str">
        <f>VLOOKUP(A571,Sheet1!A:O,15,0)</f>
        <v>Mobile Apps</v>
      </c>
      <c r="H571" s="19">
        <f>VLOOKUP(A571,Sheet1!A:Q,17,0)</f>
        <v>1</v>
      </c>
      <c r="I571" s="20">
        <f>VLOOKUP(A571,Sheet1!A:V,22,0)</f>
        <v>40</v>
      </c>
      <c r="J571" s="21">
        <f>VLOOKUP(A571,Sheet1!A:X,24,0)</f>
        <v>0</v>
      </c>
      <c r="K571" s="19" t="str">
        <f>VLOOKUP(A571,Sheet1!A:AB,28,0)</f>
        <v>No</v>
      </c>
      <c r="L571" s="27">
        <f>VLOOKUP(A571,Sheet1!A:AD,30,0)</f>
        <v>96</v>
      </c>
    </row>
    <row r="572" spans="1:12" x14ac:dyDescent="0.3">
      <c r="A572" s="14" t="s">
        <v>1145</v>
      </c>
      <c r="B572" s="19" t="str">
        <f>VLOOKUP(A572,Sheet1!A:E,5,0)</f>
        <v>Kristi Knight</v>
      </c>
      <c r="C572" s="19" t="str">
        <f>VLOOKUP(A572,Sheet1!A:I,9,0)</f>
        <v>Female</v>
      </c>
      <c r="D572" s="19">
        <f>VLOOKUP(A572,Sheet1!A:K,11,0)</f>
        <v>38</v>
      </c>
      <c r="E572" s="19" t="str">
        <f>VLOOKUP(A572,Sheet1!A:M,13,0)</f>
        <v>Italy</v>
      </c>
      <c r="F572" s="19" t="str">
        <f>VLOOKUP(A572,Sheet1!A:N,14,0)</f>
        <v>Italian</v>
      </c>
      <c r="G572" s="19" t="str">
        <f>VLOOKUP(A572,Sheet1!A:O,15,0)</f>
        <v>Data Analysis</v>
      </c>
      <c r="H572" s="19">
        <f>VLOOKUP(A572,Sheet1!A:Q,17,0)</f>
        <v>18</v>
      </c>
      <c r="I572" s="20">
        <f>VLOOKUP(A572,Sheet1!A:V,22,0)</f>
        <v>40</v>
      </c>
      <c r="J572" s="21">
        <f>VLOOKUP(A572,Sheet1!A:X,24,0)</f>
        <v>4.9000000000000004</v>
      </c>
      <c r="K572" s="19" t="str">
        <f>VLOOKUP(A572,Sheet1!A:AB,28,0)</f>
        <v>No</v>
      </c>
      <c r="L572" s="27">
        <f>VLOOKUP(A572,Sheet1!A:AD,30,0)</f>
        <v>74</v>
      </c>
    </row>
    <row r="573" spans="1:12" x14ac:dyDescent="0.3">
      <c r="A573" s="14" t="s">
        <v>1865</v>
      </c>
      <c r="B573" s="19" t="str">
        <f>VLOOKUP(A573,Sheet1!A:E,5,0)</f>
        <v>Kyle Ray</v>
      </c>
      <c r="C573" s="19" t="str">
        <f>VLOOKUP(A573,Sheet1!A:I,9,0)</f>
        <v>Male</v>
      </c>
      <c r="D573" s="19">
        <f>VLOOKUP(A573,Sheet1!A:K,11,0)</f>
        <v>38</v>
      </c>
      <c r="E573" s="19" t="str">
        <f>VLOOKUP(A573,Sheet1!A:M,13,0)</f>
        <v>Italy</v>
      </c>
      <c r="F573" s="19" t="str">
        <f>VLOOKUP(A573,Sheet1!A:N,14,0)</f>
        <v>Italian</v>
      </c>
      <c r="G573" s="19" t="str">
        <f>VLOOKUP(A573,Sheet1!A:O,15,0)</f>
        <v>Web Development</v>
      </c>
      <c r="H573" s="19">
        <f>VLOOKUP(A573,Sheet1!A:Q,17,0)</f>
        <v>14</v>
      </c>
      <c r="I573" s="20">
        <f>VLOOKUP(A573,Sheet1!A:V,22,0)</f>
        <v>75</v>
      </c>
      <c r="J573" s="21">
        <f>VLOOKUP(A573,Sheet1!A:X,24,0)</f>
        <v>1.5</v>
      </c>
      <c r="K573" s="19" t="str">
        <f>VLOOKUP(A573,Sheet1!A:AB,28,0)</f>
        <v>No</v>
      </c>
      <c r="L573" s="27">
        <f>VLOOKUP(A573,Sheet1!A:AD,30,0)</f>
        <v>62</v>
      </c>
    </row>
    <row r="574" spans="1:12" x14ac:dyDescent="0.3">
      <c r="A574" s="14" t="s">
        <v>1948</v>
      </c>
      <c r="B574" s="19" t="str">
        <f>VLOOKUP(A574,Sheet1!A:E,5,0)</f>
        <v>Lauren Lowery</v>
      </c>
      <c r="C574" s="19" t="str">
        <f>VLOOKUP(A574,Sheet1!A:I,9,0)</f>
        <v>Female</v>
      </c>
      <c r="D574" s="19">
        <f>VLOOKUP(A574,Sheet1!A:K,11,0)</f>
        <v>38</v>
      </c>
      <c r="E574" s="19" t="str">
        <f>VLOOKUP(A574,Sheet1!A:M,13,0)</f>
        <v>Turkey</v>
      </c>
      <c r="F574" s="19" t="str">
        <f>VLOOKUP(A574,Sheet1!A:N,14,0)</f>
        <v>Turkish</v>
      </c>
      <c r="G574" s="19" t="str">
        <f>VLOOKUP(A574,Sheet1!A:O,15,0)</f>
        <v>Web Development</v>
      </c>
      <c r="H574" s="19">
        <f>VLOOKUP(A574,Sheet1!A:Q,17,0)</f>
        <v>14</v>
      </c>
      <c r="I574" s="20">
        <f>VLOOKUP(A574,Sheet1!A:V,22,0)</f>
        <v>100</v>
      </c>
      <c r="J574" s="21">
        <f>VLOOKUP(A574,Sheet1!A:X,24,0)</f>
        <v>1.7</v>
      </c>
      <c r="K574" s="19" t="str">
        <f>VLOOKUP(A574,Sheet1!A:AB,28,0)</f>
        <v>No</v>
      </c>
      <c r="L574" s="27">
        <f>VLOOKUP(A574,Sheet1!A:AD,30,0)</f>
        <v>66</v>
      </c>
    </row>
    <row r="575" spans="1:12" x14ac:dyDescent="0.3">
      <c r="A575" s="14" t="s">
        <v>2040</v>
      </c>
      <c r="B575" s="19" t="str">
        <f>VLOOKUP(A575,Sheet1!A:E,5,0)</f>
        <v>Lisa Hickman</v>
      </c>
      <c r="C575" s="19" t="str">
        <f>VLOOKUP(A575,Sheet1!A:I,9,0)</f>
        <v>Female</v>
      </c>
      <c r="D575" s="19">
        <f>VLOOKUP(A575,Sheet1!A:K,11,0)</f>
        <v>38</v>
      </c>
      <c r="E575" s="19" t="str">
        <f>VLOOKUP(A575,Sheet1!A:M,13,0)</f>
        <v>Russia</v>
      </c>
      <c r="F575" s="19" t="str">
        <f>VLOOKUP(A575,Sheet1!A:N,14,0)</f>
        <v>Russian</v>
      </c>
      <c r="G575" s="19" t="str">
        <f>VLOOKUP(A575,Sheet1!A:O,15,0)</f>
        <v>DevOps</v>
      </c>
      <c r="H575" s="19">
        <f>VLOOKUP(A575,Sheet1!A:Q,17,0)</f>
        <v>7</v>
      </c>
      <c r="I575" s="20">
        <f>VLOOKUP(A575,Sheet1!A:V,22,0)</f>
        <v>75</v>
      </c>
      <c r="J575" s="21">
        <f>VLOOKUP(A575,Sheet1!A:X,24,0)</f>
        <v>2.6142857142857143</v>
      </c>
      <c r="K575" s="19" t="str">
        <f>VLOOKUP(A575,Sheet1!A:AB,28,0)</f>
        <v>No</v>
      </c>
      <c r="L575" s="27">
        <f>VLOOKUP(A575,Sheet1!A:AD,30,0)</f>
        <v>78.272727272727266</v>
      </c>
    </row>
    <row r="576" spans="1:12" x14ac:dyDescent="0.3">
      <c r="A576" s="14" t="s">
        <v>1231</v>
      </c>
      <c r="B576" s="19" t="str">
        <f>VLOOKUP(A576,Sheet1!A:E,5,0)</f>
        <v>Margaret Perkins</v>
      </c>
      <c r="C576" s="19" t="str">
        <f>VLOOKUP(A576,Sheet1!A:I,9,0)</f>
        <v>Female</v>
      </c>
      <c r="D576" s="19">
        <f>VLOOKUP(A576,Sheet1!A:K,11,0)</f>
        <v>38</v>
      </c>
      <c r="E576" s="19" t="str">
        <f>VLOOKUP(A576,Sheet1!A:M,13,0)</f>
        <v>Canada</v>
      </c>
      <c r="F576" s="19" t="str">
        <f>VLOOKUP(A576,Sheet1!A:N,14,0)</f>
        <v>English</v>
      </c>
      <c r="G576" s="19" t="str">
        <f>VLOOKUP(A576,Sheet1!A:O,15,0)</f>
        <v>UI/UX Design</v>
      </c>
      <c r="H576" s="19">
        <f>VLOOKUP(A576,Sheet1!A:Q,17,0)</f>
        <v>3</v>
      </c>
      <c r="I576" s="20">
        <f>VLOOKUP(A576,Sheet1!A:V,22,0)</f>
        <v>40</v>
      </c>
      <c r="J576" s="21">
        <f>VLOOKUP(A576,Sheet1!A:X,24,0)</f>
        <v>4.7</v>
      </c>
      <c r="K576" s="19" t="str">
        <f>VLOOKUP(A576,Sheet1!A:AB,28,0)</f>
        <v>No</v>
      </c>
      <c r="L576" s="27">
        <f>VLOOKUP(A576,Sheet1!A:AD,30,0)</f>
        <v>69</v>
      </c>
    </row>
    <row r="577" spans="1:12" x14ac:dyDescent="0.3">
      <c r="A577" s="14" t="s">
        <v>687</v>
      </c>
      <c r="B577" s="19" t="str">
        <f>VLOOKUP(A577,Sheet1!A:E,5,0)</f>
        <v>Mark Thompson</v>
      </c>
      <c r="C577" s="19" t="str">
        <f>VLOOKUP(A577,Sheet1!A:I,9,0)</f>
        <v>Male</v>
      </c>
      <c r="D577" s="19">
        <f>VLOOKUP(A577,Sheet1!A:K,11,0)</f>
        <v>38</v>
      </c>
      <c r="E577" s="19" t="str">
        <f>VLOOKUP(A577,Sheet1!A:M,13,0)</f>
        <v>South Africa</v>
      </c>
      <c r="F577" s="19" t="str">
        <f>VLOOKUP(A577,Sheet1!A:N,14,0)</f>
        <v>Afrikaans</v>
      </c>
      <c r="G577" s="19" t="str">
        <f>VLOOKUP(A577,Sheet1!A:O,15,0)</f>
        <v>Data Analysis</v>
      </c>
      <c r="H577" s="19">
        <f>VLOOKUP(A577,Sheet1!A:Q,17,0)</f>
        <v>3</v>
      </c>
      <c r="I577" s="20">
        <f>VLOOKUP(A577,Sheet1!A:V,22,0)</f>
        <v>100</v>
      </c>
      <c r="J577" s="21">
        <f>VLOOKUP(A577,Sheet1!A:X,24,0)</f>
        <v>1.4</v>
      </c>
      <c r="K577" s="19" t="str">
        <f>VLOOKUP(A577,Sheet1!A:AB,28,0)</f>
        <v>No</v>
      </c>
      <c r="L577" s="27">
        <f>VLOOKUP(A577,Sheet1!A:AD,30,0)</f>
        <v>73</v>
      </c>
    </row>
    <row r="578" spans="1:12" x14ac:dyDescent="0.3">
      <c r="A578" s="14" t="s">
        <v>208</v>
      </c>
      <c r="B578" s="19" t="str">
        <f>VLOOKUP(A578,Sheet1!A:E,5,0)</f>
        <v>Mark Wright</v>
      </c>
      <c r="C578" s="19" t="str">
        <f>VLOOKUP(A578,Sheet1!A:I,9,0)</f>
        <v>Male</v>
      </c>
      <c r="D578" s="19">
        <f>VLOOKUP(A578,Sheet1!A:K,11,0)</f>
        <v>38</v>
      </c>
      <c r="E578" s="19" t="str">
        <f>VLOOKUP(A578,Sheet1!A:M,13,0)</f>
        <v>Canada</v>
      </c>
      <c r="F578" s="19" t="str">
        <f>VLOOKUP(A578,Sheet1!A:N,14,0)</f>
        <v>English</v>
      </c>
      <c r="G578" s="19" t="str">
        <f>VLOOKUP(A578,Sheet1!A:O,15,0)</f>
        <v>AI</v>
      </c>
      <c r="H578" s="19">
        <f>VLOOKUP(A578,Sheet1!A:Q,17,0)</f>
        <v>17</v>
      </c>
      <c r="I578" s="20">
        <f>VLOOKUP(A578,Sheet1!A:V,22,0)</f>
        <v>40</v>
      </c>
      <c r="J578" s="21">
        <f>VLOOKUP(A578,Sheet1!A:X,24,0)</f>
        <v>4</v>
      </c>
      <c r="K578" s="19" t="str">
        <f>VLOOKUP(A578,Sheet1!A:AB,28,0)</f>
        <v>Yes</v>
      </c>
      <c r="L578" s="27">
        <f>VLOOKUP(A578,Sheet1!A:AD,30,0)</f>
        <v>90</v>
      </c>
    </row>
    <row r="579" spans="1:12" x14ac:dyDescent="0.3">
      <c r="A579" s="14" t="s">
        <v>1299</v>
      </c>
      <c r="B579" s="19" t="str">
        <f>VLOOKUP(A579,Sheet1!A:E,5,0)</f>
        <v>Martha Carson</v>
      </c>
      <c r="C579" s="19" t="str">
        <f>VLOOKUP(A579,Sheet1!A:I,9,0)</f>
        <v>Female</v>
      </c>
      <c r="D579" s="19">
        <f>VLOOKUP(A579,Sheet1!A:K,11,0)</f>
        <v>38</v>
      </c>
      <c r="E579" s="19" t="str">
        <f>VLOOKUP(A579,Sheet1!A:M,13,0)</f>
        <v>Indonesia</v>
      </c>
      <c r="F579" s="19" t="str">
        <f>VLOOKUP(A579,Sheet1!A:N,14,0)</f>
        <v>Indonesian</v>
      </c>
      <c r="G579" s="19" t="str">
        <f>VLOOKUP(A579,Sheet1!A:O,15,0)</f>
        <v>AI</v>
      </c>
      <c r="H579" s="19">
        <f>VLOOKUP(A579,Sheet1!A:Q,17,0)</f>
        <v>13</v>
      </c>
      <c r="I579" s="20">
        <f>VLOOKUP(A579,Sheet1!A:V,22,0)</f>
        <v>40</v>
      </c>
      <c r="J579" s="21">
        <f>VLOOKUP(A579,Sheet1!A:X,24,0)</f>
        <v>0</v>
      </c>
      <c r="K579" s="19" t="str">
        <f>VLOOKUP(A579,Sheet1!A:AB,28,0)</f>
        <v>Yes</v>
      </c>
      <c r="L579" s="27">
        <f>VLOOKUP(A579,Sheet1!A:AD,30,0)</f>
        <v>61</v>
      </c>
    </row>
    <row r="580" spans="1:12" x14ac:dyDescent="0.3">
      <c r="A580" s="14" t="s">
        <v>1325</v>
      </c>
      <c r="B580" s="19" t="str">
        <f>VLOOKUP(A580,Sheet1!A:E,5,0)</f>
        <v>Matthew Steele</v>
      </c>
      <c r="C580" s="19" t="str">
        <f>VLOOKUP(A580,Sheet1!A:I,9,0)</f>
        <v>Male</v>
      </c>
      <c r="D580" s="19">
        <f>VLOOKUP(A580,Sheet1!A:K,11,0)</f>
        <v>38</v>
      </c>
      <c r="E580" s="19" t="str">
        <f>VLOOKUP(A580,Sheet1!A:M,13,0)</f>
        <v>Turkey</v>
      </c>
      <c r="F580" s="19" t="str">
        <f>VLOOKUP(A580,Sheet1!A:N,14,0)</f>
        <v>Turkish</v>
      </c>
      <c r="G580" s="19" t="str">
        <f>VLOOKUP(A580,Sheet1!A:O,15,0)</f>
        <v>Blockchain Development</v>
      </c>
      <c r="H580" s="19">
        <f>VLOOKUP(A580,Sheet1!A:Q,17,0)</f>
        <v>19</v>
      </c>
      <c r="I580" s="20">
        <f>VLOOKUP(A580,Sheet1!A:V,22,0)</f>
        <v>40</v>
      </c>
      <c r="J580" s="21">
        <f>VLOOKUP(A580,Sheet1!A:X,24,0)</f>
        <v>0</v>
      </c>
      <c r="K580" s="19" t="str">
        <f>VLOOKUP(A580,Sheet1!A:AB,28,0)</f>
        <v>Yes</v>
      </c>
      <c r="L580" s="27">
        <f>VLOOKUP(A580,Sheet1!A:AD,30,0)</f>
        <v>86</v>
      </c>
    </row>
    <row r="581" spans="1:12" x14ac:dyDescent="0.3">
      <c r="A581" s="14" t="s">
        <v>460</v>
      </c>
      <c r="B581" s="19" t="str">
        <f>VLOOKUP(A581,Sheet1!A:E,5,0)</f>
        <v>Michael Zavala</v>
      </c>
      <c r="C581" s="19" t="str">
        <f>VLOOKUP(A581,Sheet1!A:I,9,0)</f>
        <v>Male</v>
      </c>
      <c r="D581" s="19">
        <f>VLOOKUP(A581,Sheet1!A:K,11,0)</f>
        <v>38</v>
      </c>
      <c r="E581" s="19" t="str">
        <f>VLOOKUP(A581,Sheet1!A:M,13,0)</f>
        <v>Japan</v>
      </c>
      <c r="F581" s="19" t="str">
        <f>VLOOKUP(A581,Sheet1!A:N,14,0)</f>
        <v>Japanese</v>
      </c>
      <c r="G581" s="19" t="str">
        <f>VLOOKUP(A581,Sheet1!A:O,15,0)</f>
        <v>Web Development</v>
      </c>
      <c r="H581" s="19">
        <f>VLOOKUP(A581,Sheet1!A:Q,17,0)</f>
        <v>3</v>
      </c>
      <c r="I581" s="20">
        <f>VLOOKUP(A581,Sheet1!A:V,22,0)</f>
        <v>30</v>
      </c>
      <c r="J581" s="21">
        <f>VLOOKUP(A581,Sheet1!A:X,24,0)</f>
        <v>3.5</v>
      </c>
      <c r="K581" s="19" t="str">
        <f>VLOOKUP(A581,Sheet1!A:AB,28,0)</f>
        <v>No</v>
      </c>
      <c r="L581" s="27">
        <f>VLOOKUP(A581,Sheet1!A:AD,30,0)</f>
        <v>97</v>
      </c>
    </row>
    <row r="582" spans="1:12" x14ac:dyDescent="0.3">
      <c r="A582" s="14" t="s">
        <v>1970</v>
      </c>
      <c r="B582" s="19" t="str">
        <f>VLOOKUP(A582,Sheet1!A:E,5,0)</f>
        <v>Nancy Glover</v>
      </c>
      <c r="C582" s="19" t="str">
        <f>VLOOKUP(A582,Sheet1!A:I,9,0)</f>
        <v>Female</v>
      </c>
      <c r="D582" s="19">
        <f>VLOOKUP(A582,Sheet1!A:K,11,0)</f>
        <v>38</v>
      </c>
      <c r="E582" s="19" t="str">
        <f>VLOOKUP(A582,Sheet1!A:M,13,0)</f>
        <v>Brazil</v>
      </c>
      <c r="F582" s="19" t="str">
        <f>VLOOKUP(A582,Sheet1!A:N,14,0)</f>
        <v>Portuguese</v>
      </c>
      <c r="G582" s="19" t="str">
        <f>VLOOKUP(A582,Sheet1!A:O,15,0)</f>
        <v>AI</v>
      </c>
      <c r="H582" s="19">
        <f>VLOOKUP(A582,Sheet1!A:Q,17,0)</f>
        <v>15</v>
      </c>
      <c r="I582" s="20">
        <f>VLOOKUP(A582,Sheet1!A:V,22,0)</f>
        <v>40</v>
      </c>
      <c r="J582" s="21">
        <f>VLOOKUP(A582,Sheet1!A:X,24,0)</f>
        <v>4</v>
      </c>
      <c r="K582" s="19" t="str">
        <f>VLOOKUP(A582,Sheet1!A:AB,28,0)</f>
        <v>Unknown</v>
      </c>
      <c r="L582" s="27">
        <f>VLOOKUP(A582,Sheet1!A:AD,30,0)</f>
        <v>62</v>
      </c>
    </row>
    <row r="583" spans="1:12" x14ac:dyDescent="0.3">
      <c r="A583" s="14" t="s">
        <v>691</v>
      </c>
      <c r="B583" s="19" t="str">
        <f>VLOOKUP(A583,Sheet1!A:E,5,0)</f>
        <v>Nancy Mendez</v>
      </c>
      <c r="C583" s="19" t="str">
        <f>VLOOKUP(A583,Sheet1!A:I,9,0)</f>
        <v>Female</v>
      </c>
      <c r="D583" s="19">
        <f>VLOOKUP(A583,Sheet1!A:K,11,0)</f>
        <v>38</v>
      </c>
      <c r="E583" s="19" t="str">
        <f>VLOOKUP(A583,Sheet1!A:M,13,0)</f>
        <v>Canada</v>
      </c>
      <c r="F583" s="19" t="str">
        <f>VLOOKUP(A583,Sheet1!A:N,14,0)</f>
        <v>English</v>
      </c>
      <c r="G583" s="19" t="str">
        <f>VLOOKUP(A583,Sheet1!A:O,15,0)</f>
        <v>Machine Learning</v>
      </c>
      <c r="H583" s="19">
        <f>VLOOKUP(A583,Sheet1!A:Q,17,0)</f>
        <v>20</v>
      </c>
      <c r="I583" s="20">
        <f>VLOOKUP(A583,Sheet1!A:V,22,0)</f>
        <v>50</v>
      </c>
      <c r="J583" s="21">
        <f>VLOOKUP(A583,Sheet1!A:X,24,0)</f>
        <v>0</v>
      </c>
      <c r="K583" s="19" t="str">
        <f>VLOOKUP(A583,Sheet1!A:AB,28,0)</f>
        <v>Unknown</v>
      </c>
      <c r="L583" s="27">
        <f>VLOOKUP(A583,Sheet1!A:AD,30,0)</f>
        <v>64</v>
      </c>
    </row>
    <row r="584" spans="1:12" x14ac:dyDescent="0.3">
      <c r="A584" s="14" t="s">
        <v>88</v>
      </c>
      <c r="B584" s="19" t="str">
        <f>VLOOKUP(A584,Sheet1!A:E,5,0)</f>
        <v>Phillip Shelton</v>
      </c>
      <c r="C584" s="19" t="str">
        <f>VLOOKUP(A584,Sheet1!A:I,9,0)</f>
        <v>Male</v>
      </c>
      <c r="D584" s="19">
        <f>VLOOKUP(A584,Sheet1!A:K,11,0)</f>
        <v>38</v>
      </c>
      <c r="E584" s="19" t="str">
        <f>VLOOKUP(A584,Sheet1!A:M,13,0)</f>
        <v>Argentina</v>
      </c>
      <c r="F584" s="19" t="str">
        <f>VLOOKUP(A584,Sheet1!A:N,14,0)</f>
        <v>Spanish</v>
      </c>
      <c r="G584" s="19" t="str">
        <f>VLOOKUP(A584,Sheet1!A:O,15,0)</f>
        <v>Graphic Design</v>
      </c>
      <c r="H584" s="19">
        <f>VLOOKUP(A584,Sheet1!A:Q,17,0)</f>
        <v>20</v>
      </c>
      <c r="I584" s="20">
        <f>VLOOKUP(A584,Sheet1!A:V,22,0)</f>
        <v>75</v>
      </c>
      <c r="J584" s="21">
        <f>VLOOKUP(A584,Sheet1!A:X,24,0)</f>
        <v>2.9</v>
      </c>
      <c r="K584" s="19" t="str">
        <f>VLOOKUP(A584,Sheet1!A:AB,28,0)</f>
        <v>Yes</v>
      </c>
      <c r="L584" s="27">
        <f>VLOOKUP(A584,Sheet1!A:AD,30,0)</f>
        <v>93</v>
      </c>
    </row>
    <row r="585" spans="1:12" x14ac:dyDescent="0.3">
      <c r="A585" s="14" t="s">
        <v>1720</v>
      </c>
      <c r="B585" s="19" t="str">
        <f>VLOOKUP(A585,Sheet1!A:E,5,0)</f>
        <v>Robin Hinton</v>
      </c>
      <c r="C585" s="19" t="str">
        <f>VLOOKUP(A585,Sheet1!A:I,9,0)</f>
        <v>Female</v>
      </c>
      <c r="D585" s="19">
        <f>VLOOKUP(A585,Sheet1!A:K,11,0)</f>
        <v>38</v>
      </c>
      <c r="E585" s="19" t="str">
        <f>VLOOKUP(A585,Sheet1!A:M,13,0)</f>
        <v>United Kingdom</v>
      </c>
      <c r="F585" s="19" t="str">
        <f>VLOOKUP(A585,Sheet1!A:N,14,0)</f>
        <v>English</v>
      </c>
      <c r="G585" s="19" t="str">
        <f>VLOOKUP(A585,Sheet1!A:O,15,0)</f>
        <v>UI/UX Design</v>
      </c>
      <c r="H585" s="19">
        <f>VLOOKUP(A585,Sheet1!A:Q,17,0)</f>
        <v>10</v>
      </c>
      <c r="I585" s="20">
        <f>VLOOKUP(A585,Sheet1!A:V,22,0)</f>
        <v>40</v>
      </c>
      <c r="J585" s="21">
        <f>VLOOKUP(A585,Sheet1!A:X,24,0)</f>
        <v>2.428048780487805</v>
      </c>
      <c r="K585" s="19" t="str">
        <f>VLOOKUP(A585,Sheet1!A:AB,28,0)</f>
        <v>No</v>
      </c>
      <c r="L585" s="27">
        <f>VLOOKUP(A585,Sheet1!A:AD,30,0)</f>
        <v>66</v>
      </c>
    </row>
    <row r="586" spans="1:12" x14ac:dyDescent="0.3">
      <c r="A586" s="14" t="s">
        <v>143</v>
      </c>
      <c r="B586" s="19" t="str">
        <f>VLOOKUP(A586,Sheet1!A:E,5,0)</f>
        <v>Timothy Daniels</v>
      </c>
      <c r="C586" s="19" t="str">
        <f>VLOOKUP(A586,Sheet1!A:I,9,0)</f>
        <v>Male</v>
      </c>
      <c r="D586" s="19">
        <f>VLOOKUP(A586,Sheet1!A:K,11,0)</f>
        <v>38</v>
      </c>
      <c r="E586" s="19" t="str">
        <f>VLOOKUP(A586,Sheet1!A:M,13,0)</f>
        <v>France</v>
      </c>
      <c r="F586" s="19" t="str">
        <f>VLOOKUP(A586,Sheet1!A:N,14,0)</f>
        <v>French</v>
      </c>
      <c r="G586" s="19" t="str">
        <f>VLOOKUP(A586,Sheet1!A:O,15,0)</f>
        <v>Machine Learning</v>
      </c>
      <c r="H586" s="19">
        <f>VLOOKUP(A586,Sheet1!A:Q,17,0)</f>
        <v>19</v>
      </c>
      <c r="I586" s="20">
        <f>VLOOKUP(A586,Sheet1!A:V,22,0)</f>
        <v>100</v>
      </c>
      <c r="J586" s="21">
        <f>VLOOKUP(A586,Sheet1!A:X,24,0)</f>
        <v>4.2</v>
      </c>
      <c r="K586" s="19" t="str">
        <f>VLOOKUP(A586,Sheet1!A:AB,28,0)</f>
        <v>No</v>
      </c>
      <c r="L586" s="27">
        <f>VLOOKUP(A586,Sheet1!A:AD,30,0)</f>
        <v>68</v>
      </c>
    </row>
    <row r="587" spans="1:12" x14ac:dyDescent="0.3">
      <c r="A587" s="14" t="s">
        <v>1982</v>
      </c>
      <c r="B587" s="19" t="str">
        <f>VLOOKUP(A587,Sheet1!A:E,5,0)</f>
        <v>Tina Clark</v>
      </c>
      <c r="C587" s="19" t="str">
        <f>VLOOKUP(A587,Sheet1!A:I,9,0)</f>
        <v>Female</v>
      </c>
      <c r="D587" s="19">
        <f>VLOOKUP(A587,Sheet1!A:K,11,0)</f>
        <v>38</v>
      </c>
      <c r="E587" s="19" t="str">
        <f>VLOOKUP(A587,Sheet1!A:M,13,0)</f>
        <v>Turkey</v>
      </c>
      <c r="F587" s="19" t="str">
        <f>VLOOKUP(A587,Sheet1!A:N,14,0)</f>
        <v>Turkish</v>
      </c>
      <c r="G587" s="19" t="str">
        <f>VLOOKUP(A587,Sheet1!A:O,15,0)</f>
        <v>Mobile Apps</v>
      </c>
      <c r="H587" s="19">
        <f>VLOOKUP(A587,Sheet1!A:Q,17,0)</f>
        <v>8</v>
      </c>
      <c r="I587" s="20">
        <f>VLOOKUP(A587,Sheet1!A:V,22,0)</f>
        <v>30</v>
      </c>
      <c r="J587" s="21">
        <f>VLOOKUP(A587,Sheet1!A:X,24,0)</f>
        <v>4</v>
      </c>
      <c r="K587" s="19" t="str">
        <f>VLOOKUP(A587,Sheet1!A:AB,28,0)</f>
        <v>Yes</v>
      </c>
      <c r="L587" s="27">
        <f>VLOOKUP(A587,Sheet1!A:AD,30,0)</f>
        <v>92</v>
      </c>
    </row>
    <row r="588" spans="1:12" x14ac:dyDescent="0.3">
      <c r="A588" s="14" t="s">
        <v>1161</v>
      </c>
      <c r="B588" s="19" t="str">
        <f>VLOOKUP(A588,Sheet1!A:E,5,0)</f>
        <v>Tony Lee</v>
      </c>
      <c r="C588" s="19" t="str">
        <f>VLOOKUP(A588,Sheet1!A:I,9,0)</f>
        <v>Male</v>
      </c>
      <c r="D588" s="19">
        <f>VLOOKUP(A588,Sheet1!A:K,11,0)</f>
        <v>38</v>
      </c>
      <c r="E588" s="19" t="str">
        <f>VLOOKUP(A588,Sheet1!A:M,13,0)</f>
        <v>United States</v>
      </c>
      <c r="F588" s="19" t="str">
        <f>VLOOKUP(A588,Sheet1!A:N,14,0)</f>
        <v>English</v>
      </c>
      <c r="G588" s="19" t="str">
        <f>VLOOKUP(A588,Sheet1!A:O,15,0)</f>
        <v>Graphic Design</v>
      </c>
      <c r="H588" s="19">
        <f>VLOOKUP(A588,Sheet1!A:Q,17,0)</f>
        <v>15</v>
      </c>
      <c r="I588" s="20">
        <f>VLOOKUP(A588,Sheet1!A:V,22,0)</f>
        <v>53.266509433962263</v>
      </c>
      <c r="J588" s="21">
        <f>VLOOKUP(A588,Sheet1!A:X,24,0)</f>
        <v>4.2</v>
      </c>
      <c r="K588" s="19" t="str">
        <f>VLOOKUP(A588,Sheet1!A:AB,28,0)</f>
        <v>No</v>
      </c>
      <c r="L588" s="27">
        <f>VLOOKUP(A588,Sheet1!A:AD,30,0)</f>
        <v>88</v>
      </c>
    </row>
    <row r="589" spans="1:12" x14ac:dyDescent="0.3">
      <c r="A589" s="14" t="s">
        <v>1538</v>
      </c>
      <c r="B589" s="19" t="str">
        <f>VLOOKUP(A589,Sheet1!A:E,5,0)</f>
        <v>April Ford</v>
      </c>
      <c r="C589" s="19" t="str">
        <f>VLOOKUP(A589,Sheet1!A:I,9,0)</f>
        <v>Female</v>
      </c>
      <c r="D589" s="19">
        <f>VLOOKUP(A589,Sheet1!A:K,11,0)</f>
        <v>37</v>
      </c>
      <c r="E589" s="19" t="str">
        <f>VLOOKUP(A589,Sheet1!A:M,13,0)</f>
        <v>Canada</v>
      </c>
      <c r="F589" s="19" t="str">
        <f>VLOOKUP(A589,Sheet1!A:N,14,0)</f>
        <v>English</v>
      </c>
      <c r="G589" s="19" t="str">
        <f>VLOOKUP(A589,Sheet1!A:O,15,0)</f>
        <v>Cybersecurity</v>
      </c>
      <c r="H589" s="19">
        <f>VLOOKUP(A589,Sheet1!A:Q,17,0)</f>
        <v>9</v>
      </c>
      <c r="I589" s="20">
        <f>VLOOKUP(A589,Sheet1!A:V,22,0)</f>
        <v>50</v>
      </c>
      <c r="J589" s="21">
        <f>VLOOKUP(A589,Sheet1!A:X,24,0)</f>
        <v>2.5672199170124488</v>
      </c>
      <c r="K589" s="19" t="str">
        <f>VLOOKUP(A589,Sheet1!A:AB,28,0)</f>
        <v>Yes</v>
      </c>
      <c r="L589" s="27">
        <f>VLOOKUP(A589,Sheet1!A:AD,30,0)</f>
        <v>84</v>
      </c>
    </row>
    <row r="590" spans="1:12" x14ac:dyDescent="0.3">
      <c r="A590" s="14" t="s">
        <v>1614</v>
      </c>
      <c r="B590" s="19" t="str">
        <f>VLOOKUP(A590,Sheet1!A:E,5,0)</f>
        <v>Christopher Sparks</v>
      </c>
      <c r="C590" s="19" t="str">
        <f>VLOOKUP(A590,Sheet1!A:I,9,0)</f>
        <v>Male</v>
      </c>
      <c r="D590" s="19">
        <f>VLOOKUP(A590,Sheet1!A:K,11,0)</f>
        <v>37</v>
      </c>
      <c r="E590" s="19" t="str">
        <f>VLOOKUP(A590,Sheet1!A:M,13,0)</f>
        <v>Germany</v>
      </c>
      <c r="F590" s="19" t="str">
        <f>VLOOKUP(A590,Sheet1!A:N,14,0)</f>
        <v>German</v>
      </c>
      <c r="G590" s="19" t="str">
        <f>VLOOKUP(A590,Sheet1!A:O,15,0)</f>
        <v>Graphic Design</v>
      </c>
      <c r="H590" s="19">
        <f>VLOOKUP(A590,Sheet1!A:Q,17,0)</f>
        <v>12</v>
      </c>
      <c r="I590" s="20">
        <f>VLOOKUP(A590,Sheet1!A:V,22,0)</f>
        <v>52.31818181818182</v>
      </c>
      <c r="J590" s="21">
        <f>VLOOKUP(A590,Sheet1!A:X,24,0)</f>
        <v>4.9000000000000004</v>
      </c>
      <c r="K590" s="19" t="str">
        <f>VLOOKUP(A590,Sheet1!A:AB,28,0)</f>
        <v>Yes</v>
      </c>
      <c r="L590" s="27">
        <f>VLOOKUP(A590,Sheet1!A:AD,30,0)</f>
        <v>80</v>
      </c>
    </row>
    <row r="591" spans="1:12" x14ac:dyDescent="0.3">
      <c r="A591" s="14" t="s">
        <v>289</v>
      </c>
      <c r="B591" s="19" t="str">
        <f>VLOOKUP(A591,Sheet1!A:E,5,0)</f>
        <v>David Ortiz</v>
      </c>
      <c r="C591" s="19" t="str">
        <f>VLOOKUP(A591,Sheet1!A:I,9,0)</f>
        <v>Male</v>
      </c>
      <c r="D591" s="19">
        <f>VLOOKUP(A591,Sheet1!A:K,11,0)</f>
        <v>37</v>
      </c>
      <c r="E591" s="19" t="str">
        <f>VLOOKUP(A591,Sheet1!A:M,13,0)</f>
        <v>United States</v>
      </c>
      <c r="F591" s="19" t="str">
        <f>VLOOKUP(A591,Sheet1!A:N,14,0)</f>
        <v>English</v>
      </c>
      <c r="G591" s="19" t="str">
        <f>VLOOKUP(A591,Sheet1!A:O,15,0)</f>
        <v>Blockchain Development</v>
      </c>
      <c r="H591" s="19">
        <f>VLOOKUP(A591,Sheet1!A:Q,17,0)</f>
        <v>17</v>
      </c>
      <c r="I591" s="20">
        <f>VLOOKUP(A591,Sheet1!A:V,22,0)</f>
        <v>20</v>
      </c>
      <c r="J591" s="21">
        <f>VLOOKUP(A591,Sheet1!A:X,24,0)</f>
        <v>3.3</v>
      </c>
      <c r="K591" s="19" t="str">
        <f>VLOOKUP(A591,Sheet1!A:AB,28,0)</f>
        <v>No</v>
      </c>
      <c r="L591" s="27">
        <f>VLOOKUP(A591,Sheet1!A:AD,30,0)</f>
        <v>96</v>
      </c>
    </row>
    <row r="592" spans="1:12" x14ac:dyDescent="0.3">
      <c r="A592" s="14" t="s">
        <v>855</v>
      </c>
      <c r="B592" s="19" t="str">
        <f>VLOOKUP(A592,Sheet1!A:E,5,0)</f>
        <v>Douglas Goodwin</v>
      </c>
      <c r="C592" s="19" t="str">
        <f>VLOOKUP(A592,Sheet1!A:I,9,0)</f>
        <v>Male</v>
      </c>
      <c r="D592" s="19">
        <f>VLOOKUP(A592,Sheet1!A:K,11,0)</f>
        <v>37</v>
      </c>
      <c r="E592" s="19" t="str">
        <f>VLOOKUP(A592,Sheet1!A:M,13,0)</f>
        <v>Italy</v>
      </c>
      <c r="F592" s="19" t="str">
        <f>VLOOKUP(A592,Sheet1!A:N,14,0)</f>
        <v>Italian</v>
      </c>
      <c r="G592" s="19" t="str">
        <f>VLOOKUP(A592,Sheet1!A:O,15,0)</f>
        <v>Machine Learning</v>
      </c>
      <c r="H592" s="19">
        <f>VLOOKUP(A592,Sheet1!A:Q,17,0)</f>
        <v>5</v>
      </c>
      <c r="I592" s="20">
        <f>VLOOKUP(A592,Sheet1!A:V,22,0)</f>
        <v>53.200354609929079</v>
      </c>
      <c r="J592" s="21">
        <f>VLOOKUP(A592,Sheet1!A:X,24,0)</f>
        <v>4.8</v>
      </c>
      <c r="K592" s="19" t="str">
        <f>VLOOKUP(A592,Sheet1!A:AB,28,0)</f>
        <v>Yes</v>
      </c>
      <c r="L592" s="27">
        <f>VLOOKUP(A592,Sheet1!A:AD,30,0)</f>
        <v>61</v>
      </c>
    </row>
    <row r="593" spans="1:12" x14ac:dyDescent="0.3">
      <c r="A593" s="14" t="s">
        <v>1968</v>
      </c>
      <c r="B593" s="19" t="str">
        <f>VLOOKUP(A593,Sheet1!A:E,5,0)</f>
        <v>Erica Jackson</v>
      </c>
      <c r="C593" s="19" t="str">
        <f>VLOOKUP(A593,Sheet1!A:I,9,0)</f>
        <v>Female</v>
      </c>
      <c r="D593" s="19">
        <f>VLOOKUP(A593,Sheet1!A:K,11,0)</f>
        <v>37</v>
      </c>
      <c r="E593" s="19" t="str">
        <f>VLOOKUP(A593,Sheet1!A:M,13,0)</f>
        <v>Indonesia</v>
      </c>
      <c r="F593" s="19" t="str">
        <f>VLOOKUP(A593,Sheet1!A:N,14,0)</f>
        <v>Indonesian</v>
      </c>
      <c r="G593" s="19" t="str">
        <f>VLOOKUP(A593,Sheet1!A:O,15,0)</f>
        <v>Mobile Apps</v>
      </c>
      <c r="H593" s="19">
        <f>VLOOKUP(A593,Sheet1!A:Q,17,0)</f>
        <v>9</v>
      </c>
      <c r="I593" s="20">
        <f>VLOOKUP(A593,Sheet1!A:V,22,0)</f>
        <v>30</v>
      </c>
      <c r="J593" s="21">
        <f>VLOOKUP(A593,Sheet1!A:X,24,0)</f>
        <v>2.7</v>
      </c>
      <c r="K593" s="19" t="str">
        <f>VLOOKUP(A593,Sheet1!A:AB,28,0)</f>
        <v>Yes</v>
      </c>
      <c r="L593" s="27">
        <f>VLOOKUP(A593,Sheet1!A:AD,30,0)</f>
        <v>79.944444444444443</v>
      </c>
    </row>
    <row r="594" spans="1:12" x14ac:dyDescent="0.3">
      <c r="A594" s="14" t="s">
        <v>1734</v>
      </c>
      <c r="B594" s="19" t="str">
        <f>VLOOKUP(A594,Sheet1!A:E,5,0)</f>
        <v>Erin Martin</v>
      </c>
      <c r="C594" s="19" t="str">
        <f>VLOOKUP(A594,Sheet1!A:I,9,0)</f>
        <v>Female</v>
      </c>
      <c r="D594" s="19">
        <f>VLOOKUP(A594,Sheet1!A:K,11,0)</f>
        <v>37</v>
      </c>
      <c r="E594" s="19" t="str">
        <f>VLOOKUP(A594,Sheet1!A:M,13,0)</f>
        <v>Japan</v>
      </c>
      <c r="F594" s="19" t="str">
        <f>VLOOKUP(A594,Sheet1!A:N,14,0)</f>
        <v>Japanese</v>
      </c>
      <c r="G594" s="19" t="str">
        <f>VLOOKUP(A594,Sheet1!A:O,15,0)</f>
        <v>AI</v>
      </c>
      <c r="H594" s="19">
        <f>VLOOKUP(A594,Sheet1!A:Q,17,0)</f>
        <v>6</v>
      </c>
      <c r="I594" s="20">
        <f>VLOOKUP(A594,Sheet1!A:V,22,0)</f>
        <v>20</v>
      </c>
      <c r="J594" s="21">
        <f>VLOOKUP(A594,Sheet1!A:X,24,0)</f>
        <v>2.403144654088051</v>
      </c>
      <c r="K594" s="19" t="str">
        <f>VLOOKUP(A594,Sheet1!A:AB,28,0)</f>
        <v>Unknown</v>
      </c>
      <c r="L594" s="27">
        <f>VLOOKUP(A594,Sheet1!A:AD,30,0)</f>
        <v>99</v>
      </c>
    </row>
    <row r="595" spans="1:12" x14ac:dyDescent="0.3">
      <c r="A595" s="14" t="s">
        <v>2066</v>
      </c>
      <c r="B595" s="19" t="str">
        <f>VLOOKUP(A595,Sheet1!A:E,5,0)</f>
        <v>Evan Ramos</v>
      </c>
      <c r="C595" s="19" t="str">
        <f>VLOOKUP(A595,Sheet1!A:I,9,0)</f>
        <v>Male</v>
      </c>
      <c r="D595" s="19">
        <f>VLOOKUP(A595,Sheet1!A:K,11,0)</f>
        <v>37</v>
      </c>
      <c r="E595" s="19" t="str">
        <f>VLOOKUP(A595,Sheet1!A:M,13,0)</f>
        <v>Australia</v>
      </c>
      <c r="F595" s="19" t="str">
        <f>VLOOKUP(A595,Sheet1!A:N,14,0)</f>
        <v>English</v>
      </c>
      <c r="G595" s="19" t="str">
        <f>VLOOKUP(A595,Sheet1!A:O,15,0)</f>
        <v>Graphic Design</v>
      </c>
      <c r="H595" s="19">
        <f>VLOOKUP(A595,Sheet1!A:Q,17,0)</f>
        <v>4</v>
      </c>
      <c r="I595" s="20">
        <f>VLOOKUP(A595,Sheet1!A:V,22,0)</f>
        <v>75</v>
      </c>
      <c r="J595" s="21">
        <f>VLOOKUP(A595,Sheet1!A:X,24,0)</f>
        <v>3.2</v>
      </c>
      <c r="K595" s="19" t="str">
        <f>VLOOKUP(A595,Sheet1!A:AB,28,0)</f>
        <v>No</v>
      </c>
      <c r="L595" s="27">
        <f>VLOOKUP(A595,Sheet1!A:AD,30,0)</f>
        <v>76</v>
      </c>
    </row>
    <row r="596" spans="1:12" x14ac:dyDescent="0.3">
      <c r="A596" s="14" t="s">
        <v>623</v>
      </c>
      <c r="B596" s="19" t="str">
        <f>VLOOKUP(A596,Sheet1!A:E,5,0)</f>
        <v>Jacqueline Drake</v>
      </c>
      <c r="C596" s="19" t="str">
        <f>VLOOKUP(A596,Sheet1!A:I,9,0)</f>
        <v>Female</v>
      </c>
      <c r="D596" s="19">
        <f>VLOOKUP(A596,Sheet1!A:K,11,0)</f>
        <v>37</v>
      </c>
      <c r="E596" s="19" t="str">
        <f>VLOOKUP(A596,Sheet1!A:M,13,0)</f>
        <v>Canada</v>
      </c>
      <c r="F596" s="19" t="str">
        <f>VLOOKUP(A596,Sheet1!A:N,14,0)</f>
        <v>English</v>
      </c>
      <c r="G596" s="19" t="str">
        <f>VLOOKUP(A596,Sheet1!A:O,15,0)</f>
        <v>Data Analysis</v>
      </c>
      <c r="H596" s="19">
        <f>VLOOKUP(A596,Sheet1!A:Q,17,0)</f>
        <v>6</v>
      </c>
      <c r="I596" s="20">
        <f>VLOOKUP(A596,Sheet1!A:V,22,0)</f>
        <v>20</v>
      </c>
      <c r="J596" s="21">
        <f>VLOOKUP(A596,Sheet1!A:X,24,0)</f>
        <v>2.7</v>
      </c>
      <c r="K596" s="19" t="str">
        <f>VLOOKUP(A596,Sheet1!A:AB,28,0)</f>
        <v>Yes</v>
      </c>
      <c r="L596" s="27">
        <f>VLOOKUP(A596,Sheet1!A:AD,30,0)</f>
        <v>91</v>
      </c>
    </row>
    <row r="597" spans="1:12" x14ac:dyDescent="0.3">
      <c r="A597" s="14" t="s">
        <v>879</v>
      </c>
      <c r="B597" s="19" t="str">
        <f>VLOOKUP(A597,Sheet1!A:E,5,0)</f>
        <v>Joshua Roberts</v>
      </c>
      <c r="C597" s="19" t="str">
        <f>VLOOKUP(A597,Sheet1!A:I,9,0)</f>
        <v>Male</v>
      </c>
      <c r="D597" s="19">
        <f>VLOOKUP(A597,Sheet1!A:K,11,0)</f>
        <v>37</v>
      </c>
      <c r="E597" s="19" t="str">
        <f>VLOOKUP(A597,Sheet1!A:M,13,0)</f>
        <v>Italy</v>
      </c>
      <c r="F597" s="19" t="str">
        <f>VLOOKUP(A597,Sheet1!A:N,14,0)</f>
        <v>Italian</v>
      </c>
      <c r="G597" s="19" t="str">
        <f>VLOOKUP(A597,Sheet1!A:O,15,0)</f>
        <v>DevOps</v>
      </c>
      <c r="H597" s="19">
        <f>VLOOKUP(A597,Sheet1!A:Q,17,0)</f>
        <v>9</v>
      </c>
      <c r="I597" s="20">
        <f>VLOOKUP(A597,Sheet1!A:V,22,0)</f>
        <v>50</v>
      </c>
      <c r="J597" s="21">
        <f>VLOOKUP(A597,Sheet1!A:X,24,0)</f>
        <v>4.5999999999999996</v>
      </c>
      <c r="K597" s="19" t="str">
        <f>VLOOKUP(A597,Sheet1!A:AB,28,0)</f>
        <v>No</v>
      </c>
      <c r="L597" s="27">
        <f>VLOOKUP(A597,Sheet1!A:AD,30,0)</f>
        <v>83</v>
      </c>
    </row>
    <row r="598" spans="1:12" x14ac:dyDescent="0.3">
      <c r="A598" s="14" t="s">
        <v>737</v>
      </c>
      <c r="B598" s="19" t="str">
        <f>VLOOKUP(A598,Sheet1!A:E,5,0)</f>
        <v>Kathryn Myers</v>
      </c>
      <c r="C598" s="19" t="str">
        <f>VLOOKUP(A598,Sheet1!A:I,9,0)</f>
        <v>Female</v>
      </c>
      <c r="D598" s="19">
        <f>VLOOKUP(A598,Sheet1!A:K,11,0)</f>
        <v>37</v>
      </c>
      <c r="E598" s="19" t="str">
        <f>VLOOKUP(A598,Sheet1!A:M,13,0)</f>
        <v>Canada</v>
      </c>
      <c r="F598" s="19" t="str">
        <f>VLOOKUP(A598,Sheet1!A:N,14,0)</f>
        <v>English</v>
      </c>
      <c r="G598" s="19" t="str">
        <f>VLOOKUP(A598,Sheet1!A:O,15,0)</f>
        <v>Cybersecurity</v>
      </c>
      <c r="H598" s="19">
        <f>VLOOKUP(A598,Sheet1!A:Q,17,0)</f>
        <v>0</v>
      </c>
      <c r="I598" s="20">
        <f>VLOOKUP(A598,Sheet1!A:V,22,0)</f>
        <v>40</v>
      </c>
      <c r="J598" s="21">
        <f>VLOOKUP(A598,Sheet1!A:X,24,0)</f>
        <v>3.7</v>
      </c>
      <c r="K598" s="19" t="str">
        <f>VLOOKUP(A598,Sheet1!A:AB,28,0)</f>
        <v>Yes</v>
      </c>
      <c r="L598" s="27">
        <f>VLOOKUP(A598,Sheet1!A:AD,30,0)</f>
        <v>79.400709219858157</v>
      </c>
    </row>
    <row r="599" spans="1:12" x14ac:dyDescent="0.3">
      <c r="A599" s="14" t="s">
        <v>2082</v>
      </c>
      <c r="B599" s="19" t="str">
        <f>VLOOKUP(A599,Sheet1!A:E,5,0)</f>
        <v>Kathy Watkins</v>
      </c>
      <c r="C599" s="19" t="str">
        <f>VLOOKUP(A599,Sheet1!A:I,9,0)</f>
        <v>Female</v>
      </c>
      <c r="D599" s="19">
        <f>VLOOKUP(A599,Sheet1!A:K,11,0)</f>
        <v>37</v>
      </c>
      <c r="E599" s="19" t="str">
        <f>VLOOKUP(A599,Sheet1!A:M,13,0)</f>
        <v>Japan</v>
      </c>
      <c r="F599" s="19" t="str">
        <f>VLOOKUP(A599,Sheet1!A:N,14,0)</f>
        <v>Japanese</v>
      </c>
      <c r="G599" s="19" t="str">
        <f>VLOOKUP(A599,Sheet1!A:O,15,0)</f>
        <v>Data Analysis</v>
      </c>
      <c r="H599" s="19">
        <f>VLOOKUP(A599,Sheet1!A:Q,17,0)</f>
        <v>15</v>
      </c>
      <c r="I599" s="20">
        <f>VLOOKUP(A599,Sheet1!A:V,22,0)</f>
        <v>75</v>
      </c>
      <c r="J599" s="21">
        <f>VLOOKUP(A599,Sheet1!A:X,24,0)</f>
        <v>2.25</v>
      </c>
      <c r="K599" s="19" t="str">
        <f>VLOOKUP(A599,Sheet1!A:AB,28,0)</f>
        <v>No</v>
      </c>
      <c r="L599" s="27">
        <f>VLOOKUP(A599,Sheet1!A:AD,30,0)</f>
        <v>94</v>
      </c>
    </row>
    <row r="600" spans="1:12" x14ac:dyDescent="0.3">
      <c r="A600" s="14" t="s">
        <v>1604</v>
      </c>
      <c r="B600" s="19" t="str">
        <f>VLOOKUP(A600,Sheet1!A:E,5,0)</f>
        <v>Lauren Henry</v>
      </c>
      <c r="C600" s="19" t="str">
        <f>VLOOKUP(A600,Sheet1!A:I,9,0)</f>
        <v>Female</v>
      </c>
      <c r="D600" s="19">
        <f>VLOOKUP(A600,Sheet1!A:K,11,0)</f>
        <v>37</v>
      </c>
      <c r="E600" s="19" t="str">
        <f>VLOOKUP(A600,Sheet1!A:M,13,0)</f>
        <v>Italy</v>
      </c>
      <c r="F600" s="19" t="str">
        <f>VLOOKUP(A600,Sheet1!A:N,14,0)</f>
        <v>Italian</v>
      </c>
      <c r="G600" s="19" t="str">
        <f>VLOOKUP(A600,Sheet1!A:O,15,0)</f>
        <v>DevOps</v>
      </c>
      <c r="H600" s="19">
        <f>VLOOKUP(A600,Sheet1!A:Q,17,0)</f>
        <v>9</v>
      </c>
      <c r="I600" s="20">
        <f>VLOOKUP(A600,Sheet1!A:V,22,0)</f>
        <v>75</v>
      </c>
      <c r="J600" s="21">
        <f>VLOOKUP(A600,Sheet1!A:X,24,0)</f>
        <v>3.5</v>
      </c>
      <c r="K600" s="19" t="str">
        <f>VLOOKUP(A600,Sheet1!A:AB,28,0)</f>
        <v>No</v>
      </c>
      <c r="L600" s="27">
        <f>VLOOKUP(A600,Sheet1!A:AD,30,0)</f>
        <v>75</v>
      </c>
    </row>
    <row r="601" spans="1:12" x14ac:dyDescent="0.3">
      <c r="A601" s="14" t="s">
        <v>251</v>
      </c>
      <c r="B601" s="19" t="str">
        <f>VLOOKUP(A601,Sheet1!A:E,5,0)</f>
        <v>Leslie Rodriguez</v>
      </c>
      <c r="C601" s="19" t="str">
        <f>VLOOKUP(A601,Sheet1!A:I,9,0)</f>
        <v>Female</v>
      </c>
      <c r="D601" s="19">
        <f>VLOOKUP(A601,Sheet1!A:K,11,0)</f>
        <v>37</v>
      </c>
      <c r="E601" s="19" t="str">
        <f>VLOOKUP(A601,Sheet1!A:M,13,0)</f>
        <v>Canada</v>
      </c>
      <c r="F601" s="19" t="str">
        <f>VLOOKUP(A601,Sheet1!A:N,14,0)</f>
        <v>English</v>
      </c>
      <c r="G601" s="19" t="str">
        <f>VLOOKUP(A601,Sheet1!A:O,15,0)</f>
        <v>Graphic Design</v>
      </c>
      <c r="H601" s="19">
        <f>VLOOKUP(A601,Sheet1!A:Q,17,0)</f>
        <v>9</v>
      </c>
      <c r="I601" s="20">
        <f>VLOOKUP(A601,Sheet1!A:V,22,0)</f>
        <v>52.5</v>
      </c>
      <c r="J601" s="21">
        <f>VLOOKUP(A601,Sheet1!A:X,24,0)</f>
        <v>0</v>
      </c>
      <c r="K601" s="19" t="str">
        <f>VLOOKUP(A601,Sheet1!A:AB,28,0)</f>
        <v>Yes</v>
      </c>
      <c r="L601" s="27">
        <f>VLOOKUP(A601,Sheet1!A:AD,30,0)</f>
        <v>89</v>
      </c>
    </row>
    <row r="602" spans="1:12" x14ac:dyDescent="0.3">
      <c r="A602" s="14" t="s">
        <v>394</v>
      </c>
      <c r="B602" s="19" t="str">
        <f>VLOOKUP(A602,Sheet1!A:E,5,0)</f>
        <v>Maria Mcguire</v>
      </c>
      <c r="C602" s="19" t="str">
        <f>VLOOKUP(A602,Sheet1!A:I,9,0)</f>
        <v>Female</v>
      </c>
      <c r="D602" s="19">
        <f>VLOOKUP(A602,Sheet1!A:K,11,0)</f>
        <v>37</v>
      </c>
      <c r="E602" s="19" t="str">
        <f>VLOOKUP(A602,Sheet1!A:M,13,0)</f>
        <v>Russia</v>
      </c>
      <c r="F602" s="19" t="str">
        <f>VLOOKUP(A602,Sheet1!A:N,14,0)</f>
        <v>Russian</v>
      </c>
      <c r="G602" s="19" t="str">
        <f>VLOOKUP(A602,Sheet1!A:O,15,0)</f>
        <v>Data Analysis</v>
      </c>
      <c r="H602" s="19">
        <f>VLOOKUP(A602,Sheet1!A:Q,17,0)</f>
        <v>15</v>
      </c>
      <c r="I602" s="20">
        <f>VLOOKUP(A602,Sheet1!A:V,22,0)</f>
        <v>40</v>
      </c>
      <c r="J602" s="21">
        <f>VLOOKUP(A602,Sheet1!A:X,24,0)</f>
        <v>2.9</v>
      </c>
      <c r="K602" s="19" t="str">
        <f>VLOOKUP(A602,Sheet1!A:AB,28,0)</f>
        <v>No</v>
      </c>
      <c r="L602" s="27">
        <f>VLOOKUP(A602,Sheet1!A:AD,30,0)</f>
        <v>79.565155807365443</v>
      </c>
    </row>
    <row r="603" spans="1:12" x14ac:dyDescent="0.3">
      <c r="A603" s="14" t="s">
        <v>1686</v>
      </c>
      <c r="B603" s="19" t="str">
        <f>VLOOKUP(A603,Sheet1!A:E,5,0)</f>
        <v>Mark Lopez</v>
      </c>
      <c r="C603" s="19" t="str">
        <f>VLOOKUP(A603,Sheet1!A:I,9,0)</f>
        <v>Male</v>
      </c>
      <c r="D603" s="19">
        <f>VLOOKUP(A603,Sheet1!A:K,11,0)</f>
        <v>37</v>
      </c>
      <c r="E603" s="19" t="str">
        <f>VLOOKUP(A603,Sheet1!A:M,13,0)</f>
        <v>Canada</v>
      </c>
      <c r="F603" s="19" t="str">
        <f>VLOOKUP(A603,Sheet1!A:N,14,0)</f>
        <v>English</v>
      </c>
      <c r="G603" s="19" t="str">
        <f>VLOOKUP(A603,Sheet1!A:O,15,0)</f>
        <v>DevOps</v>
      </c>
      <c r="H603" s="19">
        <f>VLOOKUP(A603,Sheet1!A:Q,17,0)</f>
        <v>3</v>
      </c>
      <c r="I603" s="20">
        <f>VLOOKUP(A603,Sheet1!A:V,22,0)</f>
        <v>20</v>
      </c>
      <c r="J603" s="21">
        <f>VLOOKUP(A603,Sheet1!A:X,24,0)</f>
        <v>2.5</v>
      </c>
      <c r="K603" s="19" t="str">
        <f>VLOOKUP(A603,Sheet1!A:AB,28,0)</f>
        <v>No</v>
      </c>
      <c r="L603" s="27">
        <f>VLOOKUP(A603,Sheet1!A:AD,30,0)</f>
        <v>62</v>
      </c>
    </row>
    <row r="604" spans="1:12" x14ac:dyDescent="0.3">
      <c r="A604" s="14" t="s">
        <v>911</v>
      </c>
      <c r="B604" s="19" t="str">
        <f>VLOOKUP(A604,Sheet1!A:E,5,0)</f>
        <v>Mindy Sullivan</v>
      </c>
      <c r="C604" s="19" t="str">
        <f>VLOOKUP(A604,Sheet1!A:I,9,0)</f>
        <v>Female</v>
      </c>
      <c r="D604" s="19">
        <f>VLOOKUP(A604,Sheet1!A:K,11,0)</f>
        <v>37</v>
      </c>
      <c r="E604" s="19" t="str">
        <f>VLOOKUP(A604,Sheet1!A:M,13,0)</f>
        <v>Indonesia</v>
      </c>
      <c r="F604" s="19" t="str">
        <f>VLOOKUP(A604,Sheet1!A:N,14,0)</f>
        <v>Indonesian</v>
      </c>
      <c r="G604" s="19" t="str">
        <f>VLOOKUP(A604,Sheet1!A:O,15,0)</f>
        <v>Graphic Design</v>
      </c>
      <c r="H604" s="19">
        <f>VLOOKUP(A604,Sheet1!A:Q,17,0)</f>
        <v>11</v>
      </c>
      <c r="I604" s="20">
        <f>VLOOKUP(A604,Sheet1!A:V,22,0)</f>
        <v>40</v>
      </c>
      <c r="J604" s="21">
        <f>VLOOKUP(A604,Sheet1!A:X,24,0)</f>
        <v>3.6</v>
      </c>
      <c r="K604" s="19" t="str">
        <f>VLOOKUP(A604,Sheet1!A:AB,28,0)</f>
        <v>No</v>
      </c>
      <c r="L604" s="27">
        <f>VLOOKUP(A604,Sheet1!A:AD,30,0)</f>
        <v>73</v>
      </c>
    </row>
    <row r="605" spans="1:12" x14ac:dyDescent="0.3">
      <c r="A605" s="14" t="s">
        <v>932</v>
      </c>
      <c r="B605" s="19" t="str">
        <f>VLOOKUP(A605,Sheet1!A:E,5,0)</f>
        <v>Natalie Frank</v>
      </c>
      <c r="C605" s="19" t="str">
        <f>VLOOKUP(A605,Sheet1!A:I,9,0)</f>
        <v>Female</v>
      </c>
      <c r="D605" s="19">
        <f>VLOOKUP(A605,Sheet1!A:K,11,0)</f>
        <v>37</v>
      </c>
      <c r="E605" s="19" t="str">
        <f>VLOOKUP(A605,Sheet1!A:M,13,0)</f>
        <v>Australia</v>
      </c>
      <c r="F605" s="19" t="str">
        <f>VLOOKUP(A605,Sheet1!A:N,14,0)</f>
        <v>English</v>
      </c>
      <c r="G605" s="19" t="str">
        <f>VLOOKUP(A605,Sheet1!A:O,15,0)</f>
        <v>Mobile Apps</v>
      </c>
      <c r="H605" s="19">
        <f>VLOOKUP(A605,Sheet1!A:Q,17,0)</f>
        <v>10</v>
      </c>
      <c r="I605" s="20">
        <f>VLOOKUP(A605,Sheet1!A:V,22,0)</f>
        <v>30</v>
      </c>
      <c r="J605" s="21">
        <f>VLOOKUP(A605,Sheet1!A:X,24,0)</f>
        <v>0</v>
      </c>
      <c r="K605" s="19" t="str">
        <f>VLOOKUP(A605,Sheet1!A:AB,28,0)</f>
        <v>No</v>
      </c>
      <c r="L605" s="27">
        <f>VLOOKUP(A605,Sheet1!A:AD,30,0)</f>
        <v>96</v>
      </c>
    </row>
    <row r="606" spans="1:12" x14ac:dyDescent="0.3">
      <c r="A606" s="14" t="s">
        <v>701</v>
      </c>
      <c r="B606" s="19" t="str">
        <f>VLOOKUP(A606,Sheet1!A:E,5,0)</f>
        <v>Olivia Schultz</v>
      </c>
      <c r="C606" s="19" t="str">
        <f>VLOOKUP(A606,Sheet1!A:I,9,0)</f>
        <v>Female</v>
      </c>
      <c r="D606" s="19">
        <f>VLOOKUP(A606,Sheet1!A:K,11,0)</f>
        <v>37</v>
      </c>
      <c r="E606" s="19" t="str">
        <f>VLOOKUP(A606,Sheet1!A:M,13,0)</f>
        <v>Canada</v>
      </c>
      <c r="F606" s="19" t="str">
        <f>VLOOKUP(A606,Sheet1!A:N,14,0)</f>
        <v>English</v>
      </c>
      <c r="G606" s="19" t="str">
        <f>VLOOKUP(A606,Sheet1!A:O,15,0)</f>
        <v>Graphic Design</v>
      </c>
      <c r="H606" s="19">
        <f>VLOOKUP(A606,Sheet1!A:Q,17,0)</f>
        <v>0</v>
      </c>
      <c r="I606" s="20">
        <f>VLOOKUP(A606,Sheet1!A:V,22,0)</f>
        <v>50</v>
      </c>
      <c r="J606" s="21">
        <f>VLOOKUP(A606,Sheet1!A:X,24,0)</f>
        <v>4.7</v>
      </c>
      <c r="K606" s="19" t="str">
        <f>VLOOKUP(A606,Sheet1!A:AB,28,0)</f>
        <v>No</v>
      </c>
      <c r="L606" s="27">
        <f>VLOOKUP(A606,Sheet1!A:AD,30,0)</f>
        <v>77</v>
      </c>
    </row>
    <row r="607" spans="1:12" x14ac:dyDescent="0.3">
      <c r="A607" s="14" t="s">
        <v>533</v>
      </c>
      <c r="B607" s="19" t="str">
        <f>VLOOKUP(A607,Sheet1!A:E,5,0)</f>
        <v>Richard Quinn</v>
      </c>
      <c r="C607" s="19" t="str">
        <f>VLOOKUP(A607,Sheet1!A:I,9,0)</f>
        <v>Male</v>
      </c>
      <c r="D607" s="19">
        <f>VLOOKUP(A607,Sheet1!A:K,11,0)</f>
        <v>37</v>
      </c>
      <c r="E607" s="19" t="str">
        <f>VLOOKUP(A607,Sheet1!A:M,13,0)</f>
        <v>Canada</v>
      </c>
      <c r="F607" s="19" t="str">
        <f>VLOOKUP(A607,Sheet1!A:N,14,0)</f>
        <v>English</v>
      </c>
      <c r="G607" s="19" t="str">
        <f>VLOOKUP(A607,Sheet1!A:O,15,0)</f>
        <v>UI/UX Design</v>
      </c>
      <c r="H607" s="19">
        <f>VLOOKUP(A607,Sheet1!A:Q,17,0)</f>
        <v>2</v>
      </c>
      <c r="I607" s="20">
        <f>VLOOKUP(A607,Sheet1!A:V,22,0)</f>
        <v>30</v>
      </c>
      <c r="J607" s="21">
        <f>VLOOKUP(A607,Sheet1!A:X,24,0)</f>
        <v>2.2999999999999998</v>
      </c>
      <c r="K607" s="19" t="str">
        <f>VLOOKUP(A607,Sheet1!A:AB,28,0)</f>
        <v>Yes</v>
      </c>
      <c r="L607" s="27">
        <f>VLOOKUP(A607,Sheet1!A:AD,30,0)</f>
        <v>79.572093023255817</v>
      </c>
    </row>
    <row r="608" spans="1:12" x14ac:dyDescent="0.3">
      <c r="A608" s="14" t="s">
        <v>1151</v>
      </c>
      <c r="B608" s="19" t="str">
        <f>VLOOKUP(A608,Sheet1!A:E,5,0)</f>
        <v>Shawn Hogan</v>
      </c>
      <c r="C608" s="19" t="str">
        <f>VLOOKUP(A608,Sheet1!A:I,9,0)</f>
        <v>Male</v>
      </c>
      <c r="D608" s="19">
        <f>VLOOKUP(A608,Sheet1!A:K,11,0)</f>
        <v>37</v>
      </c>
      <c r="E608" s="19" t="str">
        <f>VLOOKUP(A608,Sheet1!A:M,13,0)</f>
        <v>Germany</v>
      </c>
      <c r="F608" s="19" t="str">
        <f>VLOOKUP(A608,Sheet1!A:N,14,0)</f>
        <v>German</v>
      </c>
      <c r="G608" s="19" t="str">
        <f>VLOOKUP(A608,Sheet1!A:O,15,0)</f>
        <v>Machine Learning</v>
      </c>
      <c r="H608" s="19">
        <f>VLOOKUP(A608,Sheet1!A:Q,17,0)</f>
        <v>9</v>
      </c>
      <c r="I608" s="20">
        <f>VLOOKUP(A608,Sheet1!A:V,22,0)</f>
        <v>53.12646370023419</v>
      </c>
      <c r="J608" s="21">
        <f>VLOOKUP(A608,Sheet1!A:X,24,0)</f>
        <v>1.7</v>
      </c>
      <c r="K608" s="19" t="str">
        <f>VLOOKUP(A608,Sheet1!A:AB,28,0)</f>
        <v>Yes</v>
      </c>
      <c r="L608" s="27">
        <f>VLOOKUP(A608,Sheet1!A:AD,30,0)</f>
        <v>63</v>
      </c>
    </row>
    <row r="609" spans="1:12" x14ac:dyDescent="0.3">
      <c r="A609" s="14" t="s">
        <v>555</v>
      </c>
      <c r="B609" s="19" t="str">
        <f>VLOOKUP(A609,Sheet1!A:E,5,0)</f>
        <v>Stephen Ramirez</v>
      </c>
      <c r="C609" s="19" t="str">
        <f>VLOOKUP(A609,Sheet1!A:I,9,0)</f>
        <v>Male</v>
      </c>
      <c r="D609" s="19">
        <f>VLOOKUP(A609,Sheet1!A:K,11,0)</f>
        <v>37</v>
      </c>
      <c r="E609" s="19" t="str">
        <f>VLOOKUP(A609,Sheet1!A:M,13,0)</f>
        <v>Brazil</v>
      </c>
      <c r="F609" s="19" t="str">
        <f>VLOOKUP(A609,Sheet1!A:N,14,0)</f>
        <v>Portuguese</v>
      </c>
      <c r="G609" s="19" t="str">
        <f>VLOOKUP(A609,Sheet1!A:O,15,0)</f>
        <v>Blockchain Development</v>
      </c>
      <c r="H609" s="19">
        <f>VLOOKUP(A609,Sheet1!A:Q,17,0)</f>
        <v>4</v>
      </c>
      <c r="I609" s="20">
        <f>VLOOKUP(A609,Sheet1!A:V,22,0)</f>
        <v>52.808022922636106</v>
      </c>
      <c r="J609" s="21">
        <f>VLOOKUP(A609,Sheet1!A:X,24,0)</f>
        <v>2.5652616279069753</v>
      </c>
      <c r="K609" s="19" t="str">
        <f>VLOOKUP(A609,Sheet1!A:AB,28,0)</f>
        <v>No</v>
      </c>
      <c r="L609" s="27">
        <f>VLOOKUP(A609,Sheet1!A:AD,30,0)</f>
        <v>79.621664050235481</v>
      </c>
    </row>
    <row r="610" spans="1:12" x14ac:dyDescent="0.3">
      <c r="A610" s="14" t="s">
        <v>611</v>
      </c>
      <c r="B610" s="19" t="str">
        <f>VLOOKUP(A610,Sheet1!A:E,5,0)</f>
        <v>Steven Jackson</v>
      </c>
      <c r="C610" s="19" t="str">
        <f>VLOOKUP(A610,Sheet1!A:I,9,0)</f>
        <v>Male</v>
      </c>
      <c r="D610" s="19">
        <f>VLOOKUP(A610,Sheet1!A:K,11,0)</f>
        <v>37</v>
      </c>
      <c r="E610" s="19" t="str">
        <f>VLOOKUP(A610,Sheet1!A:M,13,0)</f>
        <v>Brazil</v>
      </c>
      <c r="F610" s="19" t="str">
        <f>VLOOKUP(A610,Sheet1!A:N,14,0)</f>
        <v>Portuguese</v>
      </c>
      <c r="G610" s="19" t="str">
        <f>VLOOKUP(A610,Sheet1!A:O,15,0)</f>
        <v>UI/UX Design</v>
      </c>
      <c r="H610" s="19">
        <f>VLOOKUP(A610,Sheet1!A:Q,17,0)</f>
        <v>17</v>
      </c>
      <c r="I610" s="20">
        <f>VLOOKUP(A610,Sheet1!A:V,22,0)</f>
        <v>20</v>
      </c>
      <c r="J610" s="21">
        <f>VLOOKUP(A610,Sheet1!A:X,24,0)</f>
        <v>0</v>
      </c>
      <c r="K610" s="19" t="str">
        <f>VLOOKUP(A610,Sheet1!A:AB,28,0)</f>
        <v>Yes</v>
      </c>
      <c r="L610" s="27">
        <f>VLOOKUP(A610,Sheet1!A:AD,30,0)</f>
        <v>87</v>
      </c>
    </row>
    <row r="611" spans="1:12" x14ac:dyDescent="0.3">
      <c r="A611" s="14" t="s">
        <v>775</v>
      </c>
      <c r="B611" s="19" t="str">
        <f>VLOOKUP(A611,Sheet1!A:E,5,0)</f>
        <v>Victoria Miller</v>
      </c>
      <c r="C611" s="19" t="str">
        <f>VLOOKUP(A611,Sheet1!A:I,9,0)</f>
        <v>Female</v>
      </c>
      <c r="D611" s="19">
        <f>VLOOKUP(A611,Sheet1!A:K,11,0)</f>
        <v>37</v>
      </c>
      <c r="E611" s="19" t="str">
        <f>VLOOKUP(A611,Sheet1!A:M,13,0)</f>
        <v>Canada</v>
      </c>
      <c r="F611" s="19" t="str">
        <f>VLOOKUP(A611,Sheet1!A:N,14,0)</f>
        <v>English</v>
      </c>
      <c r="G611" s="19" t="str">
        <f>VLOOKUP(A611,Sheet1!A:O,15,0)</f>
        <v>DevOps</v>
      </c>
      <c r="H611" s="19">
        <f>VLOOKUP(A611,Sheet1!A:Q,17,0)</f>
        <v>9</v>
      </c>
      <c r="I611" s="20">
        <f>VLOOKUP(A611,Sheet1!A:V,22,0)</f>
        <v>20</v>
      </c>
      <c r="J611" s="21">
        <f>VLOOKUP(A611,Sheet1!A:X,24,0)</f>
        <v>4.9000000000000004</v>
      </c>
      <c r="K611" s="19" t="str">
        <f>VLOOKUP(A611,Sheet1!A:AB,28,0)</f>
        <v>No</v>
      </c>
      <c r="L611" s="27">
        <f>VLOOKUP(A611,Sheet1!A:AD,30,0)</f>
        <v>79.422586520947178</v>
      </c>
    </row>
    <row r="612" spans="1:12" x14ac:dyDescent="0.3">
      <c r="A612" s="14" t="s">
        <v>1889</v>
      </c>
      <c r="B612" s="19" t="str">
        <f>VLOOKUP(A612,Sheet1!A:E,5,0)</f>
        <v>Yvonne Robinson</v>
      </c>
      <c r="C612" s="19" t="str">
        <f>VLOOKUP(A612,Sheet1!A:I,9,0)</f>
        <v>Female</v>
      </c>
      <c r="D612" s="19">
        <f>VLOOKUP(A612,Sheet1!A:K,11,0)</f>
        <v>37</v>
      </c>
      <c r="E612" s="19" t="str">
        <f>VLOOKUP(A612,Sheet1!A:M,13,0)</f>
        <v>United States</v>
      </c>
      <c r="F612" s="19" t="str">
        <f>VLOOKUP(A612,Sheet1!A:N,14,0)</f>
        <v>English</v>
      </c>
      <c r="G612" s="19" t="str">
        <f>VLOOKUP(A612,Sheet1!A:O,15,0)</f>
        <v>Blockchain Development</v>
      </c>
      <c r="H612" s="19">
        <f>VLOOKUP(A612,Sheet1!A:Q,17,0)</f>
        <v>18</v>
      </c>
      <c r="I612" s="20">
        <f>VLOOKUP(A612,Sheet1!A:V,22,0)</f>
        <v>40</v>
      </c>
      <c r="J612" s="21">
        <f>VLOOKUP(A612,Sheet1!A:X,24,0)</f>
        <v>4.5</v>
      </c>
      <c r="K612" s="19" t="str">
        <f>VLOOKUP(A612,Sheet1!A:AB,28,0)</f>
        <v>No</v>
      </c>
      <c r="L612" s="27">
        <f>VLOOKUP(A612,Sheet1!A:AD,30,0)</f>
        <v>72</v>
      </c>
    </row>
    <row r="613" spans="1:12" x14ac:dyDescent="0.3">
      <c r="A613" s="14" t="s">
        <v>132</v>
      </c>
      <c r="B613" s="19" t="str">
        <f>VLOOKUP(A613,Sheet1!A:E,5,0)</f>
        <v>Alexis Day</v>
      </c>
      <c r="C613" s="19" t="str">
        <f>VLOOKUP(A613,Sheet1!A:I,9,0)</f>
        <v>Female</v>
      </c>
      <c r="D613" s="19">
        <f>VLOOKUP(A613,Sheet1!A:K,11,0)</f>
        <v>36</v>
      </c>
      <c r="E613" s="19" t="str">
        <f>VLOOKUP(A613,Sheet1!A:M,13,0)</f>
        <v>Russia</v>
      </c>
      <c r="F613" s="19" t="str">
        <f>VLOOKUP(A613,Sheet1!A:N,14,0)</f>
        <v>Russian</v>
      </c>
      <c r="G613" s="19" t="str">
        <f>VLOOKUP(A613,Sheet1!A:O,15,0)</f>
        <v>Graphic Design</v>
      </c>
      <c r="H613" s="19">
        <f>VLOOKUP(A613,Sheet1!A:Q,17,0)</f>
        <v>11</v>
      </c>
      <c r="I613" s="20">
        <f>VLOOKUP(A613,Sheet1!A:V,22,0)</f>
        <v>52.406779661016948</v>
      </c>
      <c r="J613" s="21">
        <f>VLOOKUP(A613,Sheet1!A:X,24,0)</f>
        <v>1.8</v>
      </c>
      <c r="K613" s="19" t="str">
        <f>VLOOKUP(A613,Sheet1!A:AB,28,0)</f>
        <v>Yes</v>
      </c>
      <c r="L613" s="27">
        <f>VLOOKUP(A613,Sheet1!A:AD,30,0)</f>
        <v>86</v>
      </c>
    </row>
    <row r="614" spans="1:12" x14ac:dyDescent="0.3">
      <c r="A614" s="14" t="s">
        <v>336</v>
      </c>
      <c r="B614" s="19" t="str">
        <f>VLOOKUP(A614,Sheet1!A:E,5,0)</f>
        <v>Allison Tucker</v>
      </c>
      <c r="C614" s="19" t="str">
        <f>VLOOKUP(A614,Sheet1!A:I,9,0)</f>
        <v>Female</v>
      </c>
      <c r="D614" s="19">
        <f>VLOOKUP(A614,Sheet1!A:K,11,0)</f>
        <v>36</v>
      </c>
      <c r="E614" s="19" t="str">
        <f>VLOOKUP(A614,Sheet1!A:M,13,0)</f>
        <v>Indonesia</v>
      </c>
      <c r="F614" s="19" t="str">
        <f>VLOOKUP(A614,Sheet1!A:N,14,0)</f>
        <v>Indonesian</v>
      </c>
      <c r="G614" s="19" t="str">
        <f>VLOOKUP(A614,Sheet1!A:O,15,0)</f>
        <v>UI/UX Design</v>
      </c>
      <c r="H614" s="19">
        <f>VLOOKUP(A614,Sheet1!A:Q,17,0)</f>
        <v>13</v>
      </c>
      <c r="I614" s="20">
        <f>VLOOKUP(A614,Sheet1!A:V,22,0)</f>
        <v>75</v>
      </c>
      <c r="J614" s="21">
        <f>VLOOKUP(A614,Sheet1!A:X,24,0)</f>
        <v>2.5130214917825526</v>
      </c>
      <c r="K614" s="19" t="str">
        <f>VLOOKUP(A614,Sheet1!A:AB,28,0)</f>
        <v>Yes</v>
      </c>
      <c r="L614" s="27">
        <f>VLOOKUP(A614,Sheet1!A:AD,30,0)</f>
        <v>79.482240437158467</v>
      </c>
    </row>
    <row r="615" spans="1:12" x14ac:dyDescent="0.3">
      <c r="A615" s="14" t="s">
        <v>1115</v>
      </c>
      <c r="B615" s="19" t="str">
        <f>VLOOKUP(A615,Sheet1!A:E,5,0)</f>
        <v>Ashley Odonnell</v>
      </c>
      <c r="C615" s="19" t="str">
        <f>VLOOKUP(A615,Sheet1!A:I,9,0)</f>
        <v>Female</v>
      </c>
      <c r="D615" s="19">
        <f>VLOOKUP(A615,Sheet1!A:K,11,0)</f>
        <v>36</v>
      </c>
      <c r="E615" s="19" t="str">
        <f>VLOOKUP(A615,Sheet1!A:M,13,0)</f>
        <v>Argentina</v>
      </c>
      <c r="F615" s="19" t="str">
        <f>VLOOKUP(A615,Sheet1!A:N,14,0)</f>
        <v>Spanish</v>
      </c>
      <c r="G615" s="19" t="str">
        <f>VLOOKUP(A615,Sheet1!A:O,15,0)</f>
        <v>UI/UX Design</v>
      </c>
      <c r="H615" s="19">
        <f>VLOOKUP(A615,Sheet1!A:Q,17,0)</f>
        <v>8</v>
      </c>
      <c r="I615" s="20">
        <f>VLOOKUP(A615,Sheet1!A:V,22,0)</f>
        <v>100</v>
      </c>
      <c r="J615" s="21">
        <f>VLOOKUP(A615,Sheet1!A:X,24,0)</f>
        <v>1.7</v>
      </c>
      <c r="K615" s="19" t="str">
        <f>VLOOKUP(A615,Sheet1!A:AB,28,0)</f>
        <v>No</v>
      </c>
      <c r="L615" s="27">
        <f>VLOOKUP(A615,Sheet1!A:AD,30,0)</f>
        <v>68</v>
      </c>
    </row>
    <row r="616" spans="1:12" x14ac:dyDescent="0.3">
      <c r="A616" s="14" t="s">
        <v>2012</v>
      </c>
      <c r="B616" s="19" t="str">
        <f>VLOOKUP(A616,Sheet1!A:E,5,0)</f>
        <v>Brenda Koch</v>
      </c>
      <c r="C616" s="19" t="str">
        <f>VLOOKUP(A616,Sheet1!A:I,9,0)</f>
        <v>Female</v>
      </c>
      <c r="D616" s="19">
        <f>VLOOKUP(A616,Sheet1!A:K,11,0)</f>
        <v>36</v>
      </c>
      <c r="E616" s="19" t="str">
        <f>VLOOKUP(A616,Sheet1!A:M,13,0)</f>
        <v>Brazil</v>
      </c>
      <c r="F616" s="19" t="str">
        <f>VLOOKUP(A616,Sheet1!A:N,14,0)</f>
        <v>Portuguese</v>
      </c>
      <c r="G616" s="19" t="str">
        <f>VLOOKUP(A616,Sheet1!A:O,15,0)</f>
        <v>Web Development</v>
      </c>
      <c r="H616" s="19">
        <f>VLOOKUP(A616,Sheet1!A:Q,17,0)</f>
        <v>9</v>
      </c>
      <c r="I616" s="20">
        <f>VLOOKUP(A616,Sheet1!A:V,22,0)</f>
        <v>20</v>
      </c>
      <c r="J616" s="21">
        <f>VLOOKUP(A616,Sheet1!A:X,24,0)</f>
        <v>4.0999999999999996</v>
      </c>
      <c r="K616" s="19" t="str">
        <f>VLOOKUP(A616,Sheet1!A:AB,28,0)</f>
        <v>No</v>
      </c>
      <c r="L616" s="27">
        <f>VLOOKUP(A616,Sheet1!A:AD,30,0)</f>
        <v>86</v>
      </c>
    </row>
    <row r="617" spans="1:12" x14ac:dyDescent="0.3">
      <c r="A617" s="14" t="s">
        <v>897</v>
      </c>
      <c r="B617" s="19" t="str">
        <f>VLOOKUP(A617,Sheet1!A:E,5,0)</f>
        <v>Brett Moore</v>
      </c>
      <c r="C617" s="19" t="str">
        <f>VLOOKUP(A617,Sheet1!A:I,9,0)</f>
        <v>Male</v>
      </c>
      <c r="D617" s="19">
        <f>VLOOKUP(A617,Sheet1!A:K,11,0)</f>
        <v>36</v>
      </c>
      <c r="E617" s="19" t="str">
        <f>VLOOKUP(A617,Sheet1!A:M,13,0)</f>
        <v>Turkey</v>
      </c>
      <c r="F617" s="19" t="str">
        <f>VLOOKUP(A617,Sheet1!A:N,14,0)</f>
        <v>Turkish</v>
      </c>
      <c r="G617" s="19" t="str">
        <f>VLOOKUP(A617,Sheet1!A:O,15,0)</f>
        <v>Cybersecurity</v>
      </c>
      <c r="H617" s="19">
        <f>VLOOKUP(A617,Sheet1!A:Q,17,0)</f>
        <v>2</v>
      </c>
      <c r="I617" s="20">
        <f>VLOOKUP(A617,Sheet1!A:V,22,0)</f>
        <v>75</v>
      </c>
      <c r="J617" s="21">
        <f>VLOOKUP(A617,Sheet1!A:X,24,0)</f>
        <v>0</v>
      </c>
      <c r="K617" s="19" t="str">
        <f>VLOOKUP(A617,Sheet1!A:AB,28,0)</f>
        <v>No</v>
      </c>
      <c r="L617" s="27">
        <f>VLOOKUP(A617,Sheet1!A:AD,30,0)</f>
        <v>92</v>
      </c>
    </row>
    <row r="618" spans="1:12" x14ac:dyDescent="0.3">
      <c r="A618" s="14" t="s">
        <v>1922</v>
      </c>
      <c r="B618" s="19" t="str">
        <f>VLOOKUP(A618,Sheet1!A:E,5,0)</f>
        <v>Brittany Barker</v>
      </c>
      <c r="C618" s="19" t="str">
        <f>VLOOKUP(A618,Sheet1!A:I,9,0)</f>
        <v>Female</v>
      </c>
      <c r="D618" s="19">
        <f>VLOOKUP(A618,Sheet1!A:K,11,0)</f>
        <v>36</v>
      </c>
      <c r="E618" s="19" t="str">
        <f>VLOOKUP(A618,Sheet1!A:M,13,0)</f>
        <v>Italy</v>
      </c>
      <c r="F618" s="19" t="str">
        <f>VLOOKUP(A618,Sheet1!A:N,14,0)</f>
        <v>Italian</v>
      </c>
      <c r="G618" s="19" t="str">
        <f>VLOOKUP(A618,Sheet1!A:O,15,0)</f>
        <v>Graphic Design</v>
      </c>
      <c r="H618" s="19">
        <f>VLOOKUP(A618,Sheet1!A:Q,17,0)</f>
        <v>14</v>
      </c>
      <c r="I618" s="20">
        <f>VLOOKUP(A618,Sheet1!A:V,22,0)</f>
        <v>30</v>
      </c>
      <c r="J618" s="21">
        <f>VLOOKUP(A618,Sheet1!A:X,24,0)</f>
        <v>1.9</v>
      </c>
      <c r="K618" s="19" t="str">
        <f>VLOOKUP(A618,Sheet1!A:AB,28,0)</f>
        <v>No</v>
      </c>
      <c r="L618" s="27">
        <f>VLOOKUP(A618,Sheet1!A:AD,30,0)</f>
        <v>62</v>
      </c>
    </row>
    <row r="619" spans="1:12" x14ac:dyDescent="0.3">
      <c r="A619" s="14" t="s">
        <v>1836</v>
      </c>
      <c r="B619" s="19" t="str">
        <f>VLOOKUP(A619,Sheet1!A:E,5,0)</f>
        <v>Courtney Burton</v>
      </c>
      <c r="C619" s="19" t="str">
        <f>VLOOKUP(A619,Sheet1!A:I,9,0)</f>
        <v>Female</v>
      </c>
      <c r="D619" s="19">
        <f>VLOOKUP(A619,Sheet1!A:K,11,0)</f>
        <v>36</v>
      </c>
      <c r="E619" s="19" t="str">
        <f>VLOOKUP(A619,Sheet1!A:M,13,0)</f>
        <v>South Korea</v>
      </c>
      <c r="F619" s="19" t="str">
        <f>VLOOKUP(A619,Sheet1!A:N,14,0)</f>
        <v>Korean</v>
      </c>
      <c r="G619" s="19" t="str">
        <f>VLOOKUP(A619,Sheet1!A:O,15,0)</f>
        <v>UI/UX Design</v>
      </c>
      <c r="H619" s="19">
        <f>VLOOKUP(A619,Sheet1!A:Q,17,0)</f>
        <v>0</v>
      </c>
      <c r="I619" s="20">
        <f>VLOOKUP(A619,Sheet1!A:V,22,0)</f>
        <v>75</v>
      </c>
      <c r="J619" s="21">
        <f>VLOOKUP(A619,Sheet1!A:X,24,0)</f>
        <v>1.5</v>
      </c>
      <c r="K619" s="19" t="str">
        <f>VLOOKUP(A619,Sheet1!A:AB,28,0)</f>
        <v>Unknown</v>
      </c>
      <c r="L619" s="27">
        <f>VLOOKUP(A619,Sheet1!A:AD,30,0)</f>
        <v>73</v>
      </c>
    </row>
    <row r="620" spans="1:12" x14ac:dyDescent="0.3">
      <c r="A620" s="14" t="s">
        <v>2086</v>
      </c>
      <c r="B620" s="19" t="str">
        <f>VLOOKUP(A620,Sheet1!A:E,5,0)</f>
        <v>Dawn Green</v>
      </c>
      <c r="C620" s="19" t="str">
        <f>VLOOKUP(A620,Sheet1!A:I,9,0)</f>
        <v>Female</v>
      </c>
      <c r="D620" s="19">
        <f>VLOOKUP(A620,Sheet1!A:K,11,0)</f>
        <v>36</v>
      </c>
      <c r="E620" s="19" t="str">
        <f>VLOOKUP(A620,Sheet1!A:M,13,0)</f>
        <v>Mexico</v>
      </c>
      <c r="F620" s="19" t="str">
        <f>VLOOKUP(A620,Sheet1!A:N,14,0)</f>
        <v>Spanish</v>
      </c>
      <c r="G620" s="19" t="str">
        <f>VLOOKUP(A620,Sheet1!A:O,15,0)</f>
        <v>UI/UX Design</v>
      </c>
      <c r="H620" s="19">
        <f>VLOOKUP(A620,Sheet1!A:Q,17,0)</f>
        <v>18</v>
      </c>
      <c r="I620" s="20">
        <f>VLOOKUP(A620,Sheet1!A:V,22,0)</f>
        <v>20</v>
      </c>
      <c r="J620" s="21">
        <f>VLOOKUP(A620,Sheet1!A:X,24,0)</f>
        <v>1.7</v>
      </c>
      <c r="K620" s="19" t="str">
        <f>VLOOKUP(A620,Sheet1!A:AB,28,0)</f>
        <v>Yes</v>
      </c>
      <c r="L620" s="27">
        <f>VLOOKUP(A620,Sheet1!A:AD,30,0)</f>
        <v>72</v>
      </c>
    </row>
    <row r="621" spans="1:12" x14ac:dyDescent="0.3">
      <c r="A621" s="14" t="s">
        <v>1125</v>
      </c>
      <c r="B621" s="19" t="str">
        <f>VLOOKUP(A621,Sheet1!A:E,5,0)</f>
        <v>Diana Chase</v>
      </c>
      <c r="C621" s="19" t="str">
        <f>VLOOKUP(A621,Sheet1!A:I,9,0)</f>
        <v>Female</v>
      </c>
      <c r="D621" s="19">
        <f>VLOOKUP(A621,Sheet1!A:K,11,0)</f>
        <v>36</v>
      </c>
      <c r="E621" s="19" t="str">
        <f>VLOOKUP(A621,Sheet1!A:M,13,0)</f>
        <v>Turkey</v>
      </c>
      <c r="F621" s="19" t="str">
        <f>VLOOKUP(A621,Sheet1!A:N,14,0)</f>
        <v>Turkish</v>
      </c>
      <c r="G621" s="19" t="str">
        <f>VLOOKUP(A621,Sheet1!A:O,15,0)</f>
        <v>AI</v>
      </c>
      <c r="H621" s="19">
        <f>VLOOKUP(A621,Sheet1!A:Q,17,0)</f>
        <v>3</v>
      </c>
      <c r="I621" s="20">
        <f>VLOOKUP(A621,Sheet1!A:V,22,0)</f>
        <v>50</v>
      </c>
      <c r="J621" s="21">
        <f>VLOOKUP(A621,Sheet1!A:X,24,0)</f>
        <v>0</v>
      </c>
      <c r="K621" s="19" t="str">
        <f>VLOOKUP(A621,Sheet1!A:AB,28,0)</f>
        <v>No</v>
      </c>
      <c r="L621" s="27">
        <f>VLOOKUP(A621,Sheet1!A:AD,30,0)</f>
        <v>75</v>
      </c>
    </row>
    <row r="622" spans="1:12" x14ac:dyDescent="0.3">
      <c r="A622" s="14" t="s">
        <v>950</v>
      </c>
      <c r="B622" s="19" t="str">
        <f>VLOOKUP(A622,Sheet1!A:E,5,0)</f>
        <v>Diana Walton</v>
      </c>
      <c r="C622" s="19" t="str">
        <f>VLOOKUP(A622,Sheet1!A:I,9,0)</f>
        <v>Female</v>
      </c>
      <c r="D622" s="19">
        <f>VLOOKUP(A622,Sheet1!A:K,11,0)</f>
        <v>36</v>
      </c>
      <c r="E622" s="19" t="str">
        <f>VLOOKUP(A622,Sheet1!A:M,13,0)</f>
        <v>Italy</v>
      </c>
      <c r="F622" s="19" t="str">
        <f>VLOOKUP(A622,Sheet1!A:N,14,0)</f>
        <v>Italian</v>
      </c>
      <c r="G622" s="19" t="str">
        <f>VLOOKUP(A622,Sheet1!A:O,15,0)</f>
        <v>Machine Learning</v>
      </c>
      <c r="H622" s="19">
        <f>VLOOKUP(A622,Sheet1!A:Q,17,0)</f>
        <v>1</v>
      </c>
      <c r="I622" s="20">
        <f>VLOOKUP(A622,Sheet1!A:V,22,0)</f>
        <v>75</v>
      </c>
      <c r="J622" s="21">
        <f>VLOOKUP(A622,Sheet1!A:X,24,0)</f>
        <v>2.5644400785854606</v>
      </c>
      <c r="K622" s="19" t="str">
        <f>VLOOKUP(A622,Sheet1!A:AB,28,0)</f>
        <v>Unknown</v>
      </c>
      <c r="L622" s="27">
        <f>VLOOKUP(A622,Sheet1!A:AD,30,0)</f>
        <v>63</v>
      </c>
    </row>
    <row r="623" spans="1:12" x14ac:dyDescent="0.3">
      <c r="A623" s="14" t="s">
        <v>1881</v>
      </c>
      <c r="B623" s="19" t="str">
        <f>VLOOKUP(A623,Sheet1!A:E,5,0)</f>
        <v>Erica Johnson</v>
      </c>
      <c r="C623" s="19" t="str">
        <f>VLOOKUP(A623,Sheet1!A:I,9,0)</f>
        <v>Female</v>
      </c>
      <c r="D623" s="19">
        <f>VLOOKUP(A623,Sheet1!A:K,11,0)</f>
        <v>36</v>
      </c>
      <c r="E623" s="19" t="str">
        <f>VLOOKUP(A623,Sheet1!A:M,13,0)</f>
        <v>United States</v>
      </c>
      <c r="F623" s="19" t="str">
        <f>VLOOKUP(A623,Sheet1!A:N,14,0)</f>
        <v>English</v>
      </c>
      <c r="G623" s="19" t="str">
        <f>VLOOKUP(A623,Sheet1!A:O,15,0)</f>
        <v>UI/UX Design</v>
      </c>
      <c r="H623" s="19">
        <f>VLOOKUP(A623,Sheet1!A:Q,17,0)</f>
        <v>8</v>
      </c>
      <c r="I623" s="20">
        <f>VLOOKUP(A623,Sheet1!A:V,22,0)</f>
        <v>50</v>
      </c>
      <c r="J623" s="21">
        <f>VLOOKUP(A623,Sheet1!A:X,24,0)</f>
        <v>4.3</v>
      </c>
      <c r="K623" s="19" t="str">
        <f>VLOOKUP(A623,Sheet1!A:AB,28,0)</f>
        <v>No</v>
      </c>
      <c r="L623" s="27">
        <f>VLOOKUP(A623,Sheet1!A:AD,30,0)</f>
        <v>90</v>
      </c>
    </row>
    <row r="624" spans="1:12" x14ac:dyDescent="0.3">
      <c r="A624" s="14" t="s">
        <v>1123</v>
      </c>
      <c r="B624" s="19" t="str">
        <f>VLOOKUP(A624,Sheet1!A:E,5,0)</f>
        <v>Heather Davis</v>
      </c>
      <c r="C624" s="19" t="str">
        <f>VLOOKUP(A624,Sheet1!A:I,9,0)</f>
        <v>Female</v>
      </c>
      <c r="D624" s="19">
        <f>VLOOKUP(A624,Sheet1!A:K,11,0)</f>
        <v>36</v>
      </c>
      <c r="E624" s="19" t="str">
        <f>VLOOKUP(A624,Sheet1!A:M,13,0)</f>
        <v>Japan</v>
      </c>
      <c r="F624" s="19" t="str">
        <f>VLOOKUP(A624,Sheet1!A:N,14,0)</f>
        <v>Japanese</v>
      </c>
      <c r="G624" s="19" t="str">
        <f>VLOOKUP(A624,Sheet1!A:O,15,0)</f>
        <v>Machine Learning</v>
      </c>
      <c r="H624" s="19">
        <f>VLOOKUP(A624,Sheet1!A:Q,17,0)</f>
        <v>9</v>
      </c>
      <c r="I624" s="20">
        <f>VLOOKUP(A624,Sheet1!A:V,22,0)</f>
        <v>30</v>
      </c>
      <c r="J624" s="21">
        <f>VLOOKUP(A624,Sheet1!A:X,24,0)</f>
        <v>0</v>
      </c>
      <c r="K624" s="19" t="str">
        <f>VLOOKUP(A624,Sheet1!A:AB,28,0)</f>
        <v>Yes</v>
      </c>
      <c r="L624" s="27">
        <f>VLOOKUP(A624,Sheet1!A:AD,30,0)</f>
        <v>78</v>
      </c>
    </row>
    <row r="625" spans="1:12" x14ac:dyDescent="0.3">
      <c r="A625" s="14" t="s">
        <v>1038</v>
      </c>
      <c r="B625" s="19" t="str">
        <f>VLOOKUP(A625,Sheet1!A:E,5,0)</f>
        <v>Ian May</v>
      </c>
      <c r="C625" s="19" t="str">
        <f>VLOOKUP(A625,Sheet1!A:I,9,0)</f>
        <v>Male</v>
      </c>
      <c r="D625" s="19">
        <f>VLOOKUP(A625,Sheet1!A:K,11,0)</f>
        <v>36</v>
      </c>
      <c r="E625" s="19" t="str">
        <f>VLOOKUP(A625,Sheet1!A:M,13,0)</f>
        <v>France</v>
      </c>
      <c r="F625" s="19" t="str">
        <f>VLOOKUP(A625,Sheet1!A:N,14,0)</f>
        <v>French</v>
      </c>
      <c r="G625" s="19" t="str">
        <f>VLOOKUP(A625,Sheet1!A:O,15,0)</f>
        <v>Blockchain Development</v>
      </c>
      <c r="H625" s="19">
        <f>VLOOKUP(A625,Sheet1!A:Q,17,0)</f>
        <v>11</v>
      </c>
      <c r="I625" s="20">
        <f>VLOOKUP(A625,Sheet1!A:V,22,0)</f>
        <v>40</v>
      </c>
      <c r="J625" s="21">
        <f>VLOOKUP(A625,Sheet1!A:X,24,0)</f>
        <v>1.3</v>
      </c>
      <c r="K625" s="19" t="str">
        <f>VLOOKUP(A625,Sheet1!A:AB,28,0)</f>
        <v>Yes</v>
      </c>
      <c r="L625" s="27">
        <f>VLOOKUP(A625,Sheet1!A:AD,30,0)</f>
        <v>79.510250569476085</v>
      </c>
    </row>
    <row r="626" spans="1:12" x14ac:dyDescent="0.3">
      <c r="A626" s="14" t="s">
        <v>1271</v>
      </c>
      <c r="B626" s="19" t="str">
        <f>VLOOKUP(A626,Sheet1!A:E,5,0)</f>
        <v>Jessica Gray</v>
      </c>
      <c r="C626" s="19" t="str">
        <f>VLOOKUP(A626,Sheet1!A:I,9,0)</f>
        <v>Female</v>
      </c>
      <c r="D626" s="19">
        <f>VLOOKUP(A626,Sheet1!A:K,11,0)</f>
        <v>36</v>
      </c>
      <c r="E626" s="19" t="str">
        <f>VLOOKUP(A626,Sheet1!A:M,13,0)</f>
        <v>Argentina</v>
      </c>
      <c r="F626" s="19" t="str">
        <f>VLOOKUP(A626,Sheet1!A:N,14,0)</f>
        <v>Spanish</v>
      </c>
      <c r="G626" s="19" t="str">
        <f>VLOOKUP(A626,Sheet1!A:O,15,0)</f>
        <v>Mobile Apps</v>
      </c>
      <c r="H626" s="19">
        <f>VLOOKUP(A626,Sheet1!A:Q,17,0)</f>
        <v>16</v>
      </c>
      <c r="I626" s="20">
        <f>VLOOKUP(A626,Sheet1!A:V,22,0)</f>
        <v>20</v>
      </c>
      <c r="J626" s="21">
        <f>VLOOKUP(A626,Sheet1!A:X,24,0)</f>
        <v>3.2</v>
      </c>
      <c r="K626" s="19" t="str">
        <f>VLOOKUP(A626,Sheet1!A:AB,28,0)</f>
        <v>Unknown</v>
      </c>
      <c r="L626" s="27">
        <f>VLOOKUP(A626,Sheet1!A:AD,30,0)</f>
        <v>79.83430232558139</v>
      </c>
    </row>
    <row r="627" spans="1:12" x14ac:dyDescent="0.3">
      <c r="A627" s="14" t="s">
        <v>771</v>
      </c>
      <c r="B627" s="19" t="str">
        <f>VLOOKUP(A627,Sheet1!A:E,5,0)</f>
        <v>Joseph Robinson</v>
      </c>
      <c r="C627" s="19" t="str">
        <f>VLOOKUP(A627,Sheet1!A:I,9,0)</f>
        <v>Male</v>
      </c>
      <c r="D627" s="19">
        <f>VLOOKUP(A627,Sheet1!A:K,11,0)</f>
        <v>36</v>
      </c>
      <c r="E627" s="19" t="str">
        <f>VLOOKUP(A627,Sheet1!A:M,13,0)</f>
        <v>South Korea</v>
      </c>
      <c r="F627" s="19" t="str">
        <f>VLOOKUP(A627,Sheet1!A:N,14,0)</f>
        <v>Korean</v>
      </c>
      <c r="G627" s="19" t="str">
        <f>VLOOKUP(A627,Sheet1!A:O,15,0)</f>
        <v>Graphic Design</v>
      </c>
      <c r="H627" s="19">
        <f>VLOOKUP(A627,Sheet1!A:Q,17,0)</f>
        <v>6</v>
      </c>
      <c r="I627" s="20">
        <f>VLOOKUP(A627,Sheet1!A:V,22,0)</f>
        <v>20</v>
      </c>
      <c r="J627" s="21">
        <f>VLOOKUP(A627,Sheet1!A:X,24,0)</f>
        <v>1</v>
      </c>
      <c r="K627" s="19" t="str">
        <f>VLOOKUP(A627,Sheet1!A:AB,28,0)</f>
        <v>Yes</v>
      </c>
      <c r="L627" s="27">
        <f>VLOOKUP(A627,Sheet1!A:AD,30,0)</f>
        <v>64</v>
      </c>
    </row>
    <row r="628" spans="1:12" x14ac:dyDescent="0.3">
      <c r="A628" s="14" t="s">
        <v>930</v>
      </c>
      <c r="B628" s="19" t="str">
        <f>VLOOKUP(A628,Sheet1!A:E,5,0)</f>
        <v>Kathleen Quinn</v>
      </c>
      <c r="C628" s="19" t="str">
        <f>VLOOKUP(A628,Sheet1!A:I,9,0)</f>
        <v>Female</v>
      </c>
      <c r="D628" s="19">
        <f>VLOOKUP(A628,Sheet1!A:K,11,0)</f>
        <v>36</v>
      </c>
      <c r="E628" s="19" t="str">
        <f>VLOOKUP(A628,Sheet1!A:M,13,0)</f>
        <v>France</v>
      </c>
      <c r="F628" s="19" t="str">
        <f>VLOOKUP(A628,Sheet1!A:N,14,0)</f>
        <v>French</v>
      </c>
      <c r="G628" s="19" t="str">
        <f>VLOOKUP(A628,Sheet1!A:O,15,0)</f>
        <v>AI</v>
      </c>
      <c r="H628" s="19">
        <f>VLOOKUP(A628,Sheet1!A:Q,17,0)</f>
        <v>8</v>
      </c>
      <c r="I628" s="20">
        <f>VLOOKUP(A628,Sheet1!A:V,22,0)</f>
        <v>100</v>
      </c>
      <c r="J628" s="21">
        <f>VLOOKUP(A628,Sheet1!A:X,24,0)</f>
        <v>2.2000000000000002</v>
      </c>
      <c r="K628" s="19" t="str">
        <f>VLOOKUP(A628,Sheet1!A:AB,28,0)</f>
        <v>Yes</v>
      </c>
      <c r="L628" s="27">
        <f>VLOOKUP(A628,Sheet1!A:AD,30,0)</f>
        <v>97</v>
      </c>
    </row>
    <row r="629" spans="1:12" x14ac:dyDescent="0.3">
      <c r="A629" s="14" t="s">
        <v>1413</v>
      </c>
      <c r="B629" s="19" t="str">
        <f>VLOOKUP(A629,Sheet1!A:E,5,0)</f>
        <v>Leah Harris</v>
      </c>
      <c r="C629" s="19" t="str">
        <f>VLOOKUP(A629,Sheet1!A:I,9,0)</f>
        <v>Female</v>
      </c>
      <c r="D629" s="19">
        <f>VLOOKUP(A629,Sheet1!A:K,11,0)</f>
        <v>36</v>
      </c>
      <c r="E629" s="19" t="str">
        <f>VLOOKUP(A629,Sheet1!A:M,13,0)</f>
        <v>United States</v>
      </c>
      <c r="F629" s="19" t="str">
        <f>VLOOKUP(A629,Sheet1!A:N,14,0)</f>
        <v>English</v>
      </c>
      <c r="G629" s="19" t="str">
        <f>VLOOKUP(A629,Sheet1!A:O,15,0)</f>
        <v>Machine Learning</v>
      </c>
      <c r="H629" s="19">
        <f>VLOOKUP(A629,Sheet1!A:Q,17,0)</f>
        <v>9</v>
      </c>
      <c r="I629" s="20">
        <f>VLOOKUP(A629,Sheet1!A:V,22,0)</f>
        <v>20</v>
      </c>
      <c r="J629" s="21">
        <f>VLOOKUP(A629,Sheet1!A:X,24,0)</f>
        <v>0</v>
      </c>
      <c r="K629" s="19" t="str">
        <f>VLOOKUP(A629,Sheet1!A:AB,28,0)</f>
        <v>Yes</v>
      </c>
      <c r="L629" s="27">
        <f>VLOOKUP(A629,Sheet1!A:AD,30,0)</f>
        <v>68</v>
      </c>
    </row>
    <row r="630" spans="1:12" x14ac:dyDescent="0.3">
      <c r="A630" s="14" t="s">
        <v>994</v>
      </c>
      <c r="B630" s="19" t="str">
        <f>VLOOKUP(A630,Sheet1!A:E,5,0)</f>
        <v>Lindsay Hudson</v>
      </c>
      <c r="C630" s="19" t="str">
        <f>VLOOKUP(A630,Sheet1!A:I,9,0)</f>
        <v>Female</v>
      </c>
      <c r="D630" s="19">
        <f>VLOOKUP(A630,Sheet1!A:K,11,0)</f>
        <v>36</v>
      </c>
      <c r="E630" s="19" t="str">
        <f>VLOOKUP(A630,Sheet1!A:M,13,0)</f>
        <v>Netherlands</v>
      </c>
      <c r="F630" s="19" t="str">
        <f>VLOOKUP(A630,Sheet1!A:N,14,0)</f>
        <v>Dutch</v>
      </c>
      <c r="G630" s="19" t="str">
        <f>VLOOKUP(A630,Sheet1!A:O,15,0)</f>
        <v>Cybersecurity</v>
      </c>
      <c r="H630" s="19">
        <f>VLOOKUP(A630,Sheet1!A:Q,17,0)</f>
        <v>11</v>
      </c>
      <c r="I630" s="20">
        <f>VLOOKUP(A630,Sheet1!A:V,22,0)</f>
        <v>30</v>
      </c>
      <c r="J630" s="21">
        <f>VLOOKUP(A630,Sheet1!A:X,24,0)</f>
        <v>0</v>
      </c>
      <c r="K630" s="19" t="str">
        <f>VLOOKUP(A630,Sheet1!A:AB,28,0)</f>
        <v>Yes</v>
      </c>
      <c r="L630" s="27">
        <f>VLOOKUP(A630,Sheet1!A:AD,30,0)</f>
        <v>63</v>
      </c>
    </row>
    <row r="631" spans="1:12" x14ac:dyDescent="0.3">
      <c r="A631" s="14" t="s">
        <v>1506</v>
      </c>
      <c r="B631" s="19" t="str">
        <f>VLOOKUP(A631,Sheet1!A:E,5,0)</f>
        <v>Megan Bright</v>
      </c>
      <c r="C631" s="19" t="str">
        <f>VLOOKUP(A631,Sheet1!A:I,9,0)</f>
        <v>Female</v>
      </c>
      <c r="D631" s="19">
        <f>VLOOKUP(A631,Sheet1!A:K,11,0)</f>
        <v>36</v>
      </c>
      <c r="E631" s="19" t="str">
        <f>VLOOKUP(A631,Sheet1!A:M,13,0)</f>
        <v>Netherlands</v>
      </c>
      <c r="F631" s="19" t="str">
        <f>VLOOKUP(A631,Sheet1!A:N,14,0)</f>
        <v>Dutch</v>
      </c>
      <c r="G631" s="19" t="str">
        <f>VLOOKUP(A631,Sheet1!A:O,15,0)</f>
        <v>Web Development</v>
      </c>
      <c r="H631" s="19">
        <f>VLOOKUP(A631,Sheet1!A:Q,17,0)</f>
        <v>17</v>
      </c>
      <c r="I631" s="20">
        <f>VLOOKUP(A631,Sheet1!A:V,22,0)</f>
        <v>20</v>
      </c>
      <c r="J631" s="21">
        <f>VLOOKUP(A631,Sheet1!A:X,24,0)</f>
        <v>0</v>
      </c>
      <c r="K631" s="19" t="str">
        <f>VLOOKUP(A631,Sheet1!A:AB,28,0)</f>
        <v>Yes</v>
      </c>
      <c r="L631" s="27">
        <f>VLOOKUP(A631,Sheet1!A:AD,30,0)</f>
        <v>99</v>
      </c>
    </row>
    <row r="632" spans="1:12" x14ac:dyDescent="0.3">
      <c r="A632" s="14" t="s">
        <v>243</v>
      </c>
      <c r="B632" s="19" t="str">
        <f>VLOOKUP(A632,Sheet1!A:E,5,0)</f>
        <v>Melvin Harris</v>
      </c>
      <c r="C632" s="19" t="str">
        <f>VLOOKUP(A632,Sheet1!A:I,9,0)</f>
        <v>Male</v>
      </c>
      <c r="D632" s="19">
        <f>VLOOKUP(A632,Sheet1!A:K,11,0)</f>
        <v>36</v>
      </c>
      <c r="E632" s="19" t="str">
        <f>VLOOKUP(A632,Sheet1!A:M,13,0)</f>
        <v>Italy</v>
      </c>
      <c r="F632" s="19" t="str">
        <f>VLOOKUP(A632,Sheet1!A:N,14,0)</f>
        <v>Italian</v>
      </c>
      <c r="G632" s="19" t="str">
        <f>VLOOKUP(A632,Sheet1!A:O,15,0)</f>
        <v>Machine Learning</v>
      </c>
      <c r="H632" s="19">
        <f>VLOOKUP(A632,Sheet1!A:Q,17,0)</f>
        <v>14</v>
      </c>
      <c r="I632" s="20">
        <f>VLOOKUP(A632,Sheet1!A:V,22,0)</f>
        <v>100</v>
      </c>
      <c r="J632" s="21">
        <f>VLOOKUP(A632,Sheet1!A:X,24,0)</f>
        <v>3.7</v>
      </c>
      <c r="K632" s="19" t="str">
        <f>VLOOKUP(A632,Sheet1!A:AB,28,0)</f>
        <v>No</v>
      </c>
      <c r="L632" s="27">
        <f>VLOOKUP(A632,Sheet1!A:AD,30,0)</f>
        <v>79.414602346805736</v>
      </c>
    </row>
    <row r="633" spans="1:12" x14ac:dyDescent="0.3">
      <c r="A633" s="14" t="s">
        <v>1285</v>
      </c>
      <c r="B633" s="19" t="str">
        <f>VLOOKUP(A633,Sheet1!A:E,5,0)</f>
        <v>Michael Miller</v>
      </c>
      <c r="C633" s="19" t="str">
        <f>VLOOKUP(A633,Sheet1!A:I,9,0)</f>
        <v>Male</v>
      </c>
      <c r="D633" s="19">
        <f>VLOOKUP(A633,Sheet1!A:K,11,0)</f>
        <v>36</v>
      </c>
      <c r="E633" s="19" t="str">
        <f>VLOOKUP(A633,Sheet1!A:M,13,0)</f>
        <v>France</v>
      </c>
      <c r="F633" s="19" t="str">
        <f>VLOOKUP(A633,Sheet1!A:N,14,0)</f>
        <v>French</v>
      </c>
      <c r="G633" s="19" t="str">
        <f>VLOOKUP(A633,Sheet1!A:O,15,0)</f>
        <v>Graphic Design</v>
      </c>
      <c r="H633" s="19">
        <f>VLOOKUP(A633,Sheet1!A:Q,17,0)</f>
        <v>3</v>
      </c>
      <c r="I633" s="20">
        <f>VLOOKUP(A633,Sheet1!A:V,22,0)</f>
        <v>50</v>
      </c>
      <c r="J633" s="21">
        <f>VLOOKUP(A633,Sheet1!A:X,24,0)</f>
        <v>1.3</v>
      </c>
      <c r="K633" s="19" t="str">
        <f>VLOOKUP(A633,Sheet1!A:AB,28,0)</f>
        <v>Yes</v>
      </c>
      <c r="L633" s="27">
        <f>VLOOKUP(A633,Sheet1!A:AD,30,0)</f>
        <v>77</v>
      </c>
    </row>
    <row r="634" spans="1:12" x14ac:dyDescent="0.3">
      <c r="A634" s="14" t="s">
        <v>787</v>
      </c>
      <c r="B634" s="19" t="str">
        <f>VLOOKUP(A634,Sheet1!A:E,5,0)</f>
        <v>Richard Velasquez</v>
      </c>
      <c r="C634" s="19" t="str">
        <f>VLOOKUP(A634,Sheet1!A:I,9,0)</f>
        <v>Male</v>
      </c>
      <c r="D634" s="19">
        <f>VLOOKUP(A634,Sheet1!A:K,11,0)</f>
        <v>36</v>
      </c>
      <c r="E634" s="19" t="str">
        <f>VLOOKUP(A634,Sheet1!A:M,13,0)</f>
        <v>France</v>
      </c>
      <c r="F634" s="19" t="str">
        <f>VLOOKUP(A634,Sheet1!A:N,14,0)</f>
        <v>French</v>
      </c>
      <c r="G634" s="19" t="str">
        <f>VLOOKUP(A634,Sheet1!A:O,15,0)</f>
        <v>Data Analysis</v>
      </c>
      <c r="H634" s="19">
        <f>VLOOKUP(A634,Sheet1!A:Q,17,0)</f>
        <v>13</v>
      </c>
      <c r="I634" s="20">
        <f>VLOOKUP(A634,Sheet1!A:V,22,0)</f>
        <v>40</v>
      </c>
      <c r="J634" s="21">
        <f>VLOOKUP(A634,Sheet1!A:X,24,0)</f>
        <v>2.574616695059623</v>
      </c>
      <c r="K634" s="19" t="str">
        <f>VLOOKUP(A634,Sheet1!A:AB,28,0)</f>
        <v>No</v>
      </c>
      <c r="L634" s="27">
        <f>VLOOKUP(A634,Sheet1!A:AD,30,0)</f>
        <v>78</v>
      </c>
    </row>
    <row r="635" spans="1:12" x14ac:dyDescent="0.3">
      <c r="A635" s="14" t="s">
        <v>1762</v>
      </c>
      <c r="B635" s="19" t="str">
        <f>VLOOKUP(A635,Sheet1!A:E,5,0)</f>
        <v>Robin Ortiz</v>
      </c>
      <c r="C635" s="19" t="str">
        <f>VLOOKUP(A635,Sheet1!A:I,9,0)</f>
        <v>Female</v>
      </c>
      <c r="D635" s="19">
        <f>VLOOKUP(A635,Sheet1!A:K,11,0)</f>
        <v>36</v>
      </c>
      <c r="E635" s="19" t="str">
        <f>VLOOKUP(A635,Sheet1!A:M,13,0)</f>
        <v>Netherlands</v>
      </c>
      <c r="F635" s="19" t="str">
        <f>VLOOKUP(A635,Sheet1!A:N,14,0)</f>
        <v>Dutch</v>
      </c>
      <c r="G635" s="19" t="str">
        <f>VLOOKUP(A635,Sheet1!A:O,15,0)</f>
        <v>AI</v>
      </c>
      <c r="H635" s="19">
        <f>VLOOKUP(A635,Sheet1!A:Q,17,0)</f>
        <v>8</v>
      </c>
      <c r="I635" s="20">
        <f>VLOOKUP(A635,Sheet1!A:V,22,0)</f>
        <v>40</v>
      </c>
      <c r="J635" s="21">
        <f>VLOOKUP(A635,Sheet1!A:X,24,0)</f>
        <v>2.4224489795918367</v>
      </c>
      <c r="K635" s="19" t="str">
        <f>VLOOKUP(A635,Sheet1!A:AB,28,0)</f>
        <v>No</v>
      </c>
      <c r="L635" s="27">
        <f>VLOOKUP(A635,Sheet1!A:AD,30,0)</f>
        <v>80</v>
      </c>
    </row>
    <row r="636" spans="1:12" x14ac:dyDescent="0.3">
      <c r="A636" s="14" t="s">
        <v>2022</v>
      </c>
      <c r="B636" s="19" t="str">
        <f>VLOOKUP(A636,Sheet1!A:E,5,0)</f>
        <v>Sarah Miller</v>
      </c>
      <c r="C636" s="19" t="str">
        <f>VLOOKUP(A636,Sheet1!A:I,9,0)</f>
        <v>Female</v>
      </c>
      <c r="D636" s="19">
        <f>VLOOKUP(A636,Sheet1!A:K,11,0)</f>
        <v>36</v>
      </c>
      <c r="E636" s="19" t="str">
        <f>VLOOKUP(A636,Sheet1!A:M,13,0)</f>
        <v>United Kingdom</v>
      </c>
      <c r="F636" s="19" t="str">
        <f>VLOOKUP(A636,Sheet1!A:N,14,0)</f>
        <v>English</v>
      </c>
      <c r="G636" s="19" t="str">
        <f>VLOOKUP(A636,Sheet1!A:O,15,0)</f>
        <v>Cybersecurity</v>
      </c>
      <c r="H636" s="19">
        <f>VLOOKUP(A636,Sheet1!A:Q,17,0)</f>
        <v>13</v>
      </c>
      <c r="I636" s="20">
        <f>VLOOKUP(A636,Sheet1!A:V,22,0)</f>
        <v>30</v>
      </c>
      <c r="J636" s="21">
        <f>VLOOKUP(A636,Sheet1!A:X,24,0)</f>
        <v>3.6</v>
      </c>
      <c r="K636" s="19" t="str">
        <f>VLOOKUP(A636,Sheet1!A:AB,28,0)</f>
        <v>No</v>
      </c>
      <c r="L636" s="27">
        <f>VLOOKUP(A636,Sheet1!A:AD,30,0)</f>
        <v>86</v>
      </c>
    </row>
    <row r="637" spans="1:12" x14ac:dyDescent="0.3">
      <c r="A637" s="14" t="s">
        <v>1137</v>
      </c>
      <c r="B637" s="19" t="str">
        <f>VLOOKUP(A637,Sheet1!A:E,5,0)</f>
        <v>Scott Compton</v>
      </c>
      <c r="C637" s="19" t="str">
        <f>VLOOKUP(A637,Sheet1!A:I,9,0)</f>
        <v>Male</v>
      </c>
      <c r="D637" s="19">
        <f>VLOOKUP(A637,Sheet1!A:K,11,0)</f>
        <v>36</v>
      </c>
      <c r="E637" s="19" t="str">
        <f>VLOOKUP(A637,Sheet1!A:M,13,0)</f>
        <v>Egypt</v>
      </c>
      <c r="F637" s="19" t="str">
        <f>VLOOKUP(A637,Sheet1!A:N,14,0)</f>
        <v>Arabic</v>
      </c>
      <c r="G637" s="19" t="str">
        <f>VLOOKUP(A637,Sheet1!A:O,15,0)</f>
        <v>Blockchain Development</v>
      </c>
      <c r="H637" s="19">
        <f>VLOOKUP(A637,Sheet1!A:Q,17,0)</f>
        <v>4</v>
      </c>
      <c r="I637" s="20">
        <f>VLOOKUP(A637,Sheet1!A:V,22,0)</f>
        <v>40</v>
      </c>
      <c r="J637" s="21">
        <f>VLOOKUP(A637,Sheet1!A:X,24,0)</f>
        <v>2.6</v>
      </c>
      <c r="K637" s="19" t="str">
        <f>VLOOKUP(A637,Sheet1!A:AB,28,0)</f>
        <v>No</v>
      </c>
      <c r="L637" s="27">
        <f>VLOOKUP(A637,Sheet1!A:AD,30,0)</f>
        <v>90</v>
      </c>
    </row>
    <row r="638" spans="1:12" x14ac:dyDescent="0.3">
      <c r="A638" s="14" t="s">
        <v>285</v>
      </c>
      <c r="B638" s="19" t="str">
        <f>VLOOKUP(A638,Sheet1!A:E,5,0)</f>
        <v>Shelby Mcmahon</v>
      </c>
      <c r="C638" s="19" t="str">
        <f>VLOOKUP(A638,Sheet1!A:I,9,0)</f>
        <v>Female</v>
      </c>
      <c r="D638" s="19">
        <f>VLOOKUP(A638,Sheet1!A:K,11,0)</f>
        <v>36</v>
      </c>
      <c r="E638" s="19" t="str">
        <f>VLOOKUP(A638,Sheet1!A:M,13,0)</f>
        <v>Italy</v>
      </c>
      <c r="F638" s="19" t="str">
        <f>VLOOKUP(A638,Sheet1!A:N,14,0)</f>
        <v>Italian</v>
      </c>
      <c r="G638" s="19" t="str">
        <f>VLOOKUP(A638,Sheet1!A:O,15,0)</f>
        <v>UI/UX Design</v>
      </c>
      <c r="H638" s="19">
        <f>VLOOKUP(A638,Sheet1!A:Q,17,0)</f>
        <v>0</v>
      </c>
      <c r="I638" s="20">
        <f>VLOOKUP(A638,Sheet1!A:V,22,0)</f>
        <v>20</v>
      </c>
      <c r="J638" s="21">
        <f>VLOOKUP(A638,Sheet1!A:X,24,0)</f>
        <v>1.3</v>
      </c>
      <c r="K638" s="19" t="str">
        <f>VLOOKUP(A638,Sheet1!A:AB,28,0)</f>
        <v>Yes</v>
      </c>
      <c r="L638" s="27">
        <f>VLOOKUP(A638,Sheet1!A:AD,30,0)</f>
        <v>64</v>
      </c>
    </row>
    <row r="639" spans="1:12" x14ac:dyDescent="0.3">
      <c r="A639" s="14" t="s">
        <v>996</v>
      </c>
      <c r="B639" s="19" t="str">
        <f>VLOOKUP(A639,Sheet1!A:E,5,0)</f>
        <v>Stephanie Armstrong</v>
      </c>
      <c r="C639" s="19" t="str">
        <f>VLOOKUP(A639,Sheet1!A:I,9,0)</f>
        <v>Female</v>
      </c>
      <c r="D639" s="19">
        <f>VLOOKUP(A639,Sheet1!A:K,11,0)</f>
        <v>36</v>
      </c>
      <c r="E639" s="19" t="str">
        <f>VLOOKUP(A639,Sheet1!A:M,13,0)</f>
        <v>Netherlands</v>
      </c>
      <c r="F639" s="19" t="str">
        <f>VLOOKUP(A639,Sheet1!A:N,14,0)</f>
        <v>Dutch</v>
      </c>
      <c r="G639" s="19" t="str">
        <f>VLOOKUP(A639,Sheet1!A:O,15,0)</f>
        <v>AI</v>
      </c>
      <c r="H639" s="19">
        <f>VLOOKUP(A639,Sheet1!A:Q,17,0)</f>
        <v>17</v>
      </c>
      <c r="I639" s="20">
        <f>VLOOKUP(A639,Sheet1!A:V,22,0)</f>
        <v>50</v>
      </c>
      <c r="J639" s="21">
        <f>VLOOKUP(A639,Sheet1!A:X,24,0)</f>
        <v>1.3</v>
      </c>
      <c r="K639" s="19" t="str">
        <f>VLOOKUP(A639,Sheet1!A:AB,28,0)</f>
        <v>Unknown</v>
      </c>
      <c r="L639" s="27">
        <f>VLOOKUP(A639,Sheet1!A:AD,30,0)</f>
        <v>64</v>
      </c>
    </row>
    <row r="640" spans="1:12" x14ac:dyDescent="0.3">
      <c r="A640" s="14" t="s">
        <v>697</v>
      </c>
      <c r="B640" s="19" t="str">
        <f>VLOOKUP(A640,Sheet1!A:E,5,0)</f>
        <v>Thomas Robles</v>
      </c>
      <c r="C640" s="19" t="str">
        <f>VLOOKUP(A640,Sheet1!A:I,9,0)</f>
        <v>Male</v>
      </c>
      <c r="D640" s="19">
        <f>VLOOKUP(A640,Sheet1!A:K,11,0)</f>
        <v>36</v>
      </c>
      <c r="E640" s="19" t="str">
        <f>VLOOKUP(A640,Sheet1!A:M,13,0)</f>
        <v>South Africa</v>
      </c>
      <c r="F640" s="19" t="str">
        <f>VLOOKUP(A640,Sheet1!A:N,14,0)</f>
        <v>Afrikaans</v>
      </c>
      <c r="G640" s="19" t="str">
        <f>VLOOKUP(A640,Sheet1!A:O,15,0)</f>
        <v>Data Analysis</v>
      </c>
      <c r="H640" s="19">
        <f>VLOOKUP(A640,Sheet1!A:Q,17,0)</f>
        <v>9</v>
      </c>
      <c r="I640" s="20">
        <f>VLOOKUP(A640,Sheet1!A:V,22,0)</f>
        <v>75</v>
      </c>
      <c r="J640" s="21">
        <f>VLOOKUP(A640,Sheet1!A:X,24,0)</f>
        <v>2.2000000000000002</v>
      </c>
      <c r="K640" s="19" t="str">
        <f>VLOOKUP(A640,Sheet1!A:AB,28,0)</f>
        <v>No</v>
      </c>
      <c r="L640" s="27">
        <f>VLOOKUP(A640,Sheet1!A:AD,30,0)</f>
        <v>95</v>
      </c>
    </row>
    <row r="641" spans="1:12" x14ac:dyDescent="0.3">
      <c r="A641" s="14" t="s">
        <v>390</v>
      </c>
      <c r="B641" s="19" t="str">
        <f>VLOOKUP(A641,Sheet1!A:E,5,0)</f>
        <v>Wayne Gonzales</v>
      </c>
      <c r="C641" s="19" t="str">
        <f>VLOOKUP(A641,Sheet1!A:I,9,0)</f>
        <v>Male</v>
      </c>
      <c r="D641" s="19">
        <f>VLOOKUP(A641,Sheet1!A:K,11,0)</f>
        <v>36</v>
      </c>
      <c r="E641" s="19" t="str">
        <f>VLOOKUP(A641,Sheet1!A:M,13,0)</f>
        <v>Germany</v>
      </c>
      <c r="F641" s="19" t="str">
        <f>VLOOKUP(A641,Sheet1!A:N,14,0)</f>
        <v>German</v>
      </c>
      <c r="G641" s="19" t="str">
        <f>VLOOKUP(A641,Sheet1!A:O,15,0)</f>
        <v>UI/UX Design</v>
      </c>
      <c r="H641" s="19">
        <f>VLOOKUP(A641,Sheet1!A:Q,17,0)</f>
        <v>7</v>
      </c>
      <c r="I641" s="20">
        <f>VLOOKUP(A641,Sheet1!A:V,22,0)</f>
        <v>30</v>
      </c>
      <c r="J641" s="21">
        <f>VLOOKUP(A641,Sheet1!A:X,24,0)</f>
        <v>0</v>
      </c>
      <c r="K641" s="19" t="str">
        <f>VLOOKUP(A641,Sheet1!A:AB,28,0)</f>
        <v>No</v>
      </c>
      <c r="L641" s="27">
        <f>VLOOKUP(A641,Sheet1!A:AD,30,0)</f>
        <v>88</v>
      </c>
    </row>
    <row r="642" spans="1:12" x14ac:dyDescent="0.3">
      <c r="A642" s="14" t="s">
        <v>511</v>
      </c>
      <c r="B642" s="19" t="str">
        <f>VLOOKUP(A642,Sheet1!A:E,5,0)</f>
        <v>William Moore</v>
      </c>
      <c r="C642" s="19" t="str">
        <f>VLOOKUP(A642,Sheet1!A:I,9,0)</f>
        <v>Male</v>
      </c>
      <c r="D642" s="19">
        <f>VLOOKUP(A642,Sheet1!A:K,11,0)</f>
        <v>36</v>
      </c>
      <c r="E642" s="19" t="str">
        <f>VLOOKUP(A642,Sheet1!A:M,13,0)</f>
        <v>China</v>
      </c>
      <c r="F642" s="19" t="str">
        <f>VLOOKUP(A642,Sheet1!A:N,14,0)</f>
        <v>Mandarin</v>
      </c>
      <c r="G642" s="19" t="str">
        <f>VLOOKUP(A642,Sheet1!A:O,15,0)</f>
        <v>Machine Learning</v>
      </c>
      <c r="H642" s="19">
        <f>VLOOKUP(A642,Sheet1!A:Q,17,0)</f>
        <v>11</v>
      </c>
      <c r="I642" s="20">
        <f>VLOOKUP(A642,Sheet1!A:V,22,0)</f>
        <v>75</v>
      </c>
      <c r="J642" s="21">
        <f>VLOOKUP(A642,Sheet1!A:X,24,0)</f>
        <v>3.2</v>
      </c>
      <c r="K642" s="19" t="str">
        <f>VLOOKUP(A642,Sheet1!A:AB,28,0)</f>
        <v>No</v>
      </c>
      <c r="L642" s="27">
        <f>VLOOKUP(A642,Sheet1!A:AD,30,0)</f>
        <v>93</v>
      </c>
    </row>
    <row r="643" spans="1:12" x14ac:dyDescent="0.3">
      <c r="A643" s="14" t="s">
        <v>944</v>
      </c>
      <c r="B643" s="19" t="str">
        <f>VLOOKUP(A643,Sheet1!A:E,5,0)</f>
        <v>Allison Perkins</v>
      </c>
      <c r="C643" s="19" t="str">
        <f>VLOOKUP(A643,Sheet1!A:I,9,0)</f>
        <v>Female</v>
      </c>
      <c r="D643" s="19">
        <f>VLOOKUP(A643,Sheet1!A:K,11,0)</f>
        <v>35</v>
      </c>
      <c r="E643" s="19" t="str">
        <f>VLOOKUP(A643,Sheet1!A:M,13,0)</f>
        <v>Netherlands</v>
      </c>
      <c r="F643" s="19" t="str">
        <f>VLOOKUP(A643,Sheet1!A:N,14,0)</f>
        <v>Dutch</v>
      </c>
      <c r="G643" s="19" t="str">
        <f>VLOOKUP(A643,Sheet1!A:O,15,0)</f>
        <v>Machine Learning</v>
      </c>
      <c r="H643" s="19">
        <f>VLOOKUP(A643,Sheet1!A:Q,17,0)</f>
        <v>10</v>
      </c>
      <c r="I643" s="20">
        <f>VLOOKUP(A643,Sheet1!A:V,22,0)</f>
        <v>75</v>
      </c>
      <c r="J643" s="21">
        <f>VLOOKUP(A643,Sheet1!A:X,24,0)</f>
        <v>0</v>
      </c>
      <c r="K643" s="19" t="str">
        <f>VLOOKUP(A643,Sheet1!A:AB,28,0)</f>
        <v>Unknown</v>
      </c>
      <c r="L643" s="27">
        <f>VLOOKUP(A643,Sheet1!A:AD,30,0)</f>
        <v>74</v>
      </c>
    </row>
    <row r="644" spans="1:12" x14ac:dyDescent="0.3">
      <c r="A644" s="14" t="s">
        <v>946</v>
      </c>
      <c r="B644" s="19" t="str">
        <f>VLOOKUP(A644,Sheet1!A:E,5,0)</f>
        <v>Bradley Weaver</v>
      </c>
      <c r="C644" s="19" t="str">
        <f>VLOOKUP(A644,Sheet1!A:I,9,0)</f>
        <v>Male</v>
      </c>
      <c r="D644" s="19">
        <f>VLOOKUP(A644,Sheet1!A:K,11,0)</f>
        <v>35</v>
      </c>
      <c r="E644" s="19" t="str">
        <f>VLOOKUP(A644,Sheet1!A:M,13,0)</f>
        <v>United States</v>
      </c>
      <c r="F644" s="19" t="str">
        <f>VLOOKUP(A644,Sheet1!A:N,14,0)</f>
        <v>English</v>
      </c>
      <c r="G644" s="19" t="str">
        <f>VLOOKUP(A644,Sheet1!A:O,15,0)</f>
        <v>DevOps</v>
      </c>
      <c r="H644" s="19">
        <f>VLOOKUP(A644,Sheet1!A:Q,17,0)</f>
        <v>9</v>
      </c>
      <c r="I644" s="20">
        <f>VLOOKUP(A644,Sheet1!A:V,22,0)</f>
        <v>100</v>
      </c>
      <c r="J644" s="21">
        <f>VLOOKUP(A644,Sheet1!A:X,24,0)</f>
        <v>3.5</v>
      </c>
      <c r="K644" s="19" t="str">
        <f>VLOOKUP(A644,Sheet1!A:AB,28,0)</f>
        <v>Yes</v>
      </c>
      <c r="L644" s="27">
        <f>VLOOKUP(A644,Sheet1!A:AD,30,0)</f>
        <v>71</v>
      </c>
    </row>
    <row r="645" spans="1:12" x14ac:dyDescent="0.3">
      <c r="A645" s="14" t="s">
        <v>1558</v>
      </c>
      <c r="B645" s="19" t="str">
        <f>VLOOKUP(A645,Sheet1!A:E,5,0)</f>
        <v>Christopher Long</v>
      </c>
      <c r="C645" s="19" t="str">
        <f>VLOOKUP(A645,Sheet1!A:I,9,0)</f>
        <v>Male</v>
      </c>
      <c r="D645" s="19">
        <f>VLOOKUP(A645,Sheet1!A:K,11,0)</f>
        <v>35</v>
      </c>
      <c r="E645" s="19" t="str">
        <f>VLOOKUP(A645,Sheet1!A:M,13,0)</f>
        <v>Germany</v>
      </c>
      <c r="F645" s="19" t="str">
        <f>VLOOKUP(A645,Sheet1!A:N,14,0)</f>
        <v>German</v>
      </c>
      <c r="G645" s="19" t="str">
        <f>VLOOKUP(A645,Sheet1!A:O,15,0)</f>
        <v>Data Analysis</v>
      </c>
      <c r="H645" s="19">
        <f>VLOOKUP(A645,Sheet1!A:Q,17,0)</f>
        <v>9</v>
      </c>
      <c r="I645" s="20">
        <f>VLOOKUP(A645,Sheet1!A:V,22,0)</f>
        <v>100</v>
      </c>
      <c r="J645" s="21">
        <f>VLOOKUP(A645,Sheet1!A:X,24,0)</f>
        <v>2.5540772532188853</v>
      </c>
      <c r="K645" s="19" t="str">
        <f>VLOOKUP(A645,Sheet1!A:AB,28,0)</f>
        <v>No</v>
      </c>
      <c r="L645" s="27">
        <f>VLOOKUP(A645,Sheet1!A:AD,30,0)</f>
        <v>84</v>
      </c>
    </row>
    <row r="646" spans="1:12" x14ac:dyDescent="0.3">
      <c r="A646" s="14" t="s">
        <v>1496</v>
      </c>
      <c r="B646" s="19" t="str">
        <f>VLOOKUP(A646,Sheet1!A:E,5,0)</f>
        <v>Daniel Lopez</v>
      </c>
      <c r="C646" s="19" t="str">
        <f>VLOOKUP(A646,Sheet1!A:I,9,0)</f>
        <v>Male</v>
      </c>
      <c r="D646" s="19">
        <f>VLOOKUP(A646,Sheet1!A:K,11,0)</f>
        <v>35</v>
      </c>
      <c r="E646" s="19" t="str">
        <f>VLOOKUP(A646,Sheet1!A:M,13,0)</f>
        <v>Canada</v>
      </c>
      <c r="F646" s="19" t="str">
        <f>VLOOKUP(A646,Sheet1!A:N,14,0)</f>
        <v>English</v>
      </c>
      <c r="G646" s="19" t="str">
        <f>VLOOKUP(A646,Sheet1!A:O,15,0)</f>
        <v>Machine Learning</v>
      </c>
      <c r="H646" s="19">
        <f>VLOOKUP(A646,Sheet1!A:Q,17,0)</f>
        <v>10</v>
      </c>
      <c r="I646" s="20">
        <f>VLOOKUP(A646,Sheet1!A:V,22,0)</f>
        <v>20</v>
      </c>
      <c r="J646" s="21">
        <f>VLOOKUP(A646,Sheet1!A:X,24,0)</f>
        <v>3.2</v>
      </c>
      <c r="K646" s="19" t="str">
        <f>VLOOKUP(A646,Sheet1!A:AB,28,0)</f>
        <v>Yes</v>
      </c>
      <c r="L646" s="27">
        <f>VLOOKUP(A646,Sheet1!A:AD,30,0)</f>
        <v>77</v>
      </c>
    </row>
    <row r="647" spans="1:12" x14ac:dyDescent="0.3">
      <c r="A647" s="14" t="s">
        <v>1363</v>
      </c>
      <c r="B647" s="19" t="str">
        <f>VLOOKUP(A647,Sheet1!A:E,5,0)</f>
        <v>Donald Salas</v>
      </c>
      <c r="C647" s="19" t="str">
        <f>VLOOKUP(A647,Sheet1!A:I,9,0)</f>
        <v>Male</v>
      </c>
      <c r="D647" s="19">
        <f>VLOOKUP(A647,Sheet1!A:K,11,0)</f>
        <v>35</v>
      </c>
      <c r="E647" s="19" t="str">
        <f>VLOOKUP(A647,Sheet1!A:M,13,0)</f>
        <v>Spain</v>
      </c>
      <c r="F647" s="19" t="str">
        <f>VLOOKUP(A647,Sheet1!A:N,14,0)</f>
        <v>Spanish</v>
      </c>
      <c r="G647" s="19" t="str">
        <f>VLOOKUP(A647,Sheet1!A:O,15,0)</f>
        <v>Machine Learning</v>
      </c>
      <c r="H647" s="19">
        <f>VLOOKUP(A647,Sheet1!A:Q,17,0)</f>
        <v>13</v>
      </c>
      <c r="I647" s="20">
        <f>VLOOKUP(A647,Sheet1!A:V,22,0)</f>
        <v>40</v>
      </c>
      <c r="J647" s="21">
        <f>VLOOKUP(A647,Sheet1!A:X,24,0)</f>
        <v>3.6</v>
      </c>
      <c r="K647" s="19" t="str">
        <f>VLOOKUP(A647,Sheet1!A:AB,28,0)</f>
        <v>No</v>
      </c>
      <c r="L647" s="27">
        <f>VLOOKUP(A647,Sheet1!A:AD,30,0)</f>
        <v>83</v>
      </c>
    </row>
    <row r="648" spans="1:12" x14ac:dyDescent="0.3">
      <c r="A648" s="14" t="s">
        <v>1672</v>
      </c>
      <c r="B648" s="19" t="str">
        <f>VLOOKUP(A648,Sheet1!A:E,5,0)</f>
        <v>Gina Williams</v>
      </c>
      <c r="C648" s="19" t="str">
        <f>VLOOKUP(A648,Sheet1!A:I,9,0)</f>
        <v>Female</v>
      </c>
      <c r="D648" s="19">
        <f>VLOOKUP(A648,Sheet1!A:K,11,0)</f>
        <v>35</v>
      </c>
      <c r="E648" s="19" t="str">
        <f>VLOOKUP(A648,Sheet1!A:M,13,0)</f>
        <v>Brazil</v>
      </c>
      <c r="F648" s="19" t="str">
        <f>VLOOKUP(A648,Sheet1!A:N,14,0)</f>
        <v>Portuguese</v>
      </c>
      <c r="G648" s="19" t="str">
        <f>VLOOKUP(A648,Sheet1!A:O,15,0)</f>
        <v>Cybersecurity</v>
      </c>
      <c r="H648" s="19">
        <f>VLOOKUP(A648,Sheet1!A:Q,17,0)</f>
        <v>7</v>
      </c>
      <c r="I648" s="20">
        <f>VLOOKUP(A648,Sheet1!A:V,22,0)</f>
        <v>52.835051546391753</v>
      </c>
      <c r="J648" s="21">
        <f>VLOOKUP(A648,Sheet1!A:X,24,0)</f>
        <v>3.9</v>
      </c>
      <c r="K648" s="19" t="str">
        <f>VLOOKUP(A648,Sheet1!A:AB,28,0)</f>
        <v>No</v>
      </c>
      <c r="L648" s="27">
        <f>VLOOKUP(A648,Sheet1!A:AD,30,0)</f>
        <v>72</v>
      </c>
    </row>
    <row r="649" spans="1:12" x14ac:dyDescent="0.3">
      <c r="A649" s="14" t="s">
        <v>637</v>
      </c>
      <c r="B649" s="19" t="str">
        <f>VLOOKUP(A649,Sheet1!A:E,5,0)</f>
        <v>Jacqueline Peterson</v>
      </c>
      <c r="C649" s="19" t="str">
        <f>VLOOKUP(A649,Sheet1!A:I,9,0)</f>
        <v>Female</v>
      </c>
      <c r="D649" s="19">
        <f>VLOOKUP(A649,Sheet1!A:K,11,0)</f>
        <v>35</v>
      </c>
      <c r="E649" s="19" t="str">
        <f>VLOOKUP(A649,Sheet1!A:M,13,0)</f>
        <v>South Africa</v>
      </c>
      <c r="F649" s="19" t="str">
        <f>VLOOKUP(A649,Sheet1!A:N,14,0)</f>
        <v>Afrikaans</v>
      </c>
      <c r="G649" s="19" t="str">
        <f>VLOOKUP(A649,Sheet1!A:O,15,0)</f>
        <v>UI/UX Design</v>
      </c>
      <c r="H649" s="19">
        <f>VLOOKUP(A649,Sheet1!A:Q,17,0)</f>
        <v>10</v>
      </c>
      <c r="I649" s="20">
        <f>VLOOKUP(A649,Sheet1!A:V,22,0)</f>
        <v>100</v>
      </c>
      <c r="J649" s="21">
        <f>VLOOKUP(A649,Sheet1!A:X,24,0)</f>
        <v>4.7</v>
      </c>
      <c r="K649" s="19" t="str">
        <f>VLOOKUP(A649,Sheet1!A:AB,28,0)</f>
        <v>Yes</v>
      </c>
      <c r="L649" s="27">
        <f>VLOOKUP(A649,Sheet1!A:AD,30,0)</f>
        <v>84</v>
      </c>
    </row>
    <row r="650" spans="1:12" x14ac:dyDescent="0.3">
      <c r="A650" s="14" t="s">
        <v>1584</v>
      </c>
      <c r="B650" s="19" t="str">
        <f>VLOOKUP(A650,Sheet1!A:E,5,0)</f>
        <v>Jason Edwards</v>
      </c>
      <c r="C650" s="19" t="str">
        <f>VLOOKUP(A650,Sheet1!A:I,9,0)</f>
        <v>Male</v>
      </c>
      <c r="D650" s="19">
        <f>VLOOKUP(A650,Sheet1!A:K,11,0)</f>
        <v>35</v>
      </c>
      <c r="E650" s="19" t="str">
        <f>VLOOKUP(A650,Sheet1!A:M,13,0)</f>
        <v>Egypt</v>
      </c>
      <c r="F650" s="19" t="str">
        <f>VLOOKUP(A650,Sheet1!A:N,14,0)</f>
        <v>Arabic</v>
      </c>
      <c r="G650" s="19" t="str">
        <f>VLOOKUP(A650,Sheet1!A:O,15,0)</f>
        <v>Blockchain Development</v>
      </c>
      <c r="H650" s="19">
        <f>VLOOKUP(A650,Sheet1!A:Q,17,0)</f>
        <v>9</v>
      </c>
      <c r="I650" s="20">
        <f>VLOOKUP(A650,Sheet1!A:V,22,0)</f>
        <v>50</v>
      </c>
      <c r="J650" s="21">
        <f>VLOOKUP(A650,Sheet1!A:X,24,0)</f>
        <v>3</v>
      </c>
      <c r="K650" s="19" t="str">
        <f>VLOOKUP(A650,Sheet1!A:AB,28,0)</f>
        <v>No</v>
      </c>
      <c r="L650" s="27">
        <f>VLOOKUP(A650,Sheet1!A:AD,30,0)</f>
        <v>71</v>
      </c>
    </row>
    <row r="651" spans="1:12" x14ac:dyDescent="0.3">
      <c r="A651" s="14" t="s">
        <v>837</v>
      </c>
      <c r="B651" s="19" t="str">
        <f>VLOOKUP(A651,Sheet1!A:E,5,0)</f>
        <v>Jason Scott</v>
      </c>
      <c r="C651" s="19" t="str">
        <f>VLOOKUP(A651,Sheet1!A:I,9,0)</f>
        <v>Male</v>
      </c>
      <c r="D651" s="19">
        <f>VLOOKUP(A651,Sheet1!A:K,11,0)</f>
        <v>35</v>
      </c>
      <c r="E651" s="19" t="str">
        <f>VLOOKUP(A651,Sheet1!A:M,13,0)</f>
        <v>Mexico</v>
      </c>
      <c r="F651" s="19" t="str">
        <f>VLOOKUP(A651,Sheet1!A:N,14,0)</f>
        <v>Spanish</v>
      </c>
      <c r="G651" s="19" t="str">
        <f>VLOOKUP(A651,Sheet1!A:O,15,0)</f>
        <v>Graphic Design</v>
      </c>
      <c r="H651" s="19">
        <f>VLOOKUP(A651,Sheet1!A:Q,17,0)</f>
        <v>12</v>
      </c>
      <c r="I651" s="20">
        <f>VLOOKUP(A651,Sheet1!A:V,22,0)</f>
        <v>20</v>
      </c>
      <c r="J651" s="21">
        <f>VLOOKUP(A651,Sheet1!A:X,24,0)</f>
        <v>4.0999999999999996</v>
      </c>
      <c r="K651" s="19" t="str">
        <f>VLOOKUP(A651,Sheet1!A:AB,28,0)</f>
        <v>Unknown</v>
      </c>
      <c r="L651" s="27">
        <f>VLOOKUP(A651,Sheet1!A:AD,30,0)</f>
        <v>94</v>
      </c>
    </row>
    <row r="652" spans="1:12" x14ac:dyDescent="0.3">
      <c r="A652" s="14" t="s">
        <v>281</v>
      </c>
      <c r="B652" s="19" t="str">
        <f>VLOOKUP(A652,Sheet1!A:E,5,0)</f>
        <v>Jose Jones</v>
      </c>
      <c r="C652" s="19" t="str">
        <f>VLOOKUP(A652,Sheet1!A:I,9,0)</f>
        <v>Male</v>
      </c>
      <c r="D652" s="19">
        <f>VLOOKUP(A652,Sheet1!A:K,11,0)</f>
        <v>35</v>
      </c>
      <c r="E652" s="19" t="str">
        <f>VLOOKUP(A652,Sheet1!A:M,13,0)</f>
        <v>Russia</v>
      </c>
      <c r="F652" s="19" t="str">
        <f>VLOOKUP(A652,Sheet1!A:N,14,0)</f>
        <v>Russian</v>
      </c>
      <c r="G652" s="19" t="str">
        <f>VLOOKUP(A652,Sheet1!A:O,15,0)</f>
        <v>Blockchain Development</v>
      </c>
      <c r="H652" s="19">
        <f>VLOOKUP(A652,Sheet1!A:Q,17,0)</f>
        <v>3</v>
      </c>
      <c r="I652" s="20">
        <f>VLOOKUP(A652,Sheet1!A:V,22,0)</f>
        <v>30</v>
      </c>
      <c r="J652" s="21">
        <f>VLOOKUP(A652,Sheet1!A:X,24,0)</f>
        <v>3.8</v>
      </c>
      <c r="K652" s="19" t="str">
        <f>VLOOKUP(A652,Sheet1!A:AB,28,0)</f>
        <v>Yes</v>
      </c>
      <c r="L652" s="27">
        <f>VLOOKUP(A652,Sheet1!A:AD,30,0)</f>
        <v>81</v>
      </c>
    </row>
    <row r="653" spans="1:12" x14ac:dyDescent="0.3">
      <c r="A653" s="14" t="s">
        <v>641</v>
      </c>
      <c r="B653" s="19" t="str">
        <f>VLOOKUP(A653,Sheet1!A:E,5,0)</f>
        <v>Juan Mitchell</v>
      </c>
      <c r="C653" s="19" t="str">
        <f>VLOOKUP(A653,Sheet1!A:I,9,0)</f>
        <v>Male</v>
      </c>
      <c r="D653" s="19">
        <f>VLOOKUP(A653,Sheet1!A:K,11,0)</f>
        <v>35</v>
      </c>
      <c r="E653" s="19" t="str">
        <f>VLOOKUP(A653,Sheet1!A:M,13,0)</f>
        <v>Netherlands</v>
      </c>
      <c r="F653" s="19" t="str">
        <f>VLOOKUP(A653,Sheet1!A:N,14,0)</f>
        <v>Dutch</v>
      </c>
      <c r="G653" s="19" t="str">
        <f>VLOOKUP(A653,Sheet1!A:O,15,0)</f>
        <v>Blockchain Development</v>
      </c>
      <c r="H653" s="19">
        <f>VLOOKUP(A653,Sheet1!A:Q,17,0)</f>
        <v>6</v>
      </c>
      <c r="I653" s="20">
        <f>VLOOKUP(A653,Sheet1!A:V,22,0)</f>
        <v>75</v>
      </c>
      <c r="J653" s="21">
        <f>VLOOKUP(A653,Sheet1!A:X,24,0)</f>
        <v>1.6</v>
      </c>
      <c r="K653" s="19" t="str">
        <f>VLOOKUP(A653,Sheet1!A:AB,28,0)</f>
        <v>Yes</v>
      </c>
      <c r="L653" s="27">
        <f>VLOOKUP(A653,Sheet1!A:AD,30,0)</f>
        <v>97</v>
      </c>
    </row>
    <row r="654" spans="1:12" x14ac:dyDescent="0.3">
      <c r="A654" s="14" t="s">
        <v>173</v>
      </c>
      <c r="B654" s="19" t="str">
        <f>VLOOKUP(A654,Sheet1!A:E,5,0)</f>
        <v>Kaitlyn Schmidt</v>
      </c>
      <c r="C654" s="19" t="str">
        <f>VLOOKUP(A654,Sheet1!A:I,9,0)</f>
        <v>Female</v>
      </c>
      <c r="D654" s="19">
        <f>VLOOKUP(A654,Sheet1!A:K,11,0)</f>
        <v>35</v>
      </c>
      <c r="E654" s="19" t="str">
        <f>VLOOKUP(A654,Sheet1!A:M,13,0)</f>
        <v>Germany</v>
      </c>
      <c r="F654" s="19" t="str">
        <f>VLOOKUP(A654,Sheet1!A:N,14,0)</f>
        <v>German</v>
      </c>
      <c r="G654" s="19" t="str">
        <f>VLOOKUP(A654,Sheet1!A:O,15,0)</f>
        <v>DevOps</v>
      </c>
      <c r="H654" s="19">
        <f>VLOOKUP(A654,Sheet1!A:Q,17,0)</f>
        <v>10</v>
      </c>
      <c r="I654" s="20">
        <f>VLOOKUP(A654,Sheet1!A:V,22,0)</f>
        <v>50</v>
      </c>
      <c r="J654" s="21">
        <f>VLOOKUP(A654,Sheet1!A:X,24,0)</f>
        <v>0</v>
      </c>
      <c r="K654" s="19" t="str">
        <f>VLOOKUP(A654,Sheet1!A:AB,28,0)</f>
        <v>No</v>
      </c>
      <c r="L654" s="27">
        <f>VLOOKUP(A654,Sheet1!A:AD,30,0)</f>
        <v>79.293299620733251</v>
      </c>
    </row>
    <row r="655" spans="1:12" x14ac:dyDescent="0.3">
      <c r="A655" s="14" t="s">
        <v>1899</v>
      </c>
      <c r="B655" s="19" t="str">
        <f>VLOOKUP(A655,Sheet1!A:E,5,0)</f>
        <v>Kelly Shelton</v>
      </c>
      <c r="C655" s="19" t="str">
        <f>VLOOKUP(A655,Sheet1!A:I,9,0)</f>
        <v>Female</v>
      </c>
      <c r="D655" s="19">
        <f>VLOOKUP(A655,Sheet1!A:K,11,0)</f>
        <v>35</v>
      </c>
      <c r="E655" s="19" t="str">
        <f>VLOOKUP(A655,Sheet1!A:M,13,0)</f>
        <v>United Kingdom</v>
      </c>
      <c r="F655" s="19" t="str">
        <f>VLOOKUP(A655,Sheet1!A:N,14,0)</f>
        <v>English</v>
      </c>
      <c r="G655" s="19" t="str">
        <f>VLOOKUP(A655,Sheet1!A:O,15,0)</f>
        <v>Blockchain Development</v>
      </c>
      <c r="H655" s="19">
        <f>VLOOKUP(A655,Sheet1!A:Q,17,0)</f>
        <v>0</v>
      </c>
      <c r="I655" s="20">
        <f>VLOOKUP(A655,Sheet1!A:V,22,0)</f>
        <v>55.393258426966291</v>
      </c>
      <c r="J655" s="21">
        <f>VLOOKUP(A655,Sheet1!A:X,24,0)</f>
        <v>2.403571428571428</v>
      </c>
      <c r="K655" s="19" t="str">
        <f>VLOOKUP(A655,Sheet1!A:AB,28,0)</f>
        <v>Yes</v>
      </c>
      <c r="L655" s="27">
        <f>VLOOKUP(A655,Sheet1!A:AD,30,0)</f>
        <v>85</v>
      </c>
    </row>
    <row r="656" spans="1:12" x14ac:dyDescent="0.3">
      <c r="A656" s="14" t="s">
        <v>960</v>
      </c>
      <c r="B656" s="19" t="str">
        <f>VLOOKUP(A656,Sheet1!A:E,5,0)</f>
        <v>Kimberly Allen</v>
      </c>
      <c r="C656" s="19" t="str">
        <f>VLOOKUP(A656,Sheet1!A:I,9,0)</f>
        <v>Female</v>
      </c>
      <c r="D656" s="19">
        <f>VLOOKUP(A656,Sheet1!A:K,11,0)</f>
        <v>35</v>
      </c>
      <c r="E656" s="19" t="str">
        <f>VLOOKUP(A656,Sheet1!A:M,13,0)</f>
        <v>Germany</v>
      </c>
      <c r="F656" s="19" t="str">
        <f>VLOOKUP(A656,Sheet1!A:N,14,0)</f>
        <v>German</v>
      </c>
      <c r="G656" s="19" t="str">
        <f>VLOOKUP(A656,Sheet1!A:O,15,0)</f>
        <v>Blockchain Development</v>
      </c>
      <c r="H656" s="19">
        <f>VLOOKUP(A656,Sheet1!A:Q,17,0)</f>
        <v>0</v>
      </c>
      <c r="I656" s="20">
        <f>VLOOKUP(A656,Sheet1!A:V,22,0)</f>
        <v>30</v>
      </c>
      <c r="J656" s="21">
        <f>VLOOKUP(A656,Sheet1!A:X,24,0)</f>
        <v>4.5999999999999996</v>
      </c>
      <c r="K656" s="19" t="str">
        <f>VLOOKUP(A656,Sheet1!A:AB,28,0)</f>
        <v>Unknown</v>
      </c>
      <c r="L656" s="27">
        <f>VLOOKUP(A656,Sheet1!A:AD,30,0)</f>
        <v>97</v>
      </c>
    </row>
    <row r="657" spans="1:12" x14ac:dyDescent="0.3">
      <c r="A657" s="14" t="s">
        <v>1660</v>
      </c>
      <c r="B657" s="19" t="str">
        <f>VLOOKUP(A657,Sheet1!A:E,5,0)</f>
        <v>Marc Ortiz</v>
      </c>
      <c r="C657" s="19" t="str">
        <f>VLOOKUP(A657,Sheet1!A:I,9,0)</f>
        <v>Male</v>
      </c>
      <c r="D657" s="19">
        <f>VLOOKUP(A657,Sheet1!A:K,11,0)</f>
        <v>35</v>
      </c>
      <c r="E657" s="19" t="str">
        <f>VLOOKUP(A657,Sheet1!A:M,13,0)</f>
        <v>Argentina</v>
      </c>
      <c r="F657" s="19" t="str">
        <f>VLOOKUP(A657,Sheet1!A:N,14,0)</f>
        <v>Spanish</v>
      </c>
      <c r="G657" s="19" t="str">
        <f>VLOOKUP(A657,Sheet1!A:O,15,0)</f>
        <v>Mobile Apps</v>
      </c>
      <c r="H657" s="19">
        <f>VLOOKUP(A657,Sheet1!A:Q,17,0)</f>
        <v>15</v>
      </c>
      <c r="I657" s="20">
        <f>VLOOKUP(A657,Sheet1!A:V,22,0)</f>
        <v>52.702020202020201</v>
      </c>
      <c r="J657" s="21">
        <f>VLOOKUP(A657,Sheet1!A:X,24,0)</f>
        <v>3.7</v>
      </c>
      <c r="K657" s="19" t="str">
        <f>VLOOKUP(A657,Sheet1!A:AB,28,0)</f>
        <v>No</v>
      </c>
      <c r="L657" s="27">
        <f>VLOOKUP(A657,Sheet1!A:AD,30,0)</f>
        <v>66</v>
      </c>
    </row>
    <row r="658" spans="1:12" x14ac:dyDescent="0.3">
      <c r="A658" s="14" t="s">
        <v>2034</v>
      </c>
      <c r="B658" s="19" t="str">
        <f>VLOOKUP(A658,Sheet1!A:E,5,0)</f>
        <v>Mark Chandler</v>
      </c>
      <c r="C658" s="19" t="str">
        <f>VLOOKUP(A658,Sheet1!A:I,9,0)</f>
        <v>Male</v>
      </c>
      <c r="D658" s="19">
        <f>VLOOKUP(A658,Sheet1!A:K,11,0)</f>
        <v>35</v>
      </c>
      <c r="E658" s="19" t="str">
        <f>VLOOKUP(A658,Sheet1!A:M,13,0)</f>
        <v>South Korea</v>
      </c>
      <c r="F658" s="19" t="str">
        <f>VLOOKUP(A658,Sheet1!A:N,14,0)</f>
        <v>Korean</v>
      </c>
      <c r="G658" s="19" t="str">
        <f>VLOOKUP(A658,Sheet1!A:O,15,0)</f>
        <v>DevOps</v>
      </c>
      <c r="H658" s="19">
        <f>VLOOKUP(A658,Sheet1!A:Q,17,0)</f>
        <v>14</v>
      </c>
      <c r="I658" s="20">
        <f>VLOOKUP(A658,Sheet1!A:V,22,0)</f>
        <v>30</v>
      </c>
      <c r="J658" s="21">
        <f>VLOOKUP(A658,Sheet1!A:X,24,0)</f>
        <v>1.6</v>
      </c>
      <c r="K658" s="19" t="str">
        <f>VLOOKUP(A658,Sheet1!A:AB,28,0)</f>
        <v>Yes</v>
      </c>
      <c r="L658" s="27">
        <f>VLOOKUP(A658,Sheet1!A:AD,30,0)</f>
        <v>67</v>
      </c>
    </row>
    <row r="659" spans="1:12" x14ac:dyDescent="0.3">
      <c r="A659" s="14" t="s">
        <v>261</v>
      </c>
      <c r="B659" s="19" t="str">
        <f>VLOOKUP(A659,Sheet1!A:E,5,0)</f>
        <v>Michael Roberson</v>
      </c>
      <c r="C659" s="19" t="str">
        <f>VLOOKUP(A659,Sheet1!A:I,9,0)</f>
        <v>Male</v>
      </c>
      <c r="D659" s="19">
        <f>VLOOKUP(A659,Sheet1!A:K,11,0)</f>
        <v>35</v>
      </c>
      <c r="E659" s="19" t="str">
        <f>VLOOKUP(A659,Sheet1!A:M,13,0)</f>
        <v>South Korea</v>
      </c>
      <c r="F659" s="19" t="str">
        <f>VLOOKUP(A659,Sheet1!A:N,14,0)</f>
        <v>Korean</v>
      </c>
      <c r="G659" s="19" t="str">
        <f>VLOOKUP(A659,Sheet1!A:O,15,0)</f>
        <v>Web Development</v>
      </c>
      <c r="H659" s="19">
        <f>VLOOKUP(A659,Sheet1!A:Q,17,0)</f>
        <v>5</v>
      </c>
      <c r="I659" s="20">
        <f>VLOOKUP(A659,Sheet1!A:V,22,0)</f>
        <v>75</v>
      </c>
      <c r="J659" s="21">
        <f>VLOOKUP(A659,Sheet1!A:X,24,0)</f>
        <v>3.2</v>
      </c>
      <c r="K659" s="19" t="str">
        <f>VLOOKUP(A659,Sheet1!A:AB,28,0)</f>
        <v>No</v>
      </c>
      <c r="L659" s="27">
        <f>VLOOKUP(A659,Sheet1!A:AD,30,0)</f>
        <v>72</v>
      </c>
    </row>
    <row r="660" spans="1:12" x14ac:dyDescent="0.3">
      <c r="A660" s="14" t="s">
        <v>2062</v>
      </c>
      <c r="B660" s="19" t="str">
        <f>VLOOKUP(A660,Sheet1!A:E,5,0)</f>
        <v>Michelle Peterson</v>
      </c>
      <c r="C660" s="19" t="str">
        <f>VLOOKUP(A660,Sheet1!A:I,9,0)</f>
        <v>Female</v>
      </c>
      <c r="D660" s="19">
        <f>VLOOKUP(A660,Sheet1!A:K,11,0)</f>
        <v>35</v>
      </c>
      <c r="E660" s="19" t="str">
        <f>VLOOKUP(A660,Sheet1!A:M,13,0)</f>
        <v>South Korea</v>
      </c>
      <c r="F660" s="19" t="str">
        <f>VLOOKUP(A660,Sheet1!A:N,14,0)</f>
        <v>Korean</v>
      </c>
      <c r="G660" s="19" t="str">
        <f>VLOOKUP(A660,Sheet1!A:O,15,0)</f>
        <v>Graphic Design</v>
      </c>
      <c r="H660" s="19">
        <f>VLOOKUP(A660,Sheet1!A:Q,17,0)</f>
        <v>16</v>
      </c>
      <c r="I660" s="20">
        <f>VLOOKUP(A660,Sheet1!A:V,22,0)</f>
        <v>100</v>
      </c>
      <c r="J660" s="21">
        <f>VLOOKUP(A660,Sheet1!A:X,24,0)</f>
        <v>4.3</v>
      </c>
      <c r="K660" s="19" t="str">
        <f>VLOOKUP(A660,Sheet1!A:AB,28,0)</f>
        <v>Yes</v>
      </c>
      <c r="L660" s="27">
        <f>VLOOKUP(A660,Sheet1!A:AD,30,0)</f>
        <v>74</v>
      </c>
    </row>
    <row r="661" spans="1:12" x14ac:dyDescent="0.3">
      <c r="A661" s="14" t="s">
        <v>583</v>
      </c>
      <c r="B661" s="19" t="str">
        <f>VLOOKUP(A661,Sheet1!A:E,5,0)</f>
        <v>Monica Murphy</v>
      </c>
      <c r="C661" s="19" t="str">
        <f>VLOOKUP(A661,Sheet1!A:I,9,0)</f>
        <v>Female</v>
      </c>
      <c r="D661" s="19">
        <f>VLOOKUP(A661,Sheet1!A:K,11,0)</f>
        <v>35</v>
      </c>
      <c r="E661" s="19" t="str">
        <f>VLOOKUP(A661,Sheet1!A:M,13,0)</f>
        <v>United States</v>
      </c>
      <c r="F661" s="19" t="str">
        <f>VLOOKUP(A661,Sheet1!A:N,14,0)</f>
        <v>English</v>
      </c>
      <c r="G661" s="19" t="str">
        <f>VLOOKUP(A661,Sheet1!A:O,15,0)</f>
        <v>Mobile Apps</v>
      </c>
      <c r="H661" s="19">
        <f>VLOOKUP(A661,Sheet1!A:Q,17,0)</f>
        <v>10</v>
      </c>
      <c r="I661" s="20">
        <f>VLOOKUP(A661,Sheet1!A:V,22,0)</f>
        <v>50</v>
      </c>
      <c r="J661" s="21">
        <f>VLOOKUP(A661,Sheet1!A:X,24,0)</f>
        <v>1.4</v>
      </c>
      <c r="K661" s="19" t="str">
        <f>VLOOKUP(A661,Sheet1!A:AB,28,0)</f>
        <v>Yes</v>
      </c>
      <c r="L661" s="27">
        <f>VLOOKUP(A661,Sheet1!A:AD,30,0)</f>
        <v>85</v>
      </c>
    </row>
    <row r="662" spans="1:12" x14ac:dyDescent="0.3">
      <c r="A662" s="14" t="s">
        <v>1966</v>
      </c>
      <c r="B662" s="19" t="str">
        <f>VLOOKUP(A662,Sheet1!A:E,5,0)</f>
        <v>Nathan Davis</v>
      </c>
      <c r="C662" s="19" t="str">
        <f>VLOOKUP(A662,Sheet1!A:I,9,0)</f>
        <v>Male</v>
      </c>
      <c r="D662" s="19">
        <f>VLOOKUP(A662,Sheet1!A:K,11,0)</f>
        <v>35</v>
      </c>
      <c r="E662" s="19" t="str">
        <f>VLOOKUP(A662,Sheet1!A:M,13,0)</f>
        <v>Spain</v>
      </c>
      <c r="F662" s="19" t="str">
        <f>VLOOKUP(A662,Sheet1!A:N,14,0)</f>
        <v>Spanish</v>
      </c>
      <c r="G662" s="19" t="str">
        <f>VLOOKUP(A662,Sheet1!A:O,15,0)</f>
        <v>Graphic Design</v>
      </c>
      <c r="H662" s="19">
        <f>VLOOKUP(A662,Sheet1!A:Q,17,0)</f>
        <v>6</v>
      </c>
      <c r="I662" s="20">
        <f>VLOOKUP(A662,Sheet1!A:V,22,0)</f>
        <v>40</v>
      </c>
      <c r="J662" s="21">
        <f>VLOOKUP(A662,Sheet1!A:X,24,0)</f>
        <v>2.383018867924529</v>
      </c>
      <c r="K662" s="19" t="str">
        <f>VLOOKUP(A662,Sheet1!A:AB,28,0)</f>
        <v>Yes</v>
      </c>
      <c r="L662" s="27">
        <f>VLOOKUP(A662,Sheet1!A:AD,30,0)</f>
        <v>91</v>
      </c>
    </row>
    <row r="663" spans="1:12" x14ac:dyDescent="0.3">
      <c r="A663" s="14" t="s">
        <v>1560</v>
      </c>
      <c r="B663" s="19" t="str">
        <f>VLOOKUP(A663,Sheet1!A:E,5,0)</f>
        <v>Sandra Ali</v>
      </c>
      <c r="C663" s="19" t="str">
        <f>VLOOKUP(A663,Sheet1!A:I,9,0)</f>
        <v>Female</v>
      </c>
      <c r="D663" s="19">
        <f>VLOOKUP(A663,Sheet1!A:K,11,0)</f>
        <v>35</v>
      </c>
      <c r="E663" s="19" t="str">
        <f>VLOOKUP(A663,Sheet1!A:M,13,0)</f>
        <v>France</v>
      </c>
      <c r="F663" s="19" t="str">
        <f>VLOOKUP(A663,Sheet1!A:N,14,0)</f>
        <v>French</v>
      </c>
      <c r="G663" s="19" t="str">
        <f>VLOOKUP(A663,Sheet1!A:O,15,0)</f>
        <v>UI/UX Design</v>
      </c>
      <c r="H663" s="19">
        <f>VLOOKUP(A663,Sheet1!A:Q,17,0)</f>
        <v>17</v>
      </c>
      <c r="I663" s="20">
        <f>VLOOKUP(A663,Sheet1!A:V,22,0)</f>
        <v>50</v>
      </c>
      <c r="J663" s="21">
        <f>VLOOKUP(A663,Sheet1!A:X,24,0)</f>
        <v>3.1</v>
      </c>
      <c r="K663" s="19" t="str">
        <f>VLOOKUP(A663,Sheet1!A:AB,28,0)</f>
        <v>No</v>
      </c>
      <c r="L663" s="27">
        <f>VLOOKUP(A663,Sheet1!A:AD,30,0)</f>
        <v>71</v>
      </c>
    </row>
    <row r="664" spans="1:12" x14ac:dyDescent="0.3">
      <c r="A664" s="14" t="s">
        <v>986</v>
      </c>
      <c r="B664" s="19" t="str">
        <f>VLOOKUP(A664,Sheet1!A:E,5,0)</f>
        <v>Steven Whitaker</v>
      </c>
      <c r="C664" s="19" t="str">
        <f>VLOOKUP(A664,Sheet1!A:I,9,0)</f>
        <v>Male</v>
      </c>
      <c r="D664" s="19">
        <f>VLOOKUP(A664,Sheet1!A:K,11,0)</f>
        <v>35</v>
      </c>
      <c r="E664" s="19" t="str">
        <f>VLOOKUP(A664,Sheet1!A:M,13,0)</f>
        <v>United Kingdom</v>
      </c>
      <c r="F664" s="19" t="str">
        <f>VLOOKUP(A664,Sheet1!A:N,14,0)</f>
        <v>English</v>
      </c>
      <c r="G664" s="19" t="str">
        <f>VLOOKUP(A664,Sheet1!A:O,15,0)</f>
        <v>AI</v>
      </c>
      <c r="H664" s="19">
        <f>VLOOKUP(A664,Sheet1!A:Q,17,0)</f>
        <v>8</v>
      </c>
      <c r="I664" s="20">
        <f>VLOOKUP(A664,Sheet1!A:V,22,0)</f>
        <v>50</v>
      </c>
      <c r="J664" s="21">
        <f>VLOOKUP(A664,Sheet1!A:X,24,0)</f>
        <v>2.5439271255060723</v>
      </c>
      <c r="K664" s="19" t="str">
        <f>VLOOKUP(A664,Sheet1!A:AB,28,0)</f>
        <v>No</v>
      </c>
      <c r="L664" s="27">
        <f>VLOOKUP(A664,Sheet1!A:AD,30,0)</f>
        <v>90</v>
      </c>
    </row>
    <row r="665" spans="1:12" x14ac:dyDescent="0.3">
      <c r="A665" s="14" t="s">
        <v>1305</v>
      </c>
      <c r="B665" s="19" t="str">
        <f>VLOOKUP(A665,Sheet1!A:E,5,0)</f>
        <v>Thomas Davis</v>
      </c>
      <c r="C665" s="19" t="str">
        <f>VLOOKUP(A665,Sheet1!A:I,9,0)</f>
        <v>Male</v>
      </c>
      <c r="D665" s="19">
        <f>VLOOKUP(A665,Sheet1!A:K,11,0)</f>
        <v>35</v>
      </c>
      <c r="E665" s="19" t="str">
        <f>VLOOKUP(A665,Sheet1!A:M,13,0)</f>
        <v>Italy</v>
      </c>
      <c r="F665" s="19" t="str">
        <f>VLOOKUP(A665,Sheet1!A:N,14,0)</f>
        <v>Italian</v>
      </c>
      <c r="G665" s="19" t="str">
        <f>VLOOKUP(A665,Sheet1!A:O,15,0)</f>
        <v>UI/UX Design</v>
      </c>
      <c r="H665" s="19">
        <f>VLOOKUP(A665,Sheet1!A:Q,17,0)</f>
        <v>16</v>
      </c>
      <c r="I665" s="20">
        <f>VLOOKUP(A665,Sheet1!A:V,22,0)</f>
        <v>54.141274238227147</v>
      </c>
      <c r="J665" s="21">
        <f>VLOOKUP(A665,Sheet1!A:X,24,0)</f>
        <v>1.3</v>
      </c>
      <c r="K665" s="19" t="str">
        <f>VLOOKUP(A665,Sheet1!A:AB,28,0)</f>
        <v>Yes</v>
      </c>
      <c r="L665" s="27">
        <f>VLOOKUP(A665,Sheet1!A:AD,30,0)</f>
        <v>64</v>
      </c>
    </row>
    <row r="666" spans="1:12" x14ac:dyDescent="0.3">
      <c r="A666" s="14" t="s">
        <v>295</v>
      </c>
      <c r="B666" s="19" t="str">
        <f>VLOOKUP(A666,Sheet1!A:E,5,0)</f>
        <v>Thomas Roth</v>
      </c>
      <c r="C666" s="19" t="str">
        <f>VLOOKUP(A666,Sheet1!A:I,9,0)</f>
        <v>Male</v>
      </c>
      <c r="D666" s="19">
        <f>VLOOKUP(A666,Sheet1!A:K,11,0)</f>
        <v>35</v>
      </c>
      <c r="E666" s="19" t="str">
        <f>VLOOKUP(A666,Sheet1!A:M,13,0)</f>
        <v>India</v>
      </c>
      <c r="F666" s="19" t="str">
        <f>VLOOKUP(A666,Sheet1!A:N,14,0)</f>
        <v>Hindi</v>
      </c>
      <c r="G666" s="19" t="str">
        <f>VLOOKUP(A666,Sheet1!A:O,15,0)</f>
        <v>Mobile Apps</v>
      </c>
      <c r="H666" s="19">
        <f>VLOOKUP(A666,Sheet1!A:Q,17,0)</f>
        <v>0</v>
      </c>
      <c r="I666" s="20">
        <f>VLOOKUP(A666,Sheet1!A:V,22,0)</f>
        <v>52.362637362637365</v>
      </c>
      <c r="J666" s="21">
        <f>VLOOKUP(A666,Sheet1!A:X,24,0)</f>
        <v>2</v>
      </c>
      <c r="K666" s="19" t="str">
        <f>VLOOKUP(A666,Sheet1!A:AB,28,0)</f>
        <v>Yes</v>
      </c>
      <c r="L666" s="27">
        <f>VLOOKUP(A666,Sheet1!A:AD,30,0)</f>
        <v>64</v>
      </c>
    </row>
    <row r="667" spans="1:12" x14ac:dyDescent="0.3">
      <c r="A667" s="14" t="s">
        <v>980</v>
      </c>
      <c r="B667" s="19" t="str">
        <f>VLOOKUP(A667,Sheet1!A:E,5,0)</f>
        <v>Andrea Perez</v>
      </c>
      <c r="C667" s="19" t="str">
        <f>VLOOKUP(A667,Sheet1!A:I,9,0)</f>
        <v>Female</v>
      </c>
      <c r="D667" s="19">
        <f>VLOOKUP(A667,Sheet1!A:K,11,0)</f>
        <v>34</v>
      </c>
      <c r="E667" s="19" t="str">
        <f>VLOOKUP(A667,Sheet1!A:M,13,0)</f>
        <v>China</v>
      </c>
      <c r="F667" s="19" t="str">
        <f>VLOOKUP(A667,Sheet1!A:N,14,0)</f>
        <v>Mandarin</v>
      </c>
      <c r="G667" s="19" t="str">
        <f>VLOOKUP(A667,Sheet1!A:O,15,0)</f>
        <v>Blockchain Development</v>
      </c>
      <c r="H667" s="19">
        <f>VLOOKUP(A667,Sheet1!A:Q,17,0)</f>
        <v>9</v>
      </c>
      <c r="I667" s="20">
        <f>VLOOKUP(A667,Sheet1!A:V,22,0)</f>
        <v>50</v>
      </c>
      <c r="J667" s="21">
        <f>VLOOKUP(A667,Sheet1!A:X,24,0)</f>
        <v>0</v>
      </c>
      <c r="K667" s="19" t="str">
        <f>VLOOKUP(A667,Sheet1!A:AB,28,0)</f>
        <v>No</v>
      </c>
      <c r="L667" s="27">
        <f>VLOOKUP(A667,Sheet1!A:AD,30,0)</f>
        <v>84</v>
      </c>
    </row>
    <row r="668" spans="1:12" x14ac:dyDescent="0.3">
      <c r="A668" s="14" t="s">
        <v>344</v>
      </c>
      <c r="B668" s="19" t="str">
        <f>VLOOKUP(A668,Sheet1!A:E,5,0)</f>
        <v>Andrew Fuentes</v>
      </c>
      <c r="C668" s="19" t="str">
        <f>VLOOKUP(A668,Sheet1!A:I,9,0)</f>
        <v>Male</v>
      </c>
      <c r="D668" s="19">
        <f>VLOOKUP(A668,Sheet1!A:K,11,0)</f>
        <v>34</v>
      </c>
      <c r="E668" s="19" t="str">
        <f>VLOOKUP(A668,Sheet1!A:M,13,0)</f>
        <v>Australia</v>
      </c>
      <c r="F668" s="19" t="str">
        <f>VLOOKUP(A668,Sheet1!A:N,14,0)</f>
        <v>English</v>
      </c>
      <c r="G668" s="19" t="str">
        <f>VLOOKUP(A668,Sheet1!A:O,15,0)</f>
        <v>Web Development</v>
      </c>
      <c r="H668" s="19">
        <f>VLOOKUP(A668,Sheet1!A:Q,17,0)</f>
        <v>10</v>
      </c>
      <c r="I668" s="20">
        <f>VLOOKUP(A668,Sheet1!A:V,22,0)</f>
        <v>52.678795483061478</v>
      </c>
      <c r="J668" s="21">
        <f>VLOOKUP(A668,Sheet1!A:X,24,0)</f>
        <v>1.7</v>
      </c>
      <c r="K668" s="19" t="str">
        <f>VLOOKUP(A668,Sheet1!A:AB,28,0)</f>
        <v>No</v>
      </c>
      <c r="L668" s="27">
        <f>VLOOKUP(A668,Sheet1!A:AD,30,0)</f>
        <v>96</v>
      </c>
    </row>
    <row r="669" spans="1:12" x14ac:dyDescent="0.3">
      <c r="A669" s="14" t="s">
        <v>964</v>
      </c>
      <c r="B669" s="19" t="str">
        <f>VLOOKUP(A669,Sheet1!A:E,5,0)</f>
        <v>Anthony Downs</v>
      </c>
      <c r="C669" s="19" t="str">
        <f>VLOOKUP(A669,Sheet1!A:I,9,0)</f>
        <v>Male</v>
      </c>
      <c r="D669" s="19">
        <f>VLOOKUP(A669,Sheet1!A:K,11,0)</f>
        <v>34</v>
      </c>
      <c r="E669" s="19" t="str">
        <f>VLOOKUP(A669,Sheet1!A:M,13,0)</f>
        <v>Australia</v>
      </c>
      <c r="F669" s="19" t="str">
        <f>VLOOKUP(A669,Sheet1!A:N,14,0)</f>
        <v>English</v>
      </c>
      <c r="G669" s="19" t="str">
        <f>VLOOKUP(A669,Sheet1!A:O,15,0)</f>
        <v>DevOps</v>
      </c>
      <c r="H669" s="19">
        <f>VLOOKUP(A669,Sheet1!A:Q,17,0)</f>
        <v>6</v>
      </c>
      <c r="I669" s="20">
        <f>VLOOKUP(A669,Sheet1!A:V,22,0)</f>
        <v>50</v>
      </c>
      <c r="J669" s="21">
        <f>VLOOKUP(A669,Sheet1!A:X,24,0)</f>
        <v>5</v>
      </c>
      <c r="K669" s="19" t="str">
        <f>VLOOKUP(A669,Sheet1!A:AB,28,0)</f>
        <v>Yes</v>
      </c>
      <c r="L669" s="27">
        <f>VLOOKUP(A669,Sheet1!A:AD,30,0)</f>
        <v>92</v>
      </c>
    </row>
    <row r="670" spans="1:12" x14ac:dyDescent="0.3">
      <c r="A670" s="14" t="s">
        <v>557</v>
      </c>
      <c r="B670" s="19" t="str">
        <f>VLOOKUP(A670,Sheet1!A:E,5,0)</f>
        <v>Chloe Gray</v>
      </c>
      <c r="C670" s="19" t="str">
        <f>VLOOKUP(A670,Sheet1!A:I,9,0)</f>
        <v>Female</v>
      </c>
      <c r="D670" s="19">
        <f>VLOOKUP(A670,Sheet1!A:K,11,0)</f>
        <v>34</v>
      </c>
      <c r="E670" s="19" t="str">
        <f>VLOOKUP(A670,Sheet1!A:M,13,0)</f>
        <v>Egypt</v>
      </c>
      <c r="F670" s="19" t="str">
        <f>VLOOKUP(A670,Sheet1!A:N,14,0)</f>
        <v>Arabic</v>
      </c>
      <c r="G670" s="19" t="str">
        <f>VLOOKUP(A670,Sheet1!A:O,15,0)</f>
        <v>Data Analysis</v>
      </c>
      <c r="H670" s="19">
        <f>VLOOKUP(A670,Sheet1!A:Q,17,0)</f>
        <v>11</v>
      </c>
      <c r="I670" s="20">
        <f>VLOOKUP(A670,Sheet1!A:V,22,0)</f>
        <v>50</v>
      </c>
      <c r="J670" s="21">
        <f>VLOOKUP(A670,Sheet1!A:X,24,0)</f>
        <v>3.9</v>
      </c>
      <c r="K670" s="19" t="str">
        <f>VLOOKUP(A670,Sheet1!A:AB,28,0)</f>
        <v>Yes</v>
      </c>
      <c r="L670" s="27">
        <f>VLOOKUP(A670,Sheet1!A:AD,30,0)</f>
        <v>82</v>
      </c>
    </row>
    <row r="671" spans="1:12" x14ac:dyDescent="0.3">
      <c r="A671" s="14" t="s">
        <v>218</v>
      </c>
      <c r="B671" s="19" t="str">
        <f>VLOOKUP(A671,Sheet1!A:E,5,0)</f>
        <v>Christine Johnson</v>
      </c>
      <c r="C671" s="19" t="str">
        <f>VLOOKUP(A671,Sheet1!A:I,9,0)</f>
        <v>Female</v>
      </c>
      <c r="D671" s="19">
        <f>VLOOKUP(A671,Sheet1!A:K,11,0)</f>
        <v>34</v>
      </c>
      <c r="E671" s="19" t="str">
        <f>VLOOKUP(A671,Sheet1!A:M,13,0)</f>
        <v>Russia</v>
      </c>
      <c r="F671" s="19" t="str">
        <f>VLOOKUP(A671,Sheet1!A:N,14,0)</f>
        <v>Russian</v>
      </c>
      <c r="G671" s="19" t="str">
        <f>VLOOKUP(A671,Sheet1!A:O,15,0)</f>
        <v>UI/UX Design</v>
      </c>
      <c r="H671" s="19">
        <f>VLOOKUP(A671,Sheet1!A:Q,17,0)</f>
        <v>16</v>
      </c>
      <c r="I671" s="20">
        <f>VLOOKUP(A671,Sheet1!A:V,22,0)</f>
        <v>20</v>
      </c>
      <c r="J671" s="21">
        <f>VLOOKUP(A671,Sheet1!A:X,24,0)</f>
        <v>2.2999999999999998</v>
      </c>
      <c r="K671" s="19" t="str">
        <f>VLOOKUP(A671,Sheet1!A:AB,28,0)</f>
        <v>Yes</v>
      </c>
      <c r="L671" s="27">
        <f>VLOOKUP(A671,Sheet1!A:AD,30,0)</f>
        <v>93</v>
      </c>
    </row>
    <row r="672" spans="1:12" x14ac:dyDescent="0.3">
      <c r="A672" s="14" t="s">
        <v>575</v>
      </c>
      <c r="B672" s="19" t="str">
        <f>VLOOKUP(A672,Sheet1!A:E,5,0)</f>
        <v>Christopher Guerra</v>
      </c>
      <c r="C672" s="19" t="str">
        <f>VLOOKUP(A672,Sheet1!A:I,9,0)</f>
        <v>Male</v>
      </c>
      <c r="D672" s="19">
        <f>VLOOKUP(A672,Sheet1!A:K,11,0)</f>
        <v>34</v>
      </c>
      <c r="E672" s="19" t="str">
        <f>VLOOKUP(A672,Sheet1!A:M,13,0)</f>
        <v>India</v>
      </c>
      <c r="F672" s="19" t="str">
        <f>VLOOKUP(A672,Sheet1!A:N,14,0)</f>
        <v>Hindi</v>
      </c>
      <c r="G672" s="19" t="str">
        <f>VLOOKUP(A672,Sheet1!A:O,15,0)</f>
        <v>AI</v>
      </c>
      <c r="H672" s="19">
        <f>VLOOKUP(A672,Sheet1!A:Q,17,0)</f>
        <v>11</v>
      </c>
      <c r="I672" s="20">
        <f>VLOOKUP(A672,Sheet1!A:V,22,0)</f>
        <v>52.70289855072464</v>
      </c>
      <c r="J672" s="21">
        <f>VLOOKUP(A672,Sheet1!A:X,24,0)</f>
        <v>1.2</v>
      </c>
      <c r="K672" s="19" t="str">
        <f>VLOOKUP(A672,Sheet1!A:AB,28,0)</f>
        <v>Yes</v>
      </c>
      <c r="L672" s="27">
        <f>VLOOKUP(A672,Sheet1!A:AD,30,0)</f>
        <v>79.655063291139243</v>
      </c>
    </row>
    <row r="673" spans="1:12" x14ac:dyDescent="0.3">
      <c r="A673" s="14" t="s">
        <v>224</v>
      </c>
      <c r="B673" s="19" t="str">
        <f>VLOOKUP(A673,Sheet1!A:E,5,0)</f>
        <v>Crystal Wilson</v>
      </c>
      <c r="C673" s="19" t="str">
        <f>VLOOKUP(A673,Sheet1!A:I,9,0)</f>
        <v>Female</v>
      </c>
      <c r="D673" s="19">
        <f>VLOOKUP(A673,Sheet1!A:K,11,0)</f>
        <v>34</v>
      </c>
      <c r="E673" s="19" t="str">
        <f>VLOOKUP(A673,Sheet1!A:M,13,0)</f>
        <v>Spain</v>
      </c>
      <c r="F673" s="19" t="str">
        <f>VLOOKUP(A673,Sheet1!A:N,14,0)</f>
        <v>Spanish</v>
      </c>
      <c r="G673" s="19" t="str">
        <f>VLOOKUP(A673,Sheet1!A:O,15,0)</f>
        <v>Web Development</v>
      </c>
      <c r="H673" s="19">
        <f>VLOOKUP(A673,Sheet1!A:Q,17,0)</f>
        <v>12</v>
      </c>
      <c r="I673" s="20">
        <f>VLOOKUP(A673,Sheet1!A:V,22,0)</f>
        <v>40</v>
      </c>
      <c r="J673" s="21">
        <f>VLOOKUP(A673,Sheet1!A:X,24,0)</f>
        <v>2.4</v>
      </c>
      <c r="K673" s="19" t="str">
        <f>VLOOKUP(A673,Sheet1!A:AB,28,0)</f>
        <v>Yes</v>
      </c>
      <c r="L673" s="27">
        <f>VLOOKUP(A673,Sheet1!A:AD,30,0)</f>
        <v>64</v>
      </c>
    </row>
    <row r="674" spans="1:12" x14ac:dyDescent="0.3">
      <c r="A674" s="14" t="s">
        <v>571</v>
      </c>
      <c r="B674" s="19" t="str">
        <f>VLOOKUP(A674,Sheet1!A:E,5,0)</f>
        <v>Daniel Barnett</v>
      </c>
      <c r="C674" s="19" t="str">
        <f>VLOOKUP(A674,Sheet1!A:I,9,0)</f>
        <v>Male</v>
      </c>
      <c r="D674" s="19">
        <f>VLOOKUP(A674,Sheet1!A:K,11,0)</f>
        <v>34</v>
      </c>
      <c r="E674" s="19" t="str">
        <f>VLOOKUP(A674,Sheet1!A:M,13,0)</f>
        <v>Italy</v>
      </c>
      <c r="F674" s="19" t="str">
        <f>VLOOKUP(A674,Sheet1!A:N,14,0)</f>
        <v>Italian</v>
      </c>
      <c r="G674" s="19" t="str">
        <f>VLOOKUP(A674,Sheet1!A:O,15,0)</f>
        <v>Mobile Apps</v>
      </c>
      <c r="H674" s="19">
        <f>VLOOKUP(A674,Sheet1!A:Q,17,0)</f>
        <v>11</v>
      </c>
      <c r="I674" s="20">
        <f>VLOOKUP(A674,Sheet1!A:V,22,0)</f>
        <v>40</v>
      </c>
      <c r="J674" s="21">
        <f>VLOOKUP(A674,Sheet1!A:X,24,0)</f>
        <v>2.5586510263929609</v>
      </c>
      <c r="K674" s="19" t="str">
        <f>VLOOKUP(A674,Sheet1!A:AB,28,0)</f>
        <v>No</v>
      </c>
      <c r="L674" s="27">
        <f>VLOOKUP(A674,Sheet1!A:AD,30,0)</f>
        <v>67</v>
      </c>
    </row>
    <row r="675" spans="1:12" x14ac:dyDescent="0.3">
      <c r="A675" s="14" t="s">
        <v>709</v>
      </c>
      <c r="B675" s="19" t="str">
        <f>VLOOKUP(A675,Sheet1!A:E,5,0)</f>
        <v>David Cox</v>
      </c>
      <c r="C675" s="19" t="str">
        <f>VLOOKUP(A675,Sheet1!A:I,9,0)</f>
        <v>Male</v>
      </c>
      <c r="D675" s="19">
        <f>VLOOKUP(A675,Sheet1!A:K,11,0)</f>
        <v>34</v>
      </c>
      <c r="E675" s="19" t="str">
        <f>VLOOKUP(A675,Sheet1!A:M,13,0)</f>
        <v>South Korea</v>
      </c>
      <c r="F675" s="19" t="str">
        <f>VLOOKUP(A675,Sheet1!A:N,14,0)</f>
        <v>Korean</v>
      </c>
      <c r="G675" s="19" t="str">
        <f>VLOOKUP(A675,Sheet1!A:O,15,0)</f>
        <v>Mobile Apps</v>
      </c>
      <c r="H675" s="19">
        <f>VLOOKUP(A675,Sheet1!A:Q,17,0)</f>
        <v>1</v>
      </c>
      <c r="I675" s="20">
        <f>VLOOKUP(A675,Sheet1!A:V,22,0)</f>
        <v>30</v>
      </c>
      <c r="J675" s="21">
        <f>VLOOKUP(A675,Sheet1!A:X,24,0)</f>
        <v>3.6</v>
      </c>
      <c r="K675" s="19" t="str">
        <f>VLOOKUP(A675,Sheet1!A:AB,28,0)</f>
        <v>Yes</v>
      </c>
      <c r="L675" s="27">
        <f>VLOOKUP(A675,Sheet1!A:AD,30,0)</f>
        <v>87</v>
      </c>
    </row>
    <row r="676" spans="1:12" x14ac:dyDescent="0.3">
      <c r="A676" s="14" t="s">
        <v>2002</v>
      </c>
      <c r="B676" s="19" t="str">
        <f>VLOOKUP(A676,Sheet1!A:E,5,0)</f>
        <v>Gabrielle Bowman</v>
      </c>
      <c r="C676" s="19" t="str">
        <f>VLOOKUP(A676,Sheet1!A:I,9,0)</f>
        <v>Female</v>
      </c>
      <c r="D676" s="19">
        <f>VLOOKUP(A676,Sheet1!A:K,11,0)</f>
        <v>34</v>
      </c>
      <c r="E676" s="19" t="str">
        <f>VLOOKUP(A676,Sheet1!A:M,13,0)</f>
        <v>Turkey</v>
      </c>
      <c r="F676" s="19" t="str">
        <f>VLOOKUP(A676,Sheet1!A:N,14,0)</f>
        <v>Turkish</v>
      </c>
      <c r="G676" s="19" t="str">
        <f>VLOOKUP(A676,Sheet1!A:O,15,0)</f>
        <v>UI/UX Design</v>
      </c>
      <c r="H676" s="19">
        <f>VLOOKUP(A676,Sheet1!A:Q,17,0)</f>
        <v>12</v>
      </c>
      <c r="I676" s="20">
        <f>VLOOKUP(A676,Sheet1!A:V,22,0)</f>
        <v>20</v>
      </c>
      <c r="J676" s="21">
        <f>VLOOKUP(A676,Sheet1!A:X,24,0)</f>
        <v>1.6</v>
      </c>
      <c r="K676" s="19" t="str">
        <f>VLOOKUP(A676,Sheet1!A:AB,28,0)</f>
        <v>Yes</v>
      </c>
      <c r="L676" s="27">
        <f>VLOOKUP(A676,Sheet1!A:AD,30,0)</f>
        <v>64</v>
      </c>
    </row>
    <row r="677" spans="1:12" x14ac:dyDescent="0.3">
      <c r="A677" s="14" t="s">
        <v>599</v>
      </c>
      <c r="B677" s="19" t="str">
        <f>VLOOKUP(A677,Sheet1!A:E,5,0)</f>
        <v>Jacob Gill</v>
      </c>
      <c r="C677" s="19" t="str">
        <f>VLOOKUP(A677,Sheet1!A:I,9,0)</f>
        <v>Male</v>
      </c>
      <c r="D677" s="19">
        <f>VLOOKUP(A677,Sheet1!A:K,11,0)</f>
        <v>34</v>
      </c>
      <c r="E677" s="19" t="str">
        <f>VLOOKUP(A677,Sheet1!A:M,13,0)</f>
        <v>Germany</v>
      </c>
      <c r="F677" s="19" t="str">
        <f>VLOOKUP(A677,Sheet1!A:N,14,0)</f>
        <v>German</v>
      </c>
      <c r="G677" s="19" t="str">
        <f>VLOOKUP(A677,Sheet1!A:O,15,0)</f>
        <v>Data Analysis</v>
      </c>
      <c r="H677" s="19">
        <f>VLOOKUP(A677,Sheet1!A:Q,17,0)</f>
        <v>8</v>
      </c>
      <c r="I677" s="20">
        <f>VLOOKUP(A677,Sheet1!A:V,22,0)</f>
        <v>75</v>
      </c>
      <c r="J677" s="21">
        <f>VLOOKUP(A677,Sheet1!A:X,24,0)</f>
        <v>1.8</v>
      </c>
      <c r="K677" s="19" t="str">
        <f>VLOOKUP(A677,Sheet1!A:AB,28,0)</f>
        <v>Yes</v>
      </c>
      <c r="L677" s="27">
        <f>VLOOKUP(A677,Sheet1!A:AD,30,0)</f>
        <v>71</v>
      </c>
    </row>
    <row r="678" spans="1:12" x14ac:dyDescent="0.3">
      <c r="A678" s="14" t="s">
        <v>2076</v>
      </c>
      <c r="B678" s="19" t="str">
        <f>VLOOKUP(A678,Sheet1!A:E,5,0)</f>
        <v>Jennifer Hinton</v>
      </c>
      <c r="C678" s="19" t="str">
        <f>VLOOKUP(A678,Sheet1!A:I,9,0)</f>
        <v>Female</v>
      </c>
      <c r="D678" s="19">
        <f>VLOOKUP(A678,Sheet1!A:K,11,0)</f>
        <v>34</v>
      </c>
      <c r="E678" s="19" t="str">
        <f>VLOOKUP(A678,Sheet1!A:M,13,0)</f>
        <v>South Africa</v>
      </c>
      <c r="F678" s="19" t="str">
        <f>VLOOKUP(A678,Sheet1!A:N,14,0)</f>
        <v>Afrikaans</v>
      </c>
      <c r="G678" s="19" t="str">
        <f>VLOOKUP(A678,Sheet1!A:O,15,0)</f>
        <v>DevOps</v>
      </c>
      <c r="H678" s="19">
        <f>VLOOKUP(A678,Sheet1!A:Q,17,0)</f>
        <v>8</v>
      </c>
      <c r="I678" s="20">
        <f>VLOOKUP(A678,Sheet1!A:V,22,0)</f>
        <v>30</v>
      </c>
      <c r="J678" s="21">
        <f>VLOOKUP(A678,Sheet1!A:X,24,0)</f>
        <v>3.9</v>
      </c>
      <c r="K678" s="19" t="str">
        <f>VLOOKUP(A678,Sheet1!A:AB,28,0)</f>
        <v>Yes</v>
      </c>
      <c r="L678" s="27">
        <f>VLOOKUP(A678,Sheet1!A:AD,30,0)</f>
        <v>95</v>
      </c>
    </row>
    <row r="679" spans="1:12" x14ac:dyDescent="0.3">
      <c r="A679" s="14" t="s">
        <v>1754</v>
      </c>
      <c r="B679" s="19" t="str">
        <f>VLOOKUP(A679,Sheet1!A:E,5,0)</f>
        <v>Julia Reid</v>
      </c>
      <c r="C679" s="19" t="str">
        <f>VLOOKUP(A679,Sheet1!A:I,9,0)</f>
        <v>Female</v>
      </c>
      <c r="D679" s="19">
        <f>VLOOKUP(A679,Sheet1!A:K,11,0)</f>
        <v>34</v>
      </c>
      <c r="E679" s="19" t="str">
        <f>VLOOKUP(A679,Sheet1!A:M,13,0)</f>
        <v>Egypt</v>
      </c>
      <c r="F679" s="19" t="str">
        <f>VLOOKUP(A679,Sheet1!A:N,14,0)</f>
        <v>Arabic</v>
      </c>
      <c r="G679" s="19" t="str">
        <f>VLOOKUP(A679,Sheet1!A:O,15,0)</f>
        <v>Machine Learning</v>
      </c>
      <c r="H679" s="19">
        <f>VLOOKUP(A679,Sheet1!A:Q,17,0)</f>
        <v>4</v>
      </c>
      <c r="I679" s="20">
        <f>VLOOKUP(A679,Sheet1!A:V,22,0)</f>
        <v>30</v>
      </c>
      <c r="J679" s="21">
        <f>VLOOKUP(A679,Sheet1!A:X,24,0)</f>
        <v>3.1</v>
      </c>
      <c r="K679" s="19" t="str">
        <f>VLOOKUP(A679,Sheet1!A:AB,28,0)</f>
        <v>Unknown</v>
      </c>
      <c r="L679" s="27">
        <f>VLOOKUP(A679,Sheet1!A:AD,30,0)</f>
        <v>90</v>
      </c>
    </row>
    <row r="680" spans="1:12" x14ac:dyDescent="0.3">
      <c r="A680" s="14" t="s">
        <v>1500</v>
      </c>
      <c r="B680" s="19" t="str">
        <f>VLOOKUP(A680,Sheet1!A:E,5,0)</f>
        <v>Katrina Schultz</v>
      </c>
      <c r="C680" s="19" t="str">
        <f>VLOOKUP(A680,Sheet1!A:I,9,0)</f>
        <v>Female</v>
      </c>
      <c r="D680" s="19">
        <f>VLOOKUP(A680,Sheet1!A:K,11,0)</f>
        <v>34</v>
      </c>
      <c r="E680" s="19" t="str">
        <f>VLOOKUP(A680,Sheet1!A:M,13,0)</f>
        <v>Spain</v>
      </c>
      <c r="F680" s="19" t="str">
        <f>VLOOKUP(A680,Sheet1!A:N,14,0)</f>
        <v>Spanish</v>
      </c>
      <c r="G680" s="19" t="str">
        <f>VLOOKUP(A680,Sheet1!A:O,15,0)</f>
        <v>Mobile Apps</v>
      </c>
      <c r="H680" s="19">
        <f>VLOOKUP(A680,Sheet1!A:Q,17,0)</f>
        <v>11</v>
      </c>
      <c r="I680" s="20">
        <f>VLOOKUP(A680,Sheet1!A:V,22,0)</f>
        <v>50</v>
      </c>
      <c r="J680" s="21">
        <f>VLOOKUP(A680,Sheet1!A:X,24,0)</f>
        <v>3.3</v>
      </c>
      <c r="K680" s="19" t="str">
        <f>VLOOKUP(A680,Sheet1!A:AB,28,0)</f>
        <v>Yes</v>
      </c>
      <c r="L680" s="27">
        <f>VLOOKUP(A680,Sheet1!A:AD,30,0)</f>
        <v>76</v>
      </c>
    </row>
    <row r="681" spans="1:12" x14ac:dyDescent="0.3">
      <c r="A681" s="14" t="s">
        <v>1343</v>
      </c>
      <c r="B681" s="19" t="str">
        <f>VLOOKUP(A681,Sheet1!A:E,5,0)</f>
        <v>Laura Butler</v>
      </c>
      <c r="C681" s="19" t="str">
        <f>VLOOKUP(A681,Sheet1!A:I,9,0)</f>
        <v>Female</v>
      </c>
      <c r="D681" s="19">
        <f>VLOOKUP(A681,Sheet1!A:K,11,0)</f>
        <v>34</v>
      </c>
      <c r="E681" s="19" t="str">
        <f>VLOOKUP(A681,Sheet1!A:M,13,0)</f>
        <v>Australia</v>
      </c>
      <c r="F681" s="19" t="str">
        <f>VLOOKUP(A681,Sheet1!A:N,14,0)</f>
        <v>English</v>
      </c>
      <c r="G681" s="19" t="str">
        <f>VLOOKUP(A681,Sheet1!A:O,15,0)</f>
        <v>Data Analysis</v>
      </c>
      <c r="H681" s="19">
        <f>VLOOKUP(A681,Sheet1!A:Q,17,0)</f>
        <v>2</v>
      </c>
      <c r="I681" s="20">
        <f>VLOOKUP(A681,Sheet1!A:V,22,0)</f>
        <v>100</v>
      </c>
      <c r="J681" s="21">
        <f>VLOOKUP(A681,Sheet1!A:X,24,0)</f>
        <v>0</v>
      </c>
      <c r="K681" s="19" t="str">
        <f>VLOOKUP(A681,Sheet1!A:AB,28,0)</f>
        <v>No</v>
      </c>
      <c r="L681" s="27">
        <f>VLOOKUP(A681,Sheet1!A:AD,30,0)</f>
        <v>86</v>
      </c>
    </row>
    <row r="682" spans="1:12" x14ac:dyDescent="0.3">
      <c r="A682" s="14" t="s">
        <v>378</v>
      </c>
      <c r="B682" s="19" t="str">
        <f>VLOOKUP(A682,Sheet1!A:E,5,0)</f>
        <v>Lindsey Miles</v>
      </c>
      <c r="C682" s="19" t="str">
        <f>VLOOKUP(A682,Sheet1!A:I,9,0)</f>
        <v>Female</v>
      </c>
      <c r="D682" s="19">
        <f>VLOOKUP(A682,Sheet1!A:K,11,0)</f>
        <v>34</v>
      </c>
      <c r="E682" s="19" t="str">
        <f>VLOOKUP(A682,Sheet1!A:M,13,0)</f>
        <v>India</v>
      </c>
      <c r="F682" s="19" t="str">
        <f>VLOOKUP(A682,Sheet1!A:N,14,0)</f>
        <v>Hindi</v>
      </c>
      <c r="G682" s="19" t="str">
        <f>VLOOKUP(A682,Sheet1!A:O,15,0)</f>
        <v>Data Analysis</v>
      </c>
      <c r="H682" s="19">
        <f>VLOOKUP(A682,Sheet1!A:Q,17,0)</f>
        <v>5</v>
      </c>
      <c r="I682" s="20">
        <f>VLOOKUP(A682,Sheet1!A:V,22,0)</f>
        <v>20</v>
      </c>
      <c r="J682" s="21">
        <f>VLOOKUP(A682,Sheet1!A:X,24,0)</f>
        <v>2.2000000000000002</v>
      </c>
      <c r="K682" s="19" t="str">
        <f>VLOOKUP(A682,Sheet1!A:AB,28,0)</f>
        <v>Yes</v>
      </c>
      <c r="L682" s="27">
        <f>VLOOKUP(A682,Sheet1!A:AD,30,0)</f>
        <v>80</v>
      </c>
    </row>
    <row r="683" spans="1:12" x14ac:dyDescent="0.3">
      <c r="A683" s="14" t="s">
        <v>129</v>
      </c>
      <c r="B683" s="19" t="str">
        <f>VLOOKUP(A683,Sheet1!A:E,5,0)</f>
        <v>Marissa Bass</v>
      </c>
      <c r="C683" s="19" t="str">
        <f>VLOOKUP(A683,Sheet1!A:I,9,0)</f>
        <v>Female</v>
      </c>
      <c r="D683" s="19">
        <f>VLOOKUP(A683,Sheet1!A:K,11,0)</f>
        <v>34</v>
      </c>
      <c r="E683" s="19" t="str">
        <f>VLOOKUP(A683,Sheet1!A:M,13,0)</f>
        <v>Japan</v>
      </c>
      <c r="F683" s="19" t="str">
        <f>VLOOKUP(A683,Sheet1!A:N,14,0)</f>
        <v>Japanese</v>
      </c>
      <c r="G683" s="19" t="str">
        <f>VLOOKUP(A683,Sheet1!A:O,15,0)</f>
        <v>Blockchain Development</v>
      </c>
      <c r="H683" s="19">
        <f>VLOOKUP(A683,Sheet1!A:Q,17,0)</f>
        <v>8</v>
      </c>
      <c r="I683" s="20">
        <f>VLOOKUP(A683,Sheet1!A:V,22,0)</f>
        <v>20</v>
      </c>
      <c r="J683" s="21">
        <f>VLOOKUP(A683,Sheet1!A:X,24,0)</f>
        <v>0</v>
      </c>
      <c r="K683" s="19" t="str">
        <f>VLOOKUP(A683,Sheet1!A:AB,28,0)</f>
        <v>Yes</v>
      </c>
      <c r="L683" s="27">
        <f>VLOOKUP(A683,Sheet1!A:AD,30,0)</f>
        <v>89</v>
      </c>
    </row>
    <row r="684" spans="1:12" x14ac:dyDescent="0.3">
      <c r="A684" s="14" t="s">
        <v>1297</v>
      </c>
      <c r="B684" s="19" t="str">
        <f>VLOOKUP(A684,Sheet1!A:E,5,0)</f>
        <v>Mark Cochran</v>
      </c>
      <c r="C684" s="19" t="str">
        <f>VLOOKUP(A684,Sheet1!A:I,9,0)</f>
        <v>Male</v>
      </c>
      <c r="D684" s="19">
        <f>VLOOKUP(A684,Sheet1!A:K,11,0)</f>
        <v>34</v>
      </c>
      <c r="E684" s="19" t="str">
        <f>VLOOKUP(A684,Sheet1!A:M,13,0)</f>
        <v>South Korea</v>
      </c>
      <c r="F684" s="19" t="str">
        <f>VLOOKUP(A684,Sheet1!A:N,14,0)</f>
        <v>Korean</v>
      </c>
      <c r="G684" s="19" t="str">
        <f>VLOOKUP(A684,Sheet1!A:O,15,0)</f>
        <v>Blockchain Development</v>
      </c>
      <c r="H684" s="19">
        <f>VLOOKUP(A684,Sheet1!A:Q,17,0)</f>
        <v>15</v>
      </c>
      <c r="I684" s="20">
        <f>VLOOKUP(A684,Sheet1!A:V,22,0)</f>
        <v>20</v>
      </c>
      <c r="J684" s="21">
        <f>VLOOKUP(A684,Sheet1!A:X,24,0)</f>
        <v>0</v>
      </c>
      <c r="K684" s="19" t="str">
        <f>VLOOKUP(A684,Sheet1!A:AB,28,0)</f>
        <v>No</v>
      </c>
      <c r="L684" s="27">
        <f>VLOOKUP(A684,Sheet1!A:AD,30,0)</f>
        <v>100</v>
      </c>
    </row>
    <row r="685" spans="1:12" x14ac:dyDescent="0.3">
      <c r="A685" s="14" t="s">
        <v>1568</v>
      </c>
      <c r="B685" s="19" t="str">
        <f>VLOOKUP(A685,Sheet1!A:E,5,0)</f>
        <v>Megan Brown</v>
      </c>
      <c r="C685" s="19" t="str">
        <f>VLOOKUP(A685,Sheet1!A:I,9,0)</f>
        <v>Female</v>
      </c>
      <c r="D685" s="19">
        <f>VLOOKUP(A685,Sheet1!A:K,11,0)</f>
        <v>34</v>
      </c>
      <c r="E685" s="19" t="str">
        <f>VLOOKUP(A685,Sheet1!A:M,13,0)</f>
        <v>Germany</v>
      </c>
      <c r="F685" s="19" t="str">
        <f>VLOOKUP(A685,Sheet1!A:N,14,0)</f>
        <v>German</v>
      </c>
      <c r="G685" s="19" t="str">
        <f>VLOOKUP(A685,Sheet1!A:O,15,0)</f>
        <v>Blockchain Development</v>
      </c>
      <c r="H685" s="19">
        <f>VLOOKUP(A685,Sheet1!A:Q,17,0)</f>
        <v>3</v>
      </c>
      <c r="I685" s="20">
        <f>VLOOKUP(A685,Sheet1!A:V,22,0)</f>
        <v>52.416666666666664</v>
      </c>
      <c r="J685" s="21">
        <f>VLOOKUP(A685,Sheet1!A:X,24,0)</f>
        <v>2.573913043478262</v>
      </c>
      <c r="K685" s="19" t="str">
        <f>VLOOKUP(A685,Sheet1!A:AB,28,0)</f>
        <v>No</v>
      </c>
      <c r="L685" s="27">
        <f>VLOOKUP(A685,Sheet1!A:AD,30,0)</f>
        <v>77</v>
      </c>
    </row>
    <row r="686" spans="1:12" x14ac:dyDescent="0.3">
      <c r="A686" s="14" t="s">
        <v>1566</v>
      </c>
      <c r="B686" s="19" t="str">
        <f>VLOOKUP(A686,Sheet1!A:E,5,0)</f>
        <v>Misty Adams</v>
      </c>
      <c r="C686" s="19" t="str">
        <f>VLOOKUP(A686,Sheet1!A:I,9,0)</f>
        <v>Female</v>
      </c>
      <c r="D686" s="19">
        <f>VLOOKUP(A686,Sheet1!A:K,11,0)</f>
        <v>34</v>
      </c>
      <c r="E686" s="19" t="str">
        <f>VLOOKUP(A686,Sheet1!A:M,13,0)</f>
        <v>Canada</v>
      </c>
      <c r="F686" s="19" t="str">
        <f>VLOOKUP(A686,Sheet1!A:N,14,0)</f>
        <v>English</v>
      </c>
      <c r="G686" s="19" t="str">
        <f>VLOOKUP(A686,Sheet1!A:O,15,0)</f>
        <v>Machine Learning</v>
      </c>
      <c r="H686" s="19">
        <f>VLOOKUP(A686,Sheet1!A:Q,17,0)</f>
        <v>3</v>
      </c>
      <c r="I686" s="20">
        <f>VLOOKUP(A686,Sheet1!A:V,22,0)</f>
        <v>52.614107883817425</v>
      </c>
      <c r="J686" s="21">
        <f>VLOOKUP(A686,Sheet1!A:X,24,0)</f>
        <v>0</v>
      </c>
      <c r="K686" s="19" t="str">
        <f>VLOOKUP(A686,Sheet1!A:AB,28,0)</f>
        <v>Yes</v>
      </c>
      <c r="L686" s="27">
        <f>VLOOKUP(A686,Sheet1!A:AD,30,0)</f>
        <v>71</v>
      </c>
    </row>
    <row r="687" spans="1:12" x14ac:dyDescent="0.3">
      <c r="A687" s="14" t="s">
        <v>717</v>
      </c>
      <c r="B687" s="19" t="str">
        <f>VLOOKUP(A687,Sheet1!A:E,5,0)</f>
        <v>Ruben Nelson</v>
      </c>
      <c r="C687" s="19" t="str">
        <f>VLOOKUP(A687,Sheet1!A:I,9,0)</f>
        <v>Male</v>
      </c>
      <c r="D687" s="19">
        <f>VLOOKUP(A687,Sheet1!A:K,11,0)</f>
        <v>34</v>
      </c>
      <c r="E687" s="19" t="str">
        <f>VLOOKUP(A687,Sheet1!A:M,13,0)</f>
        <v>Australia</v>
      </c>
      <c r="F687" s="19" t="str">
        <f>VLOOKUP(A687,Sheet1!A:N,14,0)</f>
        <v>English</v>
      </c>
      <c r="G687" s="19" t="str">
        <f>VLOOKUP(A687,Sheet1!A:O,15,0)</f>
        <v>DevOps</v>
      </c>
      <c r="H687" s="19">
        <f>VLOOKUP(A687,Sheet1!A:Q,17,0)</f>
        <v>1</v>
      </c>
      <c r="I687" s="20">
        <f>VLOOKUP(A687,Sheet1!A:V,22,0)</f>
        <v>40</v>
      </c>
      <c r="J687" s="21">
        <f>VLOOKUP(A687,Sheet1!A:X,24,0)</f>
        <v>1.7</v>
      </c>
      <c r="K687" s="19" t="str">
        <f>VLOOKUP(A687,Sheet1!A:AB,28,0)</f>
        <v>Unknown</v>
      </c>
      <c r="L687" s="27">
        <f>VLOOKUP(A687,Sheet1!A:AD,30,0)</f>
        <v>74</v>
      </c>
    </row>
    <row r="688" spans="1:12" x14ac:dyDescent="0.3">
      <c r="A688" s="14" t="s">
        <v>974</v>
      </c>
      <c r="B688" s="19" t="str">
        <f>VLOOKUP(A688,Sheet1!A:E,5,0)</f>
        <v>Scott Washington</v>
      </c>
      <c r="C688" s="19" t="str">
        <f>VLOOKUP(A688,Sheet1!A:I,9,0)</f>
        <v>Male</v>
      </c>
      <c r="D688" s="19">
        <f>VLOOKUP(A688,Sheet1!A:K,11,0)</f>
        <v>34</v>
      </c>
      <c r="E688" s="19" t="str">
        <f>VLOOKUP(A688,Sheet1!A:M,13,0)</f>
        <v>Argentina</v>
      </c>
      <c r="F688" s="19" t="str">
        <f>VLOOKUP(A688,Sheet1!A:N,14,0)</f>
        <v>Spanish</v>
      </c>
      <c r="G688" s="19" t="str">
        <f>VLOOKUP(A688,Sheet1!A:O,15,0)</f>
        <v>Mobile Apps</v>
      </c>
      <c r="H688" s="19">
        <f>VLOOKUP(A688,Sheet1!A:Q,17,0)</f>
        <v>15</v>
      </c>
      <c r="I688" s="20">
        <f>VLOOKUP(A688,Sheet1!A:V,22,0)</f>
        <v>75</v>
      </c>
      <c r="J688" s="21">
        <f>VLOOKUP(A688,Sheet1!A:X,24,0)</f>
        <v>2.5431726907630514</v>
      </c>
      <c r="K688" s="19" t="str">
        <f>VLOOKUP(A688,Sheet1!A:AB,28,0)</f>
        <v>No</v>
      </c>
      <c r="L688" s="27">
        <f>VLOOKUP(A688,Sheet1!A:AD,30,0)</f>
        <v>73</v>
      </c>
    </row>
    <row r="689" spans="1:12" x14ac:dyDescent="0.3">
      <c r="A689" s="14" t="s">
        <v>1524</v>
      </c>
      <c r="B689" s="19" t="str">
        <f>VLOOKUP(A689,Sheet1!A:E,5,0)</f>
        <v>Shane Hale</v>
      </c>
      <c r="C689" s="19" t="str">
        <f>VLOOKUP(A689,Sheet1!A:I,9,0)</f>
        <v>Male</v>
      </c>
      <c r="D689" s="19">
        <f>VLOOKUP(A689,Sheet1!A:K,11,0)</f>
        <v>34</v>
      </c>
      <c r="E689" s="19" t="str">
        <f>VLOOKUP(A689,Sheet1!A:M,13,0)</f>
        <v>Canada</v>
      </c>
      <c r="F689" s="19" t="str">
        <f>VLOOKUP(A689,Sheet1!A:N,14,0)</f>
        <v>English</v>
      </c>
      <c r="G689" s="19" t="str">
        <f>VLOOKUP(A689,Sheet1!A:O,15,0)</f>
        <v>Cybersecurity</v>
      </c>
      <c r="H689" s="19">
        <f>VLOOKUP(A689,Sheet1!A:Q,17,0)</f>
        <v>4</v>
      </c>
      <c r="I689" s="20">
        <f>VLOOKUP(A689,Sheet1!A:V,22,0)</f>
        <v>75</v>
      </c>
      <c r="J689" s="21">
        <f>VLOOKUP(A689,Sheet1!A:X,24,0)</f>
        <v>4</v>
      </c>
      <c r="K689" s="19" t="str">
        <f>VLOOKUP(A689,Sheet1!A:AB,28,0)</f>
        <v>Yes</v>
      </c>
      <c r="L689" s="27">
        <f>VLOOKUP(A689,Sheet1!A:AD,30,0)</f>
        <v>79.916666666666671</v>
      </c>
    </row>
    <row r="690" spans="1:12" x14ac:dyDescent="0.3">
      <c r="A690" s="14" t="s">
        <v>487</v>
      </c>
      <c r="B690" s="19" t="str">
        <f>VLOOKUP(A690,Sheet1!A:E,5,0)</f>
        <v>Thomas Jones</v>
      </c>
      <c r="C690" s="19" t="str">
        <f>VLOOKUP(A690,Sheet1!A:I,9,0)</f>
        <v>Male</v>
      </c>
      <c r="D690" s="19">
        <f>VLOOKUP(A690,Sheet1!A:K,11,0)</f>
        <v>34</v>
      </c>
      <c r="E690" s="19" t="str">
        <f>VLOOKUP(A690,Sheet1!A:M,13,0)</f>
        <v>Netherlands</v>
      </c>
      <c r="F690" s="19" t="str">
        <f>VLOOKUP(A690,Sheet1!A:N,14,0)</f>
        <v>Dutch</v>
      </c>
      <c r="G690" s="19" t="str">
        <f>VLOOKUP(A690,Sheet1!A:O,15,0)</f>
        <v>Data Analysis</v>
      </c>
      <c r="H690" s="19">
        <f>VLOOKUP(A690,Sheet1!A:Q,17,0)</f>
        <v>6</v>
      </c>
      <c r="I690" s="20">
        <f>VLOOKUP(A690,Sheet1!A:V,22,0)</f>
        <v>100</v>
      </c>
      <c r="J690" s="21">
        <f>VLOOKUP(A690,Sheet1!A:X,24,0)</f>
        <v>2</v>
      </c>
      <c r="K690" s="19" t="str">
        <f>VLOOKUP(A690,Sheet1!A:AB,28,0)</f>
        <v>No</v>
      </c>
      <c r="L690" s="27">
        <f>VLOOKUP(A690,Sheet1!A:AD,30,0)</f>
        <v>79.647676161919037</v>
      </c>
    </row>
    <row r="691" spans="1:12" x14ac:dyDescent="0.3">
      <c r="A691" s="14" t="s">
        <v>1259</v>
      </c>
      <c r="B691" s="19" t="str">
        <f>VLOOKUP(A691,Sheet1!A:E,5,0)</f>
        <v>Timothy Bennett</v>
      </c>
      <c r="C691" s="19" t="str">
        <f>VLOOKUP(A691,Sheet1!A:I,9,0)</f>
        <v>Male</v>
      </c>
      <c r="D691" s="19">
        <f>VLOOKUP(A691,Sheet1!A:K,11,0)</f>
        <v>34</v>
      </c>
      <c r="E691" s="19" t="str">
        <f>VLOOKUP(A691,Sheet1!A:M,13,0)</f>
        <v>India</v>
      </c>
      <c r="F691" s="19" t="str">
        <f>VLOOKUP(A691,Sheet1!A:N,14,0)</f>
        <v>Hindi</v>
      </c>
      <c r="G691" s="19" t="str">
        <f>VLOOKUP(A691,Sheet1!A:O,15,0)</f>
        <v>Data Analysis</v>
      </c>
      <c r="H691" s="19">
        <f>VLOOKUP(A691,Sheet1!A:Q,17,0)</f>
        <v>0</v>
      </c>
      <c r="I691" s="20">
        <f>VLOOKUP(A691,Sheet1!A:V,22,0)</f>
        <v>40</v>
      </c>
      <c r="J691" s="21">
        <f>VLOOKUP(A691,Sheet1!A:X,24,0)</f>
        <v>3.3</v>
      </c>
      <c r="K691" s="19" t="str">
        <f>VLOOKUP(A691,Sheet1!A:AB,28,0)</f>
        <v>No</v>
      </c>
      <c r="L691" s="27">
        <f>VLOOKUP(A691,Sheet1!A:AD,30,0)</f>
        <v>98</v>
      </c>
    </row>
    <row r="692" spans="1:12" x14ac:dyDescent="0.3">
      <c r="A692" s="14" t="s">
        <v>438</v>
      </c>
      <c r="B692" s="19" t="str">
        <f>VLOOKUP(A692,Sheet1!A:E,5,0)</f>
        <v>William Smith</v>
      </c>
      <c r="C692" s="19" t="str">
        <f>VLOOKUP(A692,Sheet1!A:I,9,0)</f>
        <v>Male</v>
      </c>
      <c r="D692" s="19">
        <f>VLOOKUP(A692,Sheet1!A:K,11,0)</f>
        <v>34</v>
      </c>
      <c r="E692" s="19" t="str">
        <f>VLOOKUP(A692,Sheet1!A:M,13,0)</f>
        <v>Japan</v>
      </c>
      <c r="F692" s="19" t="str">
        <f>VLOOKUP(A692,Sheet1!A:N,14,0)</f>
        <v>Japanese</v>
      </c>
      <c r="G692" s="19" t="str">
        <f>VLOOKUP(A692,Sheet1!A:O,15,0)</f>
        <v>UI/UX Design</v>
      </c>
      <c r="H692" s="19">
        <f>VLOOKUP(A692,Sheet1!A:Q,17,0)</f>
        <v>0</v>
      </c>
      <c r="I692" s="20">
        <f>VLOOKUP(A692,Sheet1!A:V,22,0)</f>
        <v>20</v>
      </c>
      <c r="J692" s="21">
        <f>VLOOKUP(A692,Sheet1!A:X,24,0)</f>
        <v>1.7</v>
      </c>
      <c r="K692" s="19" t="str">
        <f>VLOOKUP(A692,Sheet1!A:AB,28,0)</f>
        <v>No</v>
      </c>
      <c r="L692" s="27">
        <f>VLOOKUP(A692,Sheet1!A:AD,30,0)</f>
        <v>66</v>
      </c>
    </row>
    <row r="693" spans="1:12" x14ac:dyDescent="0.3">
      <c r="A693" s="14" t="s">
        <v>591</v>
      </c>
      <c r="B693" s="19" t="str">
        <f>VLOOKUP(A693,Sheet1!A:E,5,0)</f>
        <v>Zachary Jackson</v>
      </c>
      <c r="C693" s="19" t="str">
        <f>VLOOKUP(A693,Sheet1!A:I,9,0)</f>
        <v>Male</v>
      </c>
      <c r="D693" s="19">
        <f>VLOOKUP(A693,Sheet1!A:K,11,0)</f>
        <v>34</v>
      </c>
      <c r="E693" s="19" t="str">
        <f>VLOOKUP(A693,Sheet1!A:M,13,0)</f>
        <v>China</v>
      </c>
      <c r="F693" s="19" t="str">
        <f>VLOOKUP(A693,Sheet1!A:N,14,0)</f>
        <v>Mandarin</v>
      </c>
      <c r="G693" s="19" t="str">
        <f>VLOOKUP(A693,Sheet1!A:O,15,0)</f>
        <v>Data Analysis</v>
      </c>
      <c r="H693" s="19">
        <f>VLOOKUP(A693,Sheet1!A:Q,17,0)</f>
        <v>6</v>
      </c>
      <c r="I693" s="20">
        <f>VLOOKUP(A693,Sheet1!A:V,22,0)</f>
        <v>75</v>
      </c>
      <c r="J693" s="21">
        <f>VLOOKUP(A693,Sheet1!A:X,24,0)</f>
        <v>1.9</v>
      </c>
      <c r="K693" s="19" t="str">
        <f>VLOOKUP(A693,Sheet1!A:AB,28,0)</f>
        <v>Yes</v>
      </c>
      <c r="L693" s="27">
        <f>VLOOKUP(A693,Sheet1!A:AD,30,0)</f>
        <v>81</v>
      </c>
    </row>
    <row r="694" spans="1:12" x14ac:dyDescent="0.3">
      <c r="A694" s="14" t="s">
        <v>1441</v>
      </c>
      <c r="B694" s="19" t="str">
        <f>VLOOKUP(A694,Sheet1!A:E,5,0)</f>
        <v>Zachary Murphy</v>
      </c>
      <c r="C694" s="19" t="str">
        <f>VLOOKUP(A694,Sheet1!A:I,9,0)</f>
        <v>Male</v>
      </c>
      <c r="D694" s="19">
        <f>VLOOKUP(A694,Sheet1!A:K,11,0)</f>
        <v>34</v>
      </c>
      <c r="E694" s="19" t="str">
        <f>VLOOKUP(A694,Sheet1!A:M,13,0)</f>
        <v>Australia</v>
      </c>
      <c r="F694" s="19" t="str">
        <f>VLOOKUP(A694,Sheet1!A:N,14,0)</f>
        <v>English</v>
      </c>
      <c r="G694" s="19" t="str">
        <f>VLOOKUP(A694,Sheet1!A:O,15,0)</f>
        <v>Blockchain Development</v>
      </c>
      <c r="H694" s="19">
        <f>VLOOKUP(A694,Sheet1!A:Q,17,0)</f>
        <v>10</v>
      </c>
      <c r="I694" s="20">
        <f>VLOOKUP(A694,Sheet1!A:V,22,0)</f>
        <v>30</v>
      </c>
      <c r="J694" s="21">
        <f>VLOOKUP(A694,Sheet1!A:X,24,0)</f>
        <v>3.9</v>
      </c>
      <c r="K694" s="19" t="str">
        <f>VLOOKUP(A694,Sheet1!A:AB,28,0)</f>
        <v>Unknown</v>
      </c>
      <c r="L694" s="27">
        <f>VLOOKUP(A694,Sheet1!A:AD,30,0)</f>
        <v>80.128205128205124</v>
      </c>
    </row>
    <row r="695" spans="1:12" x14ac:dyDescent="0.3">
      <c r="A695" s="14" t="s">
        <v>255</v>
      </c>
      <c r="B695" s="19" t="str">
        <f>VLOOKUP(A695,Sheet1!A:E,5,0)</f>
        <v>Bridget Williams</v>
      </c>
      <c r="C695" s="19" t="str">
        <f>VLOOKUP(A695,Sheet1!A:I,9,0)</f>
        <v>Female</v>
      </c>
      <c r="D695" s="19">
        <f>VLOOKUP(A695,Sheet1!A:K,11,0)</f>
        <v>33</v>
      </c>
      <c r="E695" s="19" t="str">
        <f>VLOOKUP(A695,Sheet1!A:M,13,0)</f>
        <v>Argentina</v>
      </c>
      <c r="F695" s="19" t="str">
        <f>VLOOKUP(A695,Sheet1!A:N,14,0)</f>
        <v>Spanish</v>
      </c>
      <c r="G695" s="19" t="str">
        <f>VLOOKUP(A695,Sheet1!A:O,15,0)</f>
        <v>UI/UX Design</v>
      </c>
      <c r="H695" s="19">
        <f>VLOOKUP(A695,Sheet1!A:Q,17,0)</f>
        <v>12</v>
      </c>
      <c r="I695" s="20">
        <f>VLOOKUP(A695,Sheet1!A:V,22,0)</f>
        <v>100</v>
      </c>
      <c r="J695" s="21">
        <f>VLOOKUP(A695,Sheet1!A:X,24,0)</f>
        <v>3.6</v>
      </c>
      <c r="K695" s="19" t="str">
        <f>VLOOKUP(A695,Sheet1!A:AB,28,0)</f>
        <v>No</v>
      </c>
      <c r="L695" s="27">
        <f>VLOOKUP(A695,Sheet1!A:AD,30,0)</f>
        <v>63</v>
      </c>
    </row>
    <row r="696" spans="1:12" x14ac:dyDescent="0.3">
      <c r="A696" s="14" t="s">
        <v>767</v>
      </c>
      <c r="B696" s="19" t="str">
        <f>VLOOKUP(A696,Sheet1!A:E,5,0)</f>
        <v>Brittany Mcdowell</v>
      </c>
      <c r="C696" s="19" t="str">
        <f>VLOOKUP(A696,Sheet1!A:I,9,0)</f>
        <v>Female</v>
      </c>
      <c r="D696" s="19">
        <f>VLOOKUP(A696,Sheet1!A:K,11,0)</f>
        <v>33</v>
      </c>
      <c r="E696" s="19" t="str">
        <f>VLOOKUP(A696,Sheet1!A:M,13,0)</f>
        <v>United States</v>
      </c>
      <c r="F696" s="19" t="str">
        <f>VLOOKUP(A696,Sheet1!A:N,14,0)</f>
        <v>English</v>
      </c>
      <c r="G696" s="19" t="str">
        <f>VLOOKUP(A696,Sheet1!A:O,15,0)</f>
        <v>Graphic Design</v>
      </c>
      <c r="H696" s="19">
        <f>VLOOKUP(A696,Sheet1!A:Q,17,0)</f>
        <v>11</v>
      </c>
      <c r="I696" s="20">
        <f>VLOOKUP(A696,Sheet1!A:V,22,0)</f>
        <v>75</v>
      </c>
      <c r="J696" s="21">
        <f>VLOOKUP(A696,Sheet1!A:X,24,0)</f>
        <v>2.1</v>
      </c>
      <c r="K696" s="19" t="str">
        <f>VLOOKUP(A696,Sheet1!A:AB,28,0)</f>
        <v>No</v>
      </c>
      <c r="L696" s="27">
        <f>VLOOKUP(A696,Sheet1!A:AD,30,0)</f>
        <v>96</v>
      </c>
    </row>
    <row r="697" spans="1:12" x14ac:dyDescent="0.3">
      <c r="A697" s="14" t="s">
        <v>1107</v>
      </c>
      <c r="B697" s="19" t="str">
        <f>VLOOKUP(A697,Sheet1!A:E,5,0)</f>
        <v>Clifford Moore</v>
      </c>
      <c r="C697" s="19" t="str">
        <f>VLOOKUP(A697,Sheet1!A:I,9,0)</f>
        <v>Male</v>
      </c>
      <c r="D697" s="19">
        <f>VLOOKUP(A697,Sheet1!A:K,11,0)</f>
        <v>33</v>
      </c>
      <c r="E697" s="19" t="str">
        <f>VLOOKUP(A697,Sheet1!A:M,13,0)</f>
        <v>United Kingdom</v>
      </c>
      <c r="F697" s="19" t="str">
        <f>VLOOKUP(A697,Sheet1!A:N,14,0)</f>
        <v>English</v>
      </c>
      <c r="G697" s="19" t="str">
        <f>VLOOKUP(A697,Sheet1!A:O,15,0)</f>
        <v>Cybersecurity</v>
      </c>
      <c r="H697" s="19">
        <f>VLOOKUP(A697,Sheet1!A:Q,17,0)</f>
        <v>6</v>
      </c>
      <c r="I697" s="20">
        <f>VLOOKUP(A697,Sheet1!A:V,22,0)</f>
        <v>50</v>
      </c>
      <c r="J697" s="21">
        <f>VLOOKUP(A697,Sheet1!A:X,24,0)</f>
        <v>3.1</v>
      </c>
      <c r="K697" s="19" t="str">
        <f>VLOOKUP(A697,Sheet1!A:AB,28,0)</f>
        <v>No</v>
      </c>
      <c r="L697" s="27">
        <f>VLOOKUP(A697,Sheet1!A:AD,30,0)</f>
        <v>79.618932038834956</v>
      </c>
    </row>
    <row r="698" spans="1:12" x14ac:dyDescent="0.3">
      <c r="A698" s="14" t="s">
        <v>1461</v>
      </c>
      <c r="B698" s="19" t="str">
        <f>VLOOKUP(A698,Sheet1!A:E,5,0)</f>
        <v>Connie Mcclain</v>
      </c>
      <c r="C698" s="19" t="str">
        <f>VLOOKUP(A698,Sheet1!A:I,9,0)</f>
        <v>Female</v>
      </c>
      <c r="D698" s="19">
        <f>VLOOKUP(A698,Sheet1!A:K,11,0)</f>
        <v>33</v>
      </c>
      <c r="E698" s="19" t="str">
        <f>VLOOKUP(A698,Sheet1!A:M,13,0)</f>
        <v>Japan</v>
      </c>
      <c r="F698" s="19" t="str">
        <f>VLOOKUP(A698,Sheet1!A:N,14,0)</f>
        <v>Japanese</v>
      </c>
      <c r="G698" s="19" t="str">
        <f>VLOOKUP(A698,Sheet1!A:O,15,0)</f>
        <v>UI/UX Design</v>
      </c>
      <c r="H698" s="19">
        <f>VLOOKUP(A698,Sheet1!A:Q,17,0)</f>
        <v>0</v>
      </c>
      <c r="I698" s="20">
        <f>VLOOKUP(A698,Sheet1!A:V,22,0)</f>
        <v>100</v>
      </c>
      <c r="J698" s="21">
        <f>VLOOKUP(A698,Sheet1!A:X,24,0)</f>
        <v>1.7</v>
      </c>
      <c r="K698" s="19" t="str">
        <f>VLOOKUP(A698,Sheet1!A:AB,28,0)</f>
        <v>Yes</v>
      </c>
      <c r="L698" s="27">
        <f>VLOOKUP(A698,Sheet1!A:AD,30,0)</f>
        <v>95</v>
      </c>
    </row>
    <row r="699" spans="1:12" x14ac:dyDescent="0.3">
      <c r="A699" s="14" t="s">
        <v>1217</v>
      </c>
      <c r="B699" s="19" t="str">
        <f>VLOOKUP(A699,Sheet1!A:E,5,0)</f>
        <v>Elizabeth Hayes</v>
      </c>
      <c r="C699" s="19" t="str">
        <f>VLOOKUP(A699,Sheet1!A:I,9,0)</f>
        <v>Female</v>
      </c>
      <c r="D699" s="19">
        <f>VLOOKUP(A699,Sheet1!A:K,11,0)</f>
        <v>33</v>
      </c>
      <c r="E699" s="19" t="str">
        <f>VLOOKUP(A699,Sheet1!A:M,13,0)</f>
        <v>Mexico</v>
      </c>
      <c r="F699" s="19" t="str">
        <f>VLOOKUP(A699,Sheet1!A:N,14,0)</f>
        <v>Spanish</v>
      </c>
      <c r="G699" s="19" t="str">
        <f>VLOOKUP(A699,Sheet1!A:O,15,0)</f>
        <v>DevOps</v>
      </c>
      <c r="H699" s="19">
        <f>VLOOKUP(A699,Sheet1!A:Q,17,0)</f>
        <v>11</v>
      </c>
      <c r="I699" s="20">
        <f>VLOOKUP(A699,Sheet1!A:V,22,0)</f>
        <v>50</v>
      </c>
      <c r="J699" s="21">
        <f>VLOOKUP(A699,Sheet1!A:X,24,0)</f>
        <v>5</v>
      </c>
      <c r="K699" s="19" t="str">
        <f>VLOOKUP(A699,Sheet1!A:AB,28,0)</f>
        <v>Yes</v>
      </c>
      <c r="L699" s="27">
        <f>VLOOKUP(A699,Sheet1!A:AD,30,0)</f>
        <v>69</v>
      </c>
    </row>
    <row r="700" spans="1:12" x14ac:dyDescent="0.3">
      <c r="A700" s="14" t="s">
        <v>1081</v>
      </c>
      <c r="B700" s="19" t="str">
        <f>VLOOKUP(A700,Sheet1!A:E,5,0)</f>
        <v>Emily Horton</v>
      </c>
      <c r="C700" s="19" t="str">
        <f>VLOOKUP(A700,Sheet1!A:I,9,0)</f>
        <v>Female</v>
      </c>
      <c r="D700" s="19">
        <f>VLOOKUP(A700,Sheet1!A:K,11,0)</f>
        <v>33</v>
      </c>
      <c r="E700" s="19" t="str">
        <f>VLOOKUP(A700,Sheet1!A:M,13,0)</f>
        <v>South Korea</v>
      </c>
      <c r="F700" s="19" t="str">
        <f>VLOOKUP(A700,Sheet1!A:N,14,0)</f>
        <v>Korean</v>
      </c>
      <c r="G700" s="19" t="str">
        <f>VLOOKUP(A700,Sheet1!A:O,15,0)</f>
        <v>Graphic Design</v>
      </c>
      <c r="H700" s="19">
        <f>VLOOKUP(A700,Sheet1!A:Q,17,0)</f>
        <v>3</v>
      </c>
      <c r="I700" s="20">
        <f>VLOOKUP(A700,Sheet1!A:V,22,0)</f>
        <v>40</v>
      </c>
      <c r="J700" s="21">
        <f>VLOOKUP(A700,Sheet1!A:X,24,0)</f>
        <v>1.6</v>
      </c>
      <c r="K700" s="19" t="str">
        <f>VLOOKUP(A700,Sheet1!A:AB,28,0)</f>
        <v>Unknown</v>
      </c>
      <c r="L700" s="27">
        <f>VLOOKUP(A700,Sheet1!A:AD,30,0)</f>
        <v>83</v>
      </c>
    </row>
    <row r="701" spans="1:12" x14ac:dyDescent="0.3">
      <c r="A701" s="14" t="s">
        <v>1798</v>
      </c>
      <c r="B701" s="19" t="str">
        <f>VLOOKUP(A701,Sheet1!A:E,5,0)</f>
        <v>Evan Soto</v>
      </c>
      <c r="C701" s="19" t="str">
        <f>VLOOKUP(A701,Sheet1!A:I,9,0)</f>
        <v>Male</v>
      </c>
      <c r="D701" s="19">
        <f>VLOOKUP(A701,Sheet1!A:K,11,0)</f>
        <v>33</v>
      </c>
      <c r="E701" s="19" t="str">
        <f>VLOOKUP(A701,Sheet1!A:M,13,0)</f>
        <v>Japan</v>
      </c>
      <c r="F701" s="19" t="str">
        <f>VLOOKUP(A701,Sheet1!A:N,14,0)</f>
        <v>Japanese</v>
      </c>
      <c r="G701" s="19" t="str">
        <f>VLOOKUP(A701,Sheet1!A:O,15,0)</f>
        <v>AI</v>
      </c>
      <c r="H701" s="19">
        <f>VLOOKUP(A701,Sheet1!A:Q,17,0)</f>
        <v>13</v>
      </c>
      <c r="I701" s="20">
        <f>VLOOKUP(A701,Sheet1!A:V,22,0)</f>
        <v>75</v>
      </c>
      <c r="J701" s="21">
        <f>VLOOKUP(A701,Sheet1!A:X,24,0)</f>
        <v>0</v>
      </c>
      <c r="K701" s="19" t="str">
        <f>VLOOKUP(A701,Sheet1!A:AB,28,0)</f>
        <v>Yes</v>
      </c>
      <c r="L701" s="27">
        <f>VLOOKUP(A701,Sheet1!A:AD,30,0)</f>
        <v>80.154471544715449</v>
      </c>
    </row>
    <row r="702" spans="1:12" x14ac:dyDescent="0.3">
      <c r="A702" s="14" t="s">
        <v>332</v>
      </c>
      <c r="B702" s="19" t="str">
        <f>VLOOKUP(A702,Sheet1!A:E,5,0)</f>
        <v>Gloria Chaney</v>
      </c>
      <c r="C702" s="19" t="str">
        <f>VLOOKUP(A702,Sheet1!A:I,9,0)</f>
        <v>Female</v>
      </c>
      <c r="D702" s="19">
        <f>VLOOKUP(A702,Sheet1!A:K,11,0)</f>
        <v>33</v>
      </c>
      <c r="E702" s="19" t="str">
        <f>VLOOKUP(A702,Sheet1!A:M,13,0)</f>
        <v>Indonesia</v>
      </c>
      <c r="F702" s="19" t="str">
        <f>VLOOKUP(A702,Sheet1!A:N,14,0)</f>
        <v>Indonesian</v>
      </c>
      <c r="G702" s="19" t="str">
        <f>VLOOKUP(A702,Sheet1!A:O,15,0)</f>
        <v>Machine Learning</v>
      </c>
      <c r="H702" s="19">
        <f>VLOOKUP(A702,Sheet1!A:Q,17,0)</f>
        <v>13</v>
      </c>
      <c r="I702" s="20">
        <f>VLOOKUP(A702,Sheet1!A:V,22,0)</f>
        <v>20</v>
      </c>
      <c r="J702" s="21">
        <f>VLOOKUP(A702,Sheet1!A:X,24,0)</f>
        <v>3.2</v>
      </c>
      <c r="K702" s="19" t="str">
        <f>VLOOKUP(A702,Sheet1!A:AB,28,0)</f>
        <v>No</v>
      </c>
      <c r="L702" s="27">
        <f>VLOOKUP(A702,Sheet1!A:AD,30,0)</f>
        <v>79.485675306957702</v>
      </c>
    </row>
    <row r="703" spans="1:12" x14ac:dyDescent="0.3">
      <c r="A703" s="14" t="s">
        <v>1069</v>
      </c>
      <c r="B703" s="19" t="str">
        <f>VLOOKUP(A703,Sheet1!A:E,5,0)</f>
        <v>Jeffrey Cooper</v>
      </c>
      <c r="C703" s="19" t="str">
        <f>VLOOKUP(A703,Sheet1!A:I,9,0)</f>
        <v>Male</v>
      </c>
      <c r="D703" s="19">
        <f>VLOOKUP(A703,Sheet1!A:K,11,0)</f>
        <v>33</v>
      </c>
      <c r="E703" s="19" t="str">
        <f>VLOOKUP(A703,Sheet1!A:M,13,0)</f>
        <v>Indonesia</v>
      </c>
      <c r="F703" s="19" t="str">
        <f>VLOOKUP(A703,Sheet1!A:N,14,0)</f>
        <v>Indonesian</v>
      </c>
      <c r="G703" s="19" t="str">
        <f>VLOOKUP(A703,Sheet1!A:O,15,0)</f>
        <v>Web Development</v>
      </c>
      <c r="H703" s="19">
        <f>VLOOKUP(A703,Sheet1!A:Q,17,0)</f>
        <v>10</v>
      </c>
      <c r="I703" s="20">
        <f>VLOOKUP(A703,Sheet1!A:V,22,0)</f>
        <v>30</v>
      </c>
      <c r="J703" s="21">
        <f>VLOOKUP(A703,Sheet1!A:X,24,0)</f>
        <v>0</v>
      </c>
      <c r="K703" s="19" t="str">
        <f>VLOOKUP(A703,Sheet1!A:AB,28,0)</f>
        <v>Yes</v>
      </c>
      <c r="L703" s="27">
        <f>VLOOKUP(A703,Sheet1!A:AD,30,0)</f>
        <v>89</v>
      </c>
    </row>
    <row r="704" spans="1:12" x14ac:dyDescent="0.3">
      <c r="A704" s="14" t="s">
        <v>1075</v>
      </c>
      <c r="B704" s="19" t="str">
        <f>VLOOKUP(A704,Sheet1!A:E,5,0)</f>
        <v>Jennifer Nelson</v>
      </c>
      <c r="C704" s="19" t="str">
        <f>VLOOKUP(A704,Sheet1!A:I,9,0)</f>
        <v>Female</v>
      </c>
      <c r="D704" s="19">
        <f>VLOOKUP(A704,Sheet1!A:K,11,0)</f>
        <v>33</v>
      </c>
      <c r="E704" s="19" t="str">
        <f>VLOOKUP(A704,Sheet1!A:M,13,0)</f>
        <v>Australia</v>
      </c>
      <c r="F704" s="19" t="str">
        <f>VLOOKUP(A704,Sheet1!A:N,14,0)</f>
        <v>English</v>
      </c>
      <c r="G704" s="19" t="str">
        <f>VLOOKUP(A704,Sheet1!A:O,15,0)</f>
        <v>Web Development</v>
      </c>
      <c r="H704" s="19">
        <f>VLOOKUP(A704,Sheet1!A:Q,17,0)</f>
        <v>11</v>
      </c>
      <c r="I704" s="20">
        <f>VLOOKUP(A704,Sheet1!A:V,22,0)</f>
        <v>53.419913419913421</v>
      </c>
      <c r="J704" s="21">
        <f>VLOOKUP(A704,Sheet1!A:X,24,0)</f>
        <v>4.5999999999999996</v>
      </c>
      <c r="K704" s="19" t="str">
        <f>VLOOKUP(A704,Sheet1!A:AB,28,0)</f>
        <v>Yes</v>
      </c>
      <c r="L704" s="27">
        <f>VLOOKUP(A704,Sheet1!A:AD,30,0)</f>
        <v>79.559718969555036</v>
      </c>
    </row>
    <row r="705" spans="1:12" x14ac:dyDescent="0.3">
      <c r="A705" s="14" t="s">
        <v>699</v>
      </c>
      <c r="B705" s="19" t="str">
        <f>VLOOKUP(A705,Sheet1!A:E,5,0)</f>
        <v>Joel Brown</v>
      </c>
      <c r="C705" s="19" t="str">
        <f>VLOOKUP(A705,Sheet1!A:I,9,0)</f>
        <v>Male</v>
      </c>
      <c r="D705" s="19">
        <f>VLOOKUP(A705,Sheet1!A:K,11,0)</f>
        <v>33</v>
      </c>
      <c r="E705" s="19" t="str">
        <f>VLOOKUP(A705,Sheet1!A:M,13,0)</f>
        <v>Russia</v>
      </c>
      <c r="F705" s="19" t="str">
        <f>VLOOKUP(A705,Sheet1!A:N,14,0)</f>
        <v>Russian</v>
      </c>
      <c r="G705" s="19" t="str">
        <f>VLOOKUP(A705,Sheet1!A:O,15,0)</f>
        <v>Web Development</v>
      </c>
      <c r="H705" s="19">
        <f>VLOOKUP(A705,Sheet1!A:Q,17,0)</f>
        <v>2</v>
      </c>
      <c r="I705" s="20">
        <f>VLOOKUP(A705,Sheet1!A:V,22,0)</f>
        <v>75</v>
      </c>
      <c r="J705" s="21">
        <f>VLOOKUP(A705,Sheet1!A:X,24,0)</f>
        <v>2.5</v>
      </c>
      <c r="K705" s="19" t="str">
        <f>VLOOKUP(A705,Sheet1!A:AB,28,0)</f>
        <v>No</v>
      </c>
      <c r="L705" s="27">
        <f>VLOOKUP(A705,Sheet1!A:AD,30,0)</f>
        <v>65</v>
      </c>
    </row>
    <row r="706" spans="1:12" x14ac:dyDescent="0.3">
      <c r="A706" s="14" t="s">
        <v>462</v>
      </c>
      <c r="B706" s="19" t="str">
        <f>VLOOKUP(A706,Sheet1!A:E,5,0)</f>
        <v>Kimberly Williams</v>
      </c>
      <c r="C706" s="19" t="str">
        <f>VLOOKUP(A706,Sheet1!A:I,9,0)</f>
        <v>Female</v>
      </c>
      <c r="D706" s="19">
        <f>VLOOKUP(A706,Sheet1!A:K,11,0)</f>
        <v>33</v>
      </c>
      <c r="E706" s="19" t="str">
        <f>VLOOKUP(A706,Sheet1!A:M,13,0)</f>
        <v>Germany</v>
      </c>
      <c r="F706" s="19" t="str">
        <f>VLOOKUP(A706,Sheet1!A:N,14,0)</f>
        <v>German</v>
      </c>
      <c r="G706" s="19" t="str">
        <f>VLOOKUP(A706,Sheet1!A:O,15,0)</f>
        <v>UI/UX Design</v>
      </c>
      <c r="H706" s="19">
        <f>VLOOKUP(A706,Sheet1!A:Q,17,0)</f>
        <v>11</v>
      </c>
      <c r="I706" s="20">
        <f>VLOOKUP(A706,Sheet1!A:V,22,0)</f>
        <v>52.890835579514828</v>
      </c>
      <c r="J706" s="21">
        <f>VLOOKUP(A706,Sheet1!A:X,24,0)</f>
        <v>0</v>
      </c>
      <c r="K706" s="19" t="str">
        <f>VLOOKUP(A706,Sheet1!A:AB,28,0)</f>
        <v>Yes</v>
      </c>
      <c r="L706" s="27">
        <f>VLOOKUP(A706,Sheet1!A:AD,30,0)</f>
        <v>65</v>
      </c>
    </row>
    <row r="707" spans="1:12" x14ac:dyDescent="0.3">
      <c r="A707" s="14" t="s">
        <v>1918</v>
      </c>
      <c r="B707" s="19" t="str">
        <f>VLOOKUP(A707,Sheet1!A:E,5,0)</f>
        <v>Kyle Burns</v>
      </c>
      <c r="C707" s="19" t="str">
        <f>VLOOKUP(A707,Sheet1!A:I,9,0)</f>
        <v>Male</v>
      </c>
      <c r="D707" s="19">
        <f>VLOOKUP(A707,Sheet1!A:K,11,0)</f>
        <v>33</v>
      </c>
      <c r="E707" s="19" t="str">
        <f>VLOOKUP(A707,Sheet1!A:M,13,0)</f>
        <v>Turkey</v>
      </c>
      <c r="F707" s="19" t="str">
        <f>VLOOKUP(A707,Sheet1!A:N,14,0)</f>
        <v>Turkish</v>
      </c>
      <c r="G707" s="19" t="str">
        <f>VLOOKUP(A707,Sheet1!A:O,15,0)</f>
        <v>Data Analysis</v>
      </c>
      <c r="H707" s="19">
        <f>VLOOKUP(A707,Sheet1!A:Q,17,0)</f>
        <v>8</v>
      </c>
      <c r="I707" s="20">
        <f>VLOOKUP(A707,Sheet1!A:V,22,0)</f>
        <v>75</v>
      </c>
      <c r="J707" s="21">
        <f>VLOOKUP(A707,Sheet1!A:X,24,0)</f>
        <v>2.2999999999999998</v>
      </c>
      <c r="K707" s="19" t="str">
        <f>VLOOKUP(A707,Sheet1!A:AB,28,0)</f>
        <v>Yes</v>
      </c>
      <c r="L707" s="27">
        <f>VLOOKUP(A707,Sheet1!A:AD,30,0)</f>
        <v>68</v>
      </c>
    </row>
    <row r="708" spans="1:12" x14ac:dyDescent="0.3">
      <c r="A708" s="14" t="s">
        <v>1682</v>
      </c>
      <c r="B708" s="19" t="str">
        <f>VLOOKUP(A708,Sheet1!A:E,5,0)</f>
        <v>Mary Hall</v>
      </c>
      <c r="C708" s="19" t="str">
        <f>VLOOKUP(A708,Sheet1!A:I,9,0)</f>
        <v>Female</v>
      </c>
      <c r="D708" s="19">
        <f>VLOOKUP(A708,Sheet1!A:K,11,0)</f>
        <v>33</v>
      </c>
      <c r="E708" s="19" t="str">
        <f>VLOOKUP(A708,Sheet1!A:M,13,0)</f>
        <v>Canada</v>
      </c>
      <c r="F708" s="19" t="str">
        <f>VLOOKUP(A708,Sheet1!A:N,14,0)</f>
        <v>English</v>
      </c>
      <c r="G708" s="19" t="str">
        <f>VLOOKUP(A708,Sheet1!A:O,15,0)</f>
        <v>DevOps</v>
      </c>
      <c r="H708" s="19">
        <f>VLOOKUP(A708,Sheet1!A:Q,17,0)</f>
        <v>4</v>
      </c>
      <c r="I708" s="20">
        <f>VLOOKUP(A708,Sheet1!A:V,22,0)</f>
        <v>52.670157068062828</v>
      </c>
      <c r="J708" s="21">
        <f>VLOOKUP(A708,Sheet1!A:X,24,0)</f>
        <v>1.9</v>
      </c>
      <c r="K708" s="19" t="str">
        <f>VLOOKUP(A708,Sheet1!A:AB,28,0)</f>
        <v>No</v>
      </c>
      <c r="L708" s="27">
        <f>VLOOKUP(A708,Sheet1!A:AD,30,0)</f>
        <v>73</v>
      </c>
    </row>
    <row r="709" spans="1:12" x14ac:dyDescent="0.3">
      <c r="A709" s="14" t="s">
        <v>1469</v>
      </c>
      <c r="B709" s="19" t="str">
        <f>VLOOKUP(A709,Sheet1!A:E,5,0)</f>
        <v>Megan Hudson</v>
      </c>
      <c r="C709" s="19" t="str">
        <f>VLOOKUP(A709,Sheet1!A:I,9,0)</f>
        <v>Female</v>
      </c>
      <c r="D709" s="19">
        <f>VLOOKUP(A709,Sheet1!A:K,11,0)</f>
        <v>33</v>
      </c>
      <c r="E709" s="19" t="str">
        <f>VLOOKUP(A709,Sheet1!A:M,13,0)</f>
        <v>China</v>
      </c>
      <c r="F709" s="19" t="str">
        <f>VLOOKUP(A709,Sheet1!A:N,14,0)</f>
        <v>Mandarin</v>
      </c>
      <c r="G709" s="19" t="str">
        <f>VLOOKUP(A709,Sheet1!A:O,15,0)</f>
        <v>Mobile Apps</v>
      </c>
      <c r="H709" s="19">
        <f>VLOOKUP(A709,Sheet1!A:Q,17,0)</f>
        <v>9</v>
      </c>
      <c r="I709" s="20">
        <f>VLOOKUP(A709,Sheet1!A:V,22,0)</f>
        <v>52.881944444444443</v>
      </c>
      <c r="J709" s="21">
        <f>VLOOKUP(A709,Sheet1!A:X,24,0)</f>
        <v>4.2</v>
      </c>
      <c r="K709" s="19" t="str">
        <f>VLOOKUP(A709,Sheet1!A:AB,28,0)</f>
        <v>Yes</v>
      </c>
      <c r="L709" s="27">
        <f>VLOOKUP(A709,Sheet1!A:AD,30,0)</f>
        <v>90</v>
      </c>
    </row>
    <row r="710" spans="1:12" x14ac:dyDescent="0.3">
      <c r="A710" s="14" t="s">
        <v>761</v>
      </c>
      <c r="B710" s="19" t="str">
        <f>VLOOKUP(A710,Sheet1!A:E,5,0)</f>
        <v>Patricia Miller</v>
      </c>
      <c r="C710" s="19" t="str">
        <f>VLOOKUP(A710,Sheet1!A:I,9,0)</f>
        <v>Female</v>
      </c>
      <c r="D710" s="19">
        <f>VLOOKUP(A710,Sheet1!A:K,11,0)</f>
        <v>33</v>
      </c>
      <c r="E710" s="19" t="str">
        <f>VLOOKUP(A710,Sheet1!A:M,13,0)</f>
        <v>Germany</v>
      </c>
      <c r="F710" s="19" t="str">
        <f>VLOOKUP(A710,Sheet1!A:N,14,0)</f>
        <v>German</v>
      </c>
      <c r="G710" s="19" t="str">
        <f>VLOOKUP(A710,Sheet1!A:O,15,0)</f>
        <v>Mobile Apps</v>
      </c>
      <c r="H710" s="19">
        <f>VLOOKUP(A710,Sheet1!A:Q,17,0)</f>
        <v>8</v>
      </c>
      <c r="I710" s="20">
        <f>VLOOKUP(A710,Sheet1!A:V,22,0)</f>
        <v>30</v>
      </c>
      <c r="J710" s="21">
        <f>VLOOKUP(A710,Sheet1!A:X,24,0)</f>
        <v>3.6</v>
      </c>
      <c r="K710" s="19" t="str">
        <f>VLOOKUP(A710,Sheet1!A:AB,28,0)</f>
        <v>Yes</v>
      </c>
      <c r="L710" s="27">
        <f>VLOOKUP(A710,Sheet1!A:AD,30,0)</f>
        <v>79.41335740072202</v>
      </c>
    </row>
    <row r="711" spans="1:12" x14ac:dyDescent="0.3">
      <c r="A711" s="14" t="s">
        <v>1117</v>
      </c>
      <c r="B711" s="19" t="str">
        <f>VLOOKUP(A711,Sheet1!A:E,5,0)</f>
        <v>Ronald Elliott</v>
      </c>
      <c r="C711" s="19" t="str">
        <f>VLOOKUP(A711,Sheet1!A:I,9,0)</f>
        <v>Male</v>
      </c>
      <c r="D711" s="19">
        <f>VLOOKUP(A711,Sheet1!A:K,11,0)</f>
        <v>33</v>
      </c>
      <c r="E711" s="19" t="str">
        <f>VLOOKUP(A711,Sheet1!A:M,13,0)</f>
        <v>Spain</v>
      </c>
      <c r="F711" s="19" t="str">
        <f>VLOOKUP(A711,Sheet1!A:N,14,0)</f>
        <v>Spanish</v>
      </c>
      <c r="G711" s="19" t="str">
        <f>VLOOKUP(A711,Sheet1!A:O,15,0)</f>
        <v>Machine Learning</v>
      </c>
      <c r="H711" s="19">
        <f>VLOOKUP(A711,Sheet1!A:Q,17,0)</f>
        <v>13</v>
      </c>
      <c r="I711" s="20">
        <f>VLOOKUP(A711,Sheet1!A:V,22,0)</f>
        <v>50</v>
      </c>
      <c r="J711" s="21">
        <f>VLOOKUP(A711,Sheet1!A:X,24,0)</f>
        <v>2.2000000000000002</v>
      </c>
      <c r="K711" s="19" t="str">
        <f>VLOOKUP(A711,Sheet1!A:AB,28,0)</f>
        <v>No</v>
      </c>
      <c r="L711" s="27">
        <f>VLOOKUP(A711,Sheet1!A:AD,30,0)</f>
        <v>70</v>
      </c>
    </row>
    <row r="712" spans="1:12" x14ac:dyDescent="0.3">
      <c r="A712" s="14" t="s">
        <v>1421</v>
      </c>
      <c r="B712" s="19" t="str">
        <f>VLOOKUP(A712,Sheet1!A:E,5,0)</f>
        <v>Roy Collins</v>
      </c>
      <c r="C712" s="19" t="str">
        <f>VLOOKUP(A712,Sheet1!A:I,9,0)</f>
        <v>Male</v>
      </c>
      <c r="D712" s="19">
        <f>VLOOKUP(A712,Sheet1!A:K,11,0)</f>
        <v>33</v>
      </c>
      <c r="E712" s="19" t="str">
        <f>VLOOKUP(A712,Sheet1!A:M,13,0)</f>
        <v>Netherlands</v>
      </c>
      <c r="F712" s="19" t="str">
        <f>VLOOKUP(A712,Sheet1!A:N,14,0)</f>
        <v>Dutch</v>
      </c>
      <c r="G712" s="19" t="str">
        <f>VLOOKUP(A712,Sheet1!A:O,15,0)</f>
        <v>Mobile Apps</v>
      </c>
      <c r="H712" s="19">
        <f>VLOOKUP(A712,Sheet1!A:Q,17,0)</f>
        <v>5</v>
      </c>
      <c r="I712" s="20">
        <f>VLOOKUP(A712,Sheet1!A:V,22,0)</f>
        <v>50</v>
      </c>
      <c r="J712" s="21">
        <f>VLOOKUP(A712,Sheet1!A:X,24,0)</f>
        <v>4.7</v>
      </c>
      <c r="K712" s="19" t="str">
        <f>VLOOKUP(A712,Sheet1!A:AB,28,0)</f>
        <v>Yes</v>
      </c>
      <c r="L712" s="27">
        <f>VLOOKUP(A712,Sheet1!A:AD,30,0)</f>
        <v>88</v>
      </c>
    </row>
    <row r="713" spans="1:12" x14ac:dyDescent="0.3">
      <c r="A713" s="14" t="s">
        <v>1860</v>
      </c>
      <c r="B713" s="19" t="str">
        <f>VLOOKUP(A713,Sheet1!A:E,5,0)</f>
        <v>Sarah Ho</v>
      </c>
      <c r="C713" s="19" t="str">
        <f>VLOOKUP(A713,Sheet1!A:I,9,0)</f>
        <v>Female</v>
      </c>
      <c r="D713" s="19">
        <f>VLOOKUP(A713,Sheet1!A:K,11,0)</f>
        <v>33</v>
      </c>
      <c r="E713" s="19" t="str">
        <f>VLOOKUP(A713,Sheet1!A:M,13,0)</f>
        <v>Netherlands</v>
      </c>
      <c r="F713" s="19" t="str">
        <f>VLOOKUP(A713,Sheet1!A:N,14,0)</f>
        <v>Dutch</v>
      </c>
      <c r="G713" s="19" t="str">
        <f>VLOOKUP(A713,Sheet1!A:O,15,0)</f>
        <v>UI/UX Design</v>
      </c>
      <c r="H713" s="19">
        <f>VLOOKUP(A713,Sheet1!A:Q,17,0)</f>
        <v>6</v>
      </c>
      <c r="I713" s="20">
        <f>VLOOKUP(A713,Sheet1!A:V,22,0)</f>
        <v>50</v>
      </c>
      <c r="J713" s="21">
        <f>VLOOKUP(A713,Sheet1!A:X,24,0)</f>
        <v>3.1</v>
      </c>
      <c r="K713" s="19" t="str">
        <f>VLOOKUP(A713,Sheet1!A:AB,28,0)</f>
        <v>No</v>
      </c>
      <c r="L713" s="27">
        <f>VLOOKUP(A713,Sheet1!A:AD,30,0)</f>
        <v>90</v>
      </c>
    </row>
    <row r="714" spans="1:12" x14ac:dyDescent="0.3">
      <c r="A714" s="14" t="s">
        <v>831</v>
      </c>
      <c r="B714" s="19" t="str">
        <f>VLOOKUP(A714,Sheet1!A:E,5,0)</f>
        <v>Scott Keller</v>
      </c>
      <c r="C714" s="19" t="str">
        <f>VLOOKUP(A714,Sheet1!A:I,9,0)</f>
        <v>Male</v>
      </c>
      <c r="D714" s="19">
        <f>VLOOKUP(A714,Sheet1!A:K,11,0)</f>
        <v>33</v>
      </c>
      <c r="E714" s="19" t="str">
        <f>VLOOKUP(A714,Sheet1!A:M,13,0)</f>
        <v>South Korea</v>
      </c>
      <c r="F714" s="19" t="str">
        <f>VLOOKUP(A714,Sheet1!A:N,14,0)</f>
        <v>Korean</v>
      </c>
      <c r="G714" s="19" t="str">
        <f>VLOOKUP(A714,Sheet1!A:O,15,0)</f>
        <v>Machine Learning</v>
      </c>
      <c r="H714" s="19">
        <f>VLOOKUP(A714,Sheet1!A:Q,17,0)</f>
        <v>9</v>
      </c>
      <c r="I714" s="20">
        <f>VLOOKUP(A714,Sheet1!A:V,22,0)</f>
        <v>40</v>
      </c>
      <c r="J714" s="21">
        <f>VLOOKUP(A714,Sheet1!A:X,24,0)</f>
        <v>4.3</v>
      </c>
      <c r="K714" s="19" t="str">
        <f>VLOOKUP(A714,Sheet1!A:AB,28,0)</f>
        <v>Yes</v>
      </c>
      <c r="L714" s="27">
        <f>VLOOKUP(A714,Sheet1!A:AD,30,0)</f>
        <v>63</v>
      </c>
    </row>
    <row r="715" spans="1:12" x14ac:dyDescent="0.3">
      <c r="A715" s="14" t="s">
        <v>1467</v>
      </c>
      <c r="B715" s="19" t="str">
        <f>VLOOKUP(A715,Sheet1!A:E,5,0)</f>
        <v>Steven Moore</v>
      </c>
      <c r="C715" s="19" t="str">
        <f>VLOOKUP(A715,Sheet1!A:I,9,0)</f>
        <v>Male</v>
      </c>
      <c r="D715" s="19">
        <f>VLOOKUP(A715,Sheet1!A:K,11,0)</f>
        <v>33</v>
      </c>
      <c r="E715" s="19" t="str">
        <f>VLOOKUP(A715,Sheet1!A:M,13,0)</f>
        <v>Japan</v>
      </c>
      <c r="F715" s="19" t="str">
        <f>VLOOKUP(A715,Sheet1!A:N,14,0)</f>
        <v>Japanese</v>
      </c>
      <c r="G715" s="19" t="str">
        <f>VLOOKUP(A715,Sheet1!A:O,15,0)</f>
        <v>Cybersecurity</v>
      </c>
      <c r="H715" s="19">
        <f>VLOOKUP(A715,Sheet1!A:Q,17,0)</f>
        <v>9</v>
      </c>
      <c r="I715" s="20">
        <f>VLOOKUP(A715,Sheet1!A:V,22,0)</f>
        <v>30</v>
      </c>
      <c r="J715" s="21">
        <f>VLOOKUP(A715,Sheet1!A:X,24,0)</f>
        <v>4.4000000000000004</v>
      </c>
      <c r="K715" s="19" t="str">
        <f>VLOOKUP(A715,Sheet1!A:AB,28,0)</f>
        <v>Yes</v>
      </c>
      <c r="L715" s="27">
        <f>VLOOKUP(A715,Sheet1!A:AD,30,0)</f>
        <v>65</v>
      </c>
    </row>
    <row r="716" spans="1:12" x14ac:dyDescent="0.3">
      <c r="A716" s="14" t="s">
        <v>1954</v>
      </c>
      <c r="B716" s="19" t="str">
        <f>VLOOKUP(A716,Sheet1!A:E,5,0)</f>
        <v>Valerie Finley</v>
      </c>
      <c r="C716" s="19" t="str">
        <f>VLOOKUP(A716,Sheet1!A:I,9,0)</f>
        <v>Female</v>
      </c>
      <c r="D716" s="19">
        <f>VLOOKUP(A716,Sheet1!A:K,11,0)</f>
        <v>33</v>
      </c>
      <c r="E716" s="19" t="str">
        <f>VLOOKUP(A716,Sheet1!A:M,13,0)</f>
        <v>Indonesia</v>
      </c>
      <c r="F716" s="19" t="str">
        <f>VLOOKUP(A716,Sheet1!A:N,14,0)</f>
        <v>Indonesian</v>
      </c>
      <c r="G716" s="19" t="str">
        <f>VLOOKUP(A716,Sheet1!A:O,15,0)</f>
        <v>Blockchain Development</v>
      </c>
      <c r="H716" s="19">
        <f>VLOOKUP(A716,Sheet1!A:Q,17,0)</f>
        <v>6</v>
      </c>
      <c r="I716" s="20">
        <f>VLOOKUP(A716,Sheet1!A:V,22,0)</f>
        <v>40</v>
      </c>
      <c r="J716" s="21">
        <f>VLOOKUP(A716,Sheet1!A:X,24,0)</f>
        <v>3.2</v>
      </c>
      <c r="K716" s="19" t="str">
        <f>VLOOKUP(A716,Sheet1!A:AB,28,0)</f>
        <v>Yes</v>
      </c>
      <c r="L716" s="27">
        <f>VLOOKUP(A716,Sheet1!A:AD,30,0)</f>
        <v>95</v>
      </c>
    </row>
    <row r="717" spans="1:12" x14ac:dyDescent="0.3">
      <c r="A717" s="14" t="s">
        <v>1121</v>
      </c>
      <c r="B717" s="19" t="str">
        <f>VLOOKUP(A717,Sheet1!A:E,5,0)</f>
        <v>Victoria Chapman</v>
      </c>
      <c r="C717" s="19" t="str">
        <f>VLOOKUP(A717,Sheet1!A:I,9,0)</f>
        <v>Female</v>
      </c>
      <c r="D717" s="19">
        <f>VLOOKUP(A717,Sheet1!A:K,11,0)</f>
        <v>33</v>
      </c>
      <c r="E717" s="19" t="str">
        <f>VLOOKUP(A717,Sheet1!A:M,13,0)</f>
        <v>United States</v>
      </c>
      <c r="F717" s="19" t="str">
        <f>VLOOKUP(A717,Sheet1!A:N,14,0)</f>
        <v>English</v>
      </c>
      <c r="G717" s="19" t="str">
        <f>VLOOKUP(A717,Sheet1!A:O,15,0)</f>
        <v>Blockchain Development</v>
      </c>
      <c r="H717" s="19">
        <f>VLOOKUP(A717,Sheet1!A:Q,17,0)</f>
        <v>2</v>
      </c>
      <c r="I717" s="20">
        <f>VLOOKUP(A717,Sheet1!A:V,22,0)</f>
        <v>100</v>
      </c>
      <c r="J717" s="21">
        <f>VLOOKUP(A717,Sheet1!A:X,24,0)</f>
        <v>3.8</v>
      </c>
      <c r="K717" s="19" t="str">
        <f>VLOOKUP(A717,Sheet1!A:AB,28,0)</f>
        <v>No</v>
      </c>
      <c r="L717" s="27">
        <f>VLOOKUP(A717,Sheet1!A:AD,30,0)</f>
        <v>79.709359605911331</v>
      </c>
    </row>
    <row r="718" spans="1:12" x14ac:dyDescent="0.3">
      <c r="A718" s="14" t="s">
        <v>234</v>
      </c>
      <c r="B718" s="19" t="str">
        <f>VLOOKUP(A718,Sheet1!A:E,5,0)</f>
        <v>Yvonne Berg</v>
      </c>
      <c r="C718" s="19" t="str">
        <f>VLOOKUP(A718,Sheet1!A:I,9,0)</f>
        <v>Female</v>
      </c>
      <c r="D718" s="19">
        <f>VLOOKUP(A718,Sheet1!A:K,11,0)</f>
        <v>33</v>
      </c>
      <c r="E718" s="19" t="str">
        <f>VLOOKUP(A718,Sheet1!A:M,13,0)</f>
        <v>South Africa</v>
      </c>
      <c r="F718" s="19" t="str">
        <f>VLOOKUP(A718,Sheet1!A:N,14,0)</f>
        <v>Afrikaans</v>
      </c>
      <c r="G718" s="19" t="str">
        <f>VLOOKUP(A718,Sheet1!A:O,15,0)</f>
        <v>Mobile Apps</v>
      </c>
      <c r="H718" s="19">
        <f>VLOOKUP(A718,Sheet1!A:Q,17,0)</f>
        <v>11</v>
      </c>
      <c r="I718" s="20">
        <f>VLOOKUP(A718,Sheet1!A:V,22,0)</f>
        <v>52.570921985815602</v>
      </c>
      <c r="J718" s="21">
        <f>VLOOKUP(A718,Sheet1!A:X,24,0)</f>
        <v>2.525988023952094</v>
      </c>
      <c r="K718" s="19" t="str">
        <f>VLOOKUP(A718,Sheet1!A:AB,28,0)</f>
        <v>Yes</v>
      </c>
      <c r="L718" s="27">
        <f>VLOOKUP(A718,Sheet1!A:AD,30,0)</f>
        <v>84</v>
      </c>
    </row>
    <row r="719" spans="1:12" x14ac:dyDescent="0.3">
      <c r="A719" s="14" t="s">
        <v>982</v>
      </c>
      <c r="B719" s="19" t="str">
        <f>VLOOKUP(A719,Sheet1!A:E,5,0)</f>
        <v>Angel Collins</v>
      </c>
      <c r="C719" s="19" t="str">
        <f>VLOOKUP(A719,Sheet1!A:I,9,0)</f>
        <v>Female</v>
      </c>
      <c r="D719" s="19">
        <f>VLOOKUP(A719,Sheet1!A:K,11,0)</f>
        <v>32</v>
      </c>
      <c r="E719" s="19" t="str">
        <f>VLOOKUP(A719,Sheet1!A:M,13,0)</f>
        <v>Russia</v>
      </c>
      <c r="F719" s="19" t="str">
        <f>VLOOKUP(A719,Sheet1!A:N,14,0)</f>
        <v>Russian</v>
      </c>
      <c r="G719" s="19" t="str">
        <f>VLOOKUP(A719,Sheet1!A:O,15,0)</f>
        <v>Cybersecurity</v>
      </c>
      <c r="H719" s="19">
        <f>VLOOKUP(A719,Sheet1!A:Q,17,0)</f>
        <v>10</v>
      </c>
      <c r="I719" s="20">
        <f>VLOOKUP(A719,Sheet1!A:V,22,0)</f>
        <v>20</v>
      </c>
      <c r="J719" s="21">
        <f>VLOOKUP(A719,Sheet1!A:X,24,0)</f>
        <v>2.5474747474747463</v>
      </c>
      <c r="K719" s="19" t="str">
        <f>VLOOKUP(A719,Sheet1!A:AB,28,0)</f>
        <v>Yes</v>
      </c>
      <c r="L719" s="27">
        <f>VLOOKUP(A719,Sheet1!A:AD,30,0)</f>
        <v>92</v>
      </c>
    </row>
    <row r="720" spans="1:12" x14ac:dyDescent="0.3">
      <c r="A720" s="14" t="s">
        <v>807</v>
      </c>
      <c r="B720" s="19" t="str">
        <f>VLOOKUP(A720,Sheet1!A:E,5,0)</f>
        <v>Brian Baker</v>
      </c>
      <c r="C720" s="19" t="str">
        <f>VLOOKUP(A720,Sheet1!A:I,9,0)</f>
        <v>Male</v>
      </c>
      <c r="D720" s="19">
        <f>VLOOKUP(A720,Sheet1!A:K,11,0)</f>
        <v>32</v>
      </c>
      <c r="E720" s="19" t="str">
        <f>VLOOKUP(A720,Sheet1!A:M,13,0)</f>
        <v>South Korea</v>
      </c>
      <c r="F720" s="19" t="str">
        <f>VLOOKUP(A720,Sheet1!A:N,14,0)</f>
        <v>Korean</v>
      </c>
      <c r="G720" s="19" t="str">
        <f>VLOOKUP(A720,Sheet1!A:O,15,0)</f>
        <v>UI/UX Design</v>
      </c>
      <c r="H720" s="19">
        <f>VLOOKUP(A720,Sheet1!A:Q,17,0)</f>
        <v>10</v>
      </c>
      <c r="I720" s="20">
        <f>VLOOKUP(A720,Sheet1!A:V,22,0)</f>
        <v>30</v>
      </c>
      <c r="J720" s="21">
        <f>VLOOKUP(A720,Sheet1!A:X,24,0)</f>
        <v>3.8</v>
      </c>
      <c r="K720" s="19" t="str">
        <f>VLOOKUP(A720,Sheet1!A:AB,28,0)</f>
        <v>No</v>
      </c>
      <c r="L720" s="27">
        <f>VLOOKUP(A720,Sheet1!A:AD,30,0)</f>
        <v>61</v>
      </c>
    </row>
    <row r="721" spans="1:12" x14ac:dyDescent="0.3">
      <c r="A721" s="14" t="s">
        <v>489</v>
      </c>
      <c r="B721" s="19" t="str">
        <f>VLOOKUP(A721,Sheet1!A:E,5,0)</f>
        <v>Brian Dunn</v>
      </c>
      <c r="C721" s="19" t="str">
        <f>VLOOKUP(A721,Sheet1!A:I,9,0)</f>
        <v>Male</v>
      </c>
      <c r="D721" s="19">
        <f>VLOOKUP(A721,Sheet1!A:K,11,0)</f>
        <v>32</v>
      </c>
      <c r="E721" s="19" t="str">
        <f>VLOOKUP(A721,Sheet1!A:M,13,0)</f>
        <v>France</v>
      </c>
      <c r="F721" s="19" t="str">
        <f>VLOOKUP(A721,Sheet1!A:N,14,0)</f>
        <v>French</v>
      </c>
      <c r="G721" s="19" t="str">
        <f>VLOOKUP(A721,Sheet1!A:O,15,0)</f>
        <v>Machine Learning</v>
      </c>
      <c r="H721" s="19">
        <f>VLOOKUP(A721,Sheet1!A:Q,17,0)</f>
        <v>11</v>
      </c>
      <c r="I721" s="20">
        <f>VLOOKUP(A721,Sheet1!A:V,22,0)</f>
        <v>40</v>
      </c>
      <c r="J721" s="21">
        <f>VLOOKUP(A721,Sheet1!A:X,24,0)</f>
        <v>4.3</v>
      </c>
      <c r="K721" s="19" t="str">
        <f>VLOOKUP(A721,Sheet1!A:AB,28,0)</f>
        <v>Yes</v>
      </c>
      <c r="L721" s="27">
        <f>VLOOKUP(A721,Sheet1!A:AD,30,0)</f>
        <v>86</v>
      </c>
    </row>
    <row r="722" spans="1:12" x14ac:dyDescent="0.3">
      <c r="A722" s="14" t="s">
        <v>1263</v>
      </c>
      <c r="B722" s="19" t="str">
        <f>VLOOKUP(A722,Sheet1!A:E,5,0)</f>
        <v>Charles Martinez</v>
      </c>
      <c r="C722" s="19" t="str">
        <f>VLOOKUP(A722,Sheet1!A:I,9,0)</f>
        <v>Male</v>
      </c>
      <c r="D722" s="19">
        <f>VLOOKUP(A722,Sheet1!A:K,11,0)</f>
        <v>32</v>
      </c>
      <c r="E722" s="19" t="str">
        <f>VLOOKUP(A722,Sheet1!A:M,13,0)</f>
        <v>Mexico</v>
      </c>
      <c r="F722" s="19" t="str">
        <f>VLOOKUP(A722,Sheet1!A:N,14,0)</f>
        <v>Spanish</v>
      </c>
      <c r="G722" s="19" t="str">
        <f>VLOOKUP(A722,Sheet1!A:O,15,0)</f>
        <v>UI/UX Design</v>
      </c>
      <c r="H722" s="19">
        <f>VLOOKUP(A722,Sheet1!A:Q,17,0)</f>
        <v>9</v>
      </c>
      <c r="I722" s="20">
        <f>VLOOKUP(A722,Sheet1!A:V,22,0)</f>
        <v>40</v>
      </c>
      <c r="J722" s="21">
        <f>VLOOKUP(A722,Sheet1!A:X,24,0)</f>
        <v>1.3</v>
      </c>
      <c r="K722" s="19" t="str">
        <f>VLOOKUP(A722,Sheet1!A:AB,28,0)</f>
        <v>Yes</v>
      </c>
      <c r="L722" s="27">
        <f>VLOOKUP(A722,Sheet1!A:AD,30,0)</f>
        <v>83</v>
      </c>
    </row>
    <row r="723" spans="1:12" x14ac:dyDescent="0.3">
      <c r="A723" s="14" t="s">
        <v>317</v>
      </c>
      <c r="B723" s="19" t="str">
        <f>VLOOKUP(A723,Sheet1!A:E,5,0)</f>
        <v>Jane Cox</v>
      </c>
      <c r="C723" s="19" t="str">
        <f>VLOOKUP(A723,Sheet1!A:I,9,0)</f>
        <v>Female</v>
      </c>
      <c r="D723" s="19">
        <f>VLOOKUP(A723,Sheet1!A:K,11,0)</f>
        <v>32</v>
      </c>
      <c r="E723" s="19" t="str">
        <f>VLOOKUP(A723,Sheet1!A:M,13,0)</f>
        <v>United States</v>
      </c>
      <c r="F723" s="19" t="str">
        <f>VLOOKUP(A723,Sheet1!A:N,14,0)</f>
        <v>English</v>
      </c>
      <c r="G723" s="19" t="str">
        <f>VLOOKUP(A723,Sheet1!A:O,15,0)</f>
        <v>Machine Learning</v>
      </c>
      <c r="H723" s="19">
        <f>VLOOKUP(A723,Sheet1!A:Q,17,0)</f>
        <v>6</v>
      </c>
      <c r="I723" s="20">
        <f>VLOOKUP(A723,Sheet1!A:V,22,0)</f>
        <v>50</v>
      </c>
      <c r="J723" s="21">
        <f>VLOOKUP(A723,Sheet1!A:X,24,0)</f>
        <v>3.4</v>
      </c>
      <c r="K723" s="19" t="str">
        <f>VLOOKUP(A723,Sheet1!A:AB,28,0)</f>
        <v>Yes</v>
      </c>
      <c r="L723" s="27">
        <f>VLOOKUP(A723,Sheet1!A:AD,30,0)</f>
        <v>79.472184531886029</v>
      </c>
    </row>
    <row r="724" spans="1:12" x14ac:dyDescent="0.3">
      <c r="A724" s="14" t="s">
        <v>245</v>
      </c>
      <c r="B724" s="19" t="str">
        <f>VLOOKUP(A724,Sheet1!A:E,5,0)</f>
        <v>Jeremy Meyer</v>
      </c>
      <c r="C724" s="19" t="str">
        <f>VLOOKUP(A724,Sheet1!A:I,9,0)</f>
        <v>Male</v>
      </c>
      <c r="D724" s="19">
        <f>VLOOKUP(A724,Sheet1!A:K,11,0)</f>
        <v>32</v>
      </c>
      <c r="E724" s="19" t="str">
        <f>VLOOKUP(A724,Sheet1!A:M,13,0)</f>
        <v>India</v>
      </c>
      <c r="F724" s="19" t="str">
        <f>VLOOKUP(A724,Sheet1!A:N,14,0)</f>
        <v>Hindi</v>
      </c>
      <c r="G724" s="19" t="str">
        <f>VLOOKUP(A724,Sheet1!A:O,15,0)</f>
        <v>Data Analysis</v>
      </c>
      <c r="H724" s="19">
        <f>VLOOKUP(A724,Sheet1!A:Q,17,0)</f>
        <v>9</v>
      </c>
      <c r="I724" s="20">
        <f>VLOOKUP(A724,Sheet1!A:V,22,0)</f>
        <v>30</v>
      </c>
      <c r="J724" s="21">
        <f>VLOOKUP(A724,Sheet1!A:X,24,0)</f>
        <v>1.9</v>
      </c>
      <c r="K724" s="19" t="str">
        <f>VLOOKUP(A724,Sheet1!A:AB,28,0)</f>
        <v>Yes</v>
      </c>
      <c r="L724" s="27">
        <f>VLOOKUP(A724,Sheet1!A:AD,30,0)</f>
        <v>96</v>
      </c>
    </row>
    <row r="725" spans="1:12" x14ac:dyDescent="0.3">
      <c r="A725" s="14" t="s">
        <v>326</v>
      </c>
      <c r="B725" s="19" t="str">
        <f>VLOOKUP(A725,Sheet1!A:E,5,0)</f>
        <v>Jessica Torres</v>
      </c>
      <c r="C725" s="19" t="str">
        <f>VLOOKUP(A725,Sheet1!A:I,9,0)</f>
        <v>Female</v>
      </c>
      <c r="D725" s="19">
        <f>VLOOKUP(A725,Sheet1!A:K,11,0)</f>
        <v>32</v>
      </c>
      <c r="E725" s="19" t="str">
        <f>VLOOKUP(A725,Sheet1!A:M,13,0)</f>
        <v>Mexico</v>
      </c>
      <c r="F725" s="19" t="str">
        <f>VLOOKUP(A725,Sheet1!A:N,14,0)</f>
        <v>Spanish</v>
      </c>
      <c r="G725" s="19" t="str">
        <f>VLOOKUP(A725,Sheet1!A:O,15,0)</f>
        <v>AI</v>
      </c>
      <c r="H725" s="19">
        <f>VLOOKUP(A725,Sheet1!A:Q,17,0)</f>
        <v>5</v>
      </c>
      <c r="I725" s="20">
        <f>VLOOKUP(A725,Sheet1!A:V,22,0)</f>
        <v>30</v>
      </c>
      <c r="J725" s="21">
        <f>VLOOKUP(A725,Sheet1!A:X,24,0)</f>
        <v>2.5127044025157219</v>
      </c>
      <c r="K725" s="19" t="str">
        <f>VLOOKUP(A725,Sheet1!A:AB,28,0)</f>
        <v>No</v>
      </c>
      <c r="L725" s="27">
        <f>VLOOKUP(A725,Sheet1!A:AD,30,0)</f>
        <v>86</v>
      </c>
    </row>
    <row r="726" spans="1:12" x14ac:dyDescent="0.3">
      <c r="A726" s="14" t="s">
        <v>2030</v>
      </c>
      <c r="B726" s="19" t="str">
        <f>VLOOKUP(A726,Sheet1!A:E,5,0)</f>
        <v>Johnny Rice</v>
      </c>
      <c r="C726" s="19" t="str">
        <f>VLOOKUP(A726,Sheet1!A:I,9,0)</f>
        <v>Male</v>
      </c>
      <c r="D726" s="19">
        <f>VLOOKUP(A726,Sheet1!A:K,11,0)</f>
        <v>32</v>
      </c>
      <c r="E726" s="19" t="str">
        <f>VLOOKUP(A726,Sheet1!A:M,13,0)</f>
        <v>France</v>
      </c>
      <c r="F726" s="19" t="str">
        <f>VLOOKUP(A726,Sheet1!A:N,14,0)</f>
        <v>French</v>
      </c>
      <c r="G726" s="19" t="str">
        <f>VLOOKUP(A726,Sheet1!A:O,15,0)</f>
        <v>Graphic Design</v>
      </c>
      <c r="H726" s="19">
        <f>VLOOKUP(A726,Sheet1!A:Q,17,0)</f>
        <v>1</v>
      </c>
      <c r="I726" s="20">
        <f>VLOOKUP(A726,Sheet1!A:V,22,0)</f>
        <v>40</v>
      </c>
      <c r="J726" s="21">
        <f>VLOOKUP(A726,Sheet1!A:X,24,0)</f>
        <v>3.1</v>
      </c>
      <c r="K726" s="19" t="str">
        <f>VLOOKUP(A726,Sheet1!A:AB,28,0)</f>
        <v>Yes</v>
      </c>
      <c r="L726" s="27">
        <f>VLOOKUP(A726,Sheet1!A:AD,30,0)</f>
        <v>76</v>
      </c>
    </row>
    <row r="727" spans="1:12" x14ac:dyDescent="0.3">
      <c r="A727" s="14" t="s">
        <v>293</v>
      </c>
      <c r="B727" s="19" t="str">
        <f>VLOOKUP(A727,Sheet1!A:E,5,0)</f>
        <v>Kristopher Meyers</v>
      </c>
      <c r="C727" s="19" t="str">
        <f>VLOOKUP(A727,Sheet1!A:I,9,0)</f>
        <v>Male</v>
      </c>
      <c r="D727" s="19">
        <f>VLOOKUP(A727,Sheet1!A:K,11,0)</f>
        <v>32</v>
      </c>
      <c r="E727" s="19" t="str">
        <f>VLOOKUP(A727,Sheet1!A:M,13,0)</f>
        <v>Egypt</v>
      </c>
      <c r="F727" s="19" t="str">
        <f>VLOOKUP(A727,Sheet1!A:N,14,0)</f>
        <v>Arabic</v>
      </c>
      <c r="G727" s="19" t="str">
        <f>VLOOKUP(A727,Sheet1!A:O,15,0)</f>
        <v>UI/UX Design</v>
      </c>
      <c r="H727" s="19">
        <f>VLOOKUP(A727,Sheet1!A:Q,17,0)</f>
        <v>10</v>
      </c>
      <c r="I727" s="20">
        <f>VLOOKUP(A727,Sheet1!A:V,22,0)</f>
        <v>50</v>
      </c>
      <c r="J727" s="21">
        <f>VLOOKUP(A727,Sheet1!A:X,24,0)</f>
        <v>1.2</v>
      </c>
      <c r="K727" s="19" t="str">
        <f>VLOOKUP(A727,Sheet1!A:AB,28,0)</f>
        <v>No</v>
      </c>
      <c r="L727" s="27">
        <f>VLOOKUP(A727,Sheet1!A:AD,30,0)</f>
        <v>89</v>
      </c>
    </row>
    <row r="728" spans="1:12" x14ac:dyDescent="0.3">
      <c r="A728" s="14" t="s">
        <v>1083</v>
      </c>
      <c r="B728" s="19" t="str">
        <f>VLOOKUP(A728,Sheet1!A:E,5,0)</f>
        <v>Lance Lester</v>
      </c>
      <c r="C728" s="19" t="str">
        <f>VLOOKUP(A728,Sheet1!A:I,9,0)</f>
        <v>Male</v>
      </c>
      <c r="D728" s="19">
        <f>VLOOKUP(A728,Sheet1!A:K,11,0)</f>
        <v>32</v>
      </c>
      <c r="E728" s="19" t="str">
        <f>VLOOKUP(A728,Sheet1!A:M,13,0)</f>
        <v>Argentina</v>
      </c>
      <c r="F728" s="19" t="str">
        <f>VLOOKUP(A728,Sheet1!A:N,14,0)</f>
        <v>Spanish</v>
      </c>
      <c r="G728" s="19" t="str">
        <f>VLOOKUP(A728,Sheet1!A:O,15,0)</f>
        <v>AI</v>
      </c>
      <c r="H728" s="19">
        <f>VLOOKUP(A728,Sheet1!A:Q,17,0)</f>
        <v>3</v>
      </c>
      <c r="I728" s="20">
        <f>VLOOKUP(A728,Sheet1!A:V,22,0)</f>
        <v>30</v>
      </c>
      <c r="J728" s="21">
        <f>VLOOKUP(A728,Sheet1!A:X,24,0)</f>
        <v>1.5</v>
      </c>
      <c r="K728" s="19" t="str">
        <f>VLOOKUP(A728,Sheet1!A:AB,28,0)</f>
        <v>No</v>
      </c>
      <c r="L728" s="27">
        <f>VLOOKUP(A728,Sheet1!A:AD,30,0)</f>
        <v>96</v>
      </c>
    </row>
    <row r="729" spans="1:12" x14ac:dyDescent="0.3">
      <c r="A729" s="14" t="s">
        <v>273</v>
      </c>
      <c r="B729" s="19" t="str">
        <f>VLOOKUP(A729,Sheet1!A:E,5,0)</f>
        <v>Matthew Smith</v>
      </c>
      <c r="C729" s="19" t="str">
        <f>VLOOKUP(A729,Sheet1!A:I,9,0)</f>
        <v>Male</v>
      </c>
      <c r="D729" s="19">
        <f>VLOOKUP(A729,Sheet1!A:K,11,0)</f>
        <v>32</v>
      </c>
      <c r="E729" s="19" t="str">
        <f>VLOOKUP(A729,Sheet1!A:M,13,0)</f>
        <v>India</v>
      </c>
      <c r="F729" s="19" t="str">
        <f>VLOOKUP(A729,Sheet1!A:N,14,0)</f>
        <v>Hindi</v>
      </c>
      <c r="G729" s="19" t="str">
        <f>VLOOKUP(A729,Sheet1!A:O,15,0)</f>
        <v>Mobile Apps</v>
      </c>
      <c r="H729" s="19">
        <f>VLOOKUP(A729,Sheet1!A:Q,17,0)</f>
        <v>10</v>
      </c>
      <c r="I729" s="20">
        <f>VLOOKUP(A729,Sheet1!A:V,22,0)</f>
        <v>20</v>
      </c>
      <c r="J729" s="21">
        <f>VLOOKUP(A729,Sheet1!A:X,24,0)</f>
        <v>2.4</v>
      </c>
      <c r="K729" s="19" t="str">
        <f>VLOOKUP(A729,Sheet1!A:AB,28,0)</f>
        <v>No</v>
      </c>
      <c r="L729" s="27">
        <f>VLOOKUP(A729,Sheet1!A:AD,30,0)</f>
        <v>86</v>
      </c>
    </row>
    <row r="730" spans="1:12" x14ac:dyDescent="0.3">
      <c r="A730" s="14" t="s">
        <v>1267</v>
      </c>
      <c r="B730" s="19" t="str">
        <f>VLOOKUP(A730,Sheet1!A:E,5,0)</f>
        <v>Michael Garcia</v>
      </c>
      <c r="C730" s="19" t="str">
        <f>VLOOKUP(A730,Sheet1!A:I,9,0)</f>
        <v>Male</v>
      </c>
      <c r="D730" s="19">
        <f>VLOOKUP(A730,Sheet1!A:K,11,0)</f>
        <v>32</v>
      </c>
      <c r="E730" s="19" t="str">
        <f>VLOOKUP(A730,Sheet1!A:M,13,0)</f>
        <v>Australia</v>
      </c>
      <c r="F730" s="19" t="str">
        <f>VLOOKUP(A730,Sheet1!A:N,14,0)</f>
        <v>English</v>
      </c>
      <c r="G730" s="19" t="str">
        <f>VLOOKUP(A730,Sheet1!A:O,15,0)</f>
        <v>DevOps</v>
      </c>
      <c r="H730" s="19">
        <f>VLOOKUP(A730,Sheet1!A:Q,17,0)</f>
        <v>1</v>
      </c>
      <c r="I730" s="20">
        <f>VLOOKUP(A730,Sheet1!A:V,22,0)</f>
        <v>100</v>
      </c>
      <c r="J730" s="21">
        <f>VLOOKUP(A730,Sheet1!A:X,24,0)</f>
        <v>3.4</v>
      </c>
      <c r="K730" s="19" t="str">
        <f>VLOOKUP(A730,Sheet1!A:AB,28,0)</f>
        <v>Yes</v>
      </c>
      <c r="L730" s="27">
        <f>VLOOKUP(A730,Sheet1!A:AD,30,0)</f>
        <v>79.849275362318835</v>
      </c>
    </row>
    <row r="731" spans="1:12" x14ac:dyDescent="0.3">
      <c r="A731" s="14" t="s">
        <v>1095</v>
      </c>
      <c r="B731" s="19" t="str">
        <f>VLOOKUP(A731,Sheet1!A:E,5,0)</f>
        <v>Michael Nunez</v>
      </c>
      <c r="C731" s="19" t="str">
        <f>VLOOKUP(A731,Sheet1!A:I,9,0)</f>
        <v>Male</v>
      </c>
      <c r="D731" s="19">
        <f>VLOOKUP(A731,Sheet1!A:K,11,0)</f>
        <v>32</v>
      </c>
      <c r="E731" s="19" t="str">
        <f>VLOOKUP(A731,Sheet1!A:M,13,0)</f>
        <v>Mexico</v>
      </c>
      <c r="F731" s="19" t="str">
        <f>VLOOKUP(A731,Sheet1!A:N,14,0)</f>
        <v>Spanish</v>
      </c>
      <c r="G731" s="19" t="str">
        <f>VLOOKUP(A731,Sheet1!A:O,15,0)</f>
        <v>DevOps</v>
      </c>
      <c r="H731" s="19">
        <f>VLOOKUP(A731,Sheet1!A:Q,17,0)</f>
        <v>1</v>
      </c>
      <c r="I731" s="20">
        <f>VLOOKUP(A731,Sheet1!A:V,22,0)</f>
        <v>50</v>
      </c>
      <c r="J731" s="21">
        <f>VLOOKUP(A731,Sheet1!A:X,24,0)</f>
        <v>2.5607223476297976</v>
      </c>
      <c r="K731" s="19" t="str">
        <f>VLOOKUP(A731,Sheet1!A:AB,28,0)</f>
        <v>Yes</v>
      </c>
      <c r="L731" s="27">
        <f>VLOOKUP(A731,Sheet1!A:AD,30,0)</f>
        <v>70</v>
      </c>
    </row>
    <row r="732" spans="1:12" x14ac:dyDescent="0.3">
      <c r="A732" s="14" t="s">
        <v>729</v>
      </c>
      <c r="B732" s="19" t="str">
        <f>VLOOKUP(A732,Sheet1!A:E,5,0)</f>
        <v>Michael Rogers</v>
      </c>
      <c r="C732" s="19" t="str">
        <f>VLOOKUP(A732,Sheet1!A:I,9,0)</f>
        <v>Male</v>
      </c>
      <c r="D732" s="19">
        <f>VLOOKUP(A732,Sheet1!A:K,11,0)</f>
        <v>32</v>
      </c>
      <c r="E732" s="19" t="str">
        <f>VLOOKUP(A732,Sheet1!A:M,13,0)</f>
        <v>Germany</v>
      </c>
      <c r="F732" s="19" t="str">
        <f>VLOOKUP(A732,Sheet1!A:N,14,0)</f>
        <v>German</v>
      </c>
      <c r="G732" s="19" t="str">
        <f>VLOOKUP(A732,Sheet1!A:O,15,0)</f>
        <v>Graphic Design</v>
      </c>
      <c r="H732" s="19">
        <f>VLOOKUP(A732,Sheet1!A:Q,17,0)</f>
        <v>0</v>
      </c>
      <c r="I732" s="20">
        <f>VLOOKUP(A732,Sheet1!A:V,22,0)</f>
        <v>100</v>
      </c>
      <c r="J732" s="21">
        <f>VLOOKUP(A732,Sheet1!A:X,24,0)</f>
        <v>1.4</v>
      </c>
      <c r="K732" s="19" t="str">
        <f>VLOOKUP(A732,Sheet1!A:AB,28,0)</f>
        <v>Yes</v>
      </c>
      <c r="L732" s="27">
        <f>VLOOKUP(A732,Sheet1!A:AD,30,0)</f>
        <v>81</v>
      </c>
    </row>
    <row r="733" spans="1:12" x14ac:dyDescent="0.3">
      <c r="A733" s="14" t="s">
        <v>1810</v>
      </c>
      <c r="B733" s="19" t="str">
        <f>VLOOKUP(A733,Sheet1!A:E,5,0)</f>
        <v>Nicholas Guerrero</v>
      </c>
      <c r="C733" s="19" t="str">
        <f>VLOOKUP(A733,Sheet1!A:I,9,0)</f>
        <v>Male</v>
      </c>
      <c r="D733" s="19">
        <f>VLOOKUP(A733,Sheet1!A:K,11,0)</f>
        <v>32</v>
      </c>
      <c r="E733" s="19" t="str">
        <f>VLOOKUP(A733,Sheet1!A:M,13,0)</f>
        <v>Canada</v>
      </c>
      <c r="F733" s="19" t="str">
        <f>VLOOKUP(A733,Sheet1!A:N,14,0)</f>
        <v>English</v>
      </c>
      <c r="G733" s="19" t="str">
        <f>VLOOKUP(A733,Sheet1!A:O,15,0)</f>
        <v>Blockchain Development</v>
      </c>
      <c r="H733" s="19">
        <f>VLOOKUP(A733,Sheet1!A:Q,17,0)</f>
        <v>12</v>
      </c>
      <c r="I733" s="20">
        <f>VLOOKUP(A733,Sheet1!A:V,22,0)</f>
        <v>40</v>
      </c>
      <c r="J733" s="21">
        <f>VLOOKUP(A733,Sheet1!A:X,24,0)</f>
        <v>0</v>
      </c>
      <c r="K733" s="19" t="str">
        <f>VLOOKUP(A733,Sheet1!A:AB,28,0)</f>
        <v>Yes</v>
      </c>
      <c r="L733" s="27">
        <f>VLOOKUP(A733,Sheet1!A:AD,30,0)</f>
        <v>63</v>
      </c>
    </row>
    <row r="734" spans="1:12" x14ac:dyDescent="0.3">
      <c r="A734" s="14" t="s">
        <v>1556</v>
      </c>
      <c r="B734" s="19" t="str">
        <f>VLOOKUP(A734,Sheet1!A:E,5,0)</f>
        <v>Ronald Munoz</v>
      </c>
      <c r="C734" s="19" t="str">
        <f>VLOOKUP(A734,Sheet1!A:I,9,0)</f>
        <v>Male</v>
      </c>
      <c r="D734" s="19">
        <f>VLOOKUP(A734,Sheet1!A:K,11,0)</f>
        <v>32</v>
      </c>
      <c r="E734" s="19" t="str">
        <f>VLOOKUP(A734,Sheet1!A:M,13,0)</f>
        <v>India</v>
      </c>
      <c r="F734" s="19" t="str">
        <f>VLOOKUP(A734,Sheet1!A:N,14,0)</f>
        <v>Hindi</v>
      </c>
      <c r="G734" s="19" t="str">
        <f>VLOOKUP(A734,Sheet1!A:O,15,0)</f>
        <v>Blockchain Development</v>
      </c>
      <c r="H734" s="19">
        <f>VLOOKUP(A734,Sheet1!A:Q,17,0)</f>
        <v>9</v>
      </c>
      <c r="I734" s="20">
        <f>VLOOKUP(A734,Sheet1!A:V,22,0)</f>
        <v>30</v>
      </c>
      <c r="J734" s="21">
        <f>VLOOKUP(A734,Sheet1!A:X,24,0)</f>
        <v>1.5</v>
      </c>
      <c r="K734" s="19" t="str">
        <f>VLOOKUP(A734,Sheet1!A:AB,28,0)</f>
        <v>No</v>
      </c>
      <c r="L734" s="27">
        <f>VLOOKUP(A734,Sheet1!A:AD,30,0)</f>
        <v>68</v>
      </c>
    </row>
    <row r="735" spans="1:12" x14ac:dyDescent="0.3">
      <c r="A735" s="14" t="s">
        <v>577</v>
      </c>
      <c r="B735" s="19" t="str">
        <f>VLOOKUP(A735,Sheet1!A:E,5,0)</f>
        <v>Sarah Ho</v>
      </c>
      <c r="C735" s="19" t="str">
        <f>VLOOKUP(A735,Sheet1!A:I,9,0)</f>
        <v>Female</v>
      </c>
      <c r="D735" s="19">
        <f>VLOOKUP(A735,Sheet1!A:K,11,0)</f>
        <v>32</v>
      </c>
      <c r="E735" s="19" t="str">
        <f>VLOOKUP(A735,Sheet1!A:M,13,0)</f>
        <v>Mexico</v>
      </c>
      <c r="F735" s="19" t="str">
        <f>VLOOKUP(A735,Sheet1!A:N,14,0)</f>
        <v>Spanish</v>
      </c>
      <c r="G735" s="19" t="str">
        <f>VLOOKUP(A735,Sheet1!A:O,15,0)</f>
        <v>AI</v>
      </c>
      <c r="H735" s="19">
        <f>VLOOKUP(A735,Sheet1!A:Q,17,0)</f>
        <v>1</v>
      </c>
      <c r="I735" s="20">
        <f>VLOOKUP(A735,Sheet1!A:V,22,0)</f>
        <v>100</v>
      </c>
      <c r="J735" s="21">
        <f>VLOOKUP(A735,Sheet1!A:X,24,0)</f>
        <v>4.7</v>
      </c>
      <c r="K735" s="19" t="str">
        <f>VLOOKUP(A735,Sheet1!A:AB,28,0)</f>
        <v>No</v>
      </c>
      <c r="L735" s="27">
        <f>VLOOKUP(A735,Sheet1!A:AD,30,0)</f>
        <v>67</v>
      </c>
    </row>
    <row r="736" spans="1:12" x14ac:dyDescent="0.3">
      <c r="A736" s="14" t="s">
        <v>531</v>
      </c>
      <c r="B736" s="19" t="str">
        <f>VLOOKUP(A736,Sheet1!A:E,5,0)</f>
        <v>Sean Poole</v>
      </c>
      <c r="C736" s="19" t="str">
        <f>VLOOKUP(A736,Sheet1!A:I,9,0)</f>
        <v>Male</v>
      </c>
      <c r="D736" s="19">
        <f>VLOOKUP(A736,Sheet1!A:K,11,0)</f>
        <v>32</v>
      </c>
      <c r="E736" s="19" t="str">
        <f>VLOOKUP(A736,Sheet1!A:M,13,0)</f>
        <v>Indonesia</v>
      </c>
      <c r="F736" s="19" t="str">
        <f>VLOOKUP(A736,Sheet1!A:N,14,0)</f>
        <v>Indonesian</v>
      </c>
      <c r="G736" s="19" t="str">
        <f>VLOOKUP(A736,Sheet1!A:O,15,0)</f>
        <v>Graphic Design</v>
      </c>
      <c r="H736" s="19">
        <f>VLOOKUP(A736,Sheet1!A:Q,17,0)</f>
        <v>14</v>
      </c>
      <c r="I736" s="20">
        <f>VLOOKUP(A736,Sheet1!A:V,22,0)</f>
        <v>52.849083215796895</v>
      </c>
      <c r="J736" s="21">
        <f>VLOOKUP(A736,Sheet1!A:X,24,0)</f>
        <v>2.5529327610872663</v>
      </c>
      <c r="K736" s="19" t="str">
        <f>VLOOKUP(A736,Sheet1!A:AB,28,0)</f>
        <v>No</v>
      </c>
      <c r="L736" s="27">
        <f>VLOOKUP(A736,Sheet1!A:AD,30,0)</f>
        <v>96</v>
      </c>
    </row>
    <row r="737" spans="1:12" x14ac:dyDescent="0.3">
      <c r="A737" s="14" t="s">
        <v>1401</v>
      </c>
      <c r="B737" s="19" t="str">
        <f>VLOOKUP(A737,Sheet1!A:E,5,0)</f>
        <v>Tammy Greer</v>
      </c>
      <c r="C737" s="19" t="str">
        <f>VLOOKUP(A737,Sheet1!A:I,9,0)</f>
        <v>Female</v>
      </c>
      <c r="D737" s="19">
        <f>VLOOKUP(A737,Sheet1!A:K,11,0)</f>
        <v>32</v>
      </c>
      <c r="E737" s="19" t="str">
        <f>VLOOKUP(A737,Sheet1!A:M,13,0)</f>
        <v>Germany</v>
      </c>
      <c r="F737" s="19" t="str">
        <f>VLOOKUP(A737,Sheet1!A:N,14,0)</f>
        <v>German</v>
      </c>
      <c r="G737" s="19" t="str">
        <f>VLOOKUP(A737,Sheet1!A:O,15,0)</f>
        <v>Data Analysis</v>
      </c>
      <c r="H737" s="19">
        <f>VLOOKUP(A737,Sheet1!A:Q,17,0)</f>
        <v>9</v>
      </c>
      <c r="I737" s="20">
        <f>VLOOKUP(A737,Sheet1!A:V,22,0)</f>
        <v>75</v>
      </c>
      <c r="J737" s="21">
        <f>VLOOKUP(A737,Sheet1!A:X,24,0)</f>
        <v>2.6003278688524598</v>
      </c>
      <c r="K737" s="19" t="str">
        <f>VLOOKUP(A737,Sheet1!A:AB,28,0)</f>
        <v>No</v>
      </c>
      <c r="L737" s="27">
        <f>VLOOKUP(A737,Sheet1!A:AD,30,0)</f>
        <v>96</v>
      </c>
    </row>
    <row r="738" spans="1:12" x14ac:dyDescent="0.3">
      <c r="A738" s="14" t="s">
        <v>1576</v>
      </c>
      <c r="B738" s="19" t="str">
        <f>VLOOKUP(A738,Sheet1!A:E,5,0)</f>
        <v>Wendy Boyer</v>
      </c>
      <c r="C738" s="19" t="str">
        <f>VLOOKUP(A738,Sheet1!A:I,9,0)</f>
        <v>Female</v>
      </c>
      <c r="D738" s="19">
        <f>VLOOKUP(A738,Sheet1!A:K,11,0)</f>
        <v>32</v>
      </c>
      <c r="E738" s="19" t="str">
        <f>VLOOKUP(A738,Sheet1!A:M,13,0)</f>
        <v>Australia</v>
      </c>
      <c r="F738" s="19" t="str">
        <f>VLOOKUP(A738,Sheet1!A:N,14,0)</f>
        <v>English</v>
      </c>
      <c r="G738" s="19" t="str">
        <f>VLOOKUP(A738,Sheet1!A:O,15,0)</f>
        <v>DevOps</v>
      </c>
      <c r="H738" s="19">
        <f>VLOOKUP(A738,Sheet1!A:Q,17,0)</f>
        <v>10</v>
      </c>
      <c r="I738" s="20">
        <f>VLOOKUP(A738,Sheet1!A:V,22,0)</f>
        <v>50</v>
      </c>
      <c r="J738" s="21">
        <f>VLOOKUP(A738,Sheet1!A:X,24,0)</f>
        <v>1.5</v>
      </c>
      <c r="K738" s="19" t="str">
        <f>VLOOKUP(A738,Sheet1!A:AB,28,0)</f>
        <v>No</v>
      </c>
      <c r="L738" s="27">
        <f>VLOOKUP(A738,Sheet1!A:AD,30,0)</f>
        <v>65</v>
      </c>
    </row>
    <row r="739" spans="1:12" x14ac:dyDescent="0.3">
      <c r="A739" s="14" t="s">
        <v>733</v>
      </c>
      <c r="B739" s="19" t="str">
        <f>VLOOKUP(A739,Sheet1!A:E,5,0)</f>
        <v>William Nunez</v>
      </c>
      <c r="C739" s="19" t="str">
        <f>VLOOKUP(A739,Sheet1!A:I,9,0)</f>
        <v>Male</v>
      </c>
      <c r="D739" s="19">
        <f>VLOOKUP(A739,Sheet1!A:K,11,0)</f>
        <v>32</v>
      </c>
      <c r="E739" s="19" t="str">
        <f>VLOOKUP(A739,Sheet1!A:M,13,0)</f>
        <v>Argentina</v>
      </c>
      <c r="F739" s="19" t="str">
        <f>VLOOKUP(A739,Sheet1!A:N,14,0)</f>
        <v>Spanish</v>
      </c>
      <c r="G739" s="19" t="str">
        <f>VLOOKUP(A739,Sheet1!A:O,15,0)</f>
        <v>Machine Learning</v>
      </c>
      <c r="H739" s="19">
        <f>VLOOKUP(A739,Sheet1!A:Q,17,0)</f>
        <v>9</v>
      </c>
      <c r="I739" s="20">
        <f>VLOOKUP(A739,Sheet1!A:V,22,0)</f>
        <v>40</v>
      </c>
      <c r="J739" s="21">
        <f>VLOOKUP(A739,Sheet1!A:X,24,0)</f>
        <v>4.5999999999999996</v>
      </c>
      <c r="K739" s="19" t="str">
        <f>VLOOKUP(A739,Sheet1!A:AB,28,0)</f>
        <v>Yes</v>
      </c>
      <c r="L739" s="27">
        <f>VLOOKUP(A739,Sheet1!A:AD,30,0)</f>
        <v>84</v>
      </c>
    </row>
    <row r="740" spans="1:12" x14ac:dyDescent="0.3">
      <c r="A740" s="14" t="s">
        <v>1476</v>
      </c>
      <c r="B740" s="19" t="str">
        <f>VLOOKUP(A740,Sheet1!A:E,5,0)</f>
        <v>Amanda Mitchell</v>
      </c>
      <c r="C740" s="19" t="str">
        <f>VLOOKUP(A740,Sheet1!A:I,9,0)</f>
        <v>Female</v>
      </c>
      <c r="D740" s="19">
        <f>VLOOKUP(A740,Sheet1!A:K,11,0)</f>
        <v>31</v>
      </c>
      <c r="E740" s="19" t="str">
        <f>VLOOKUP(A740,Sheet1!A:M,13,0)</f>
        <v>France</v>
      </c>
      <c r="F740" s="19" t="str">
        <f>VLOOKUP(A740,Sheet1!A:N,14,0)</f>
        <v>French</v>
      </c>
      <c r="G740" s="19" t="str">
        <f>VLOOKUP(A740,Sheet1!A:O,15,0)</f>
        <v>Mobile Apps</v>
      </c>
      <c r="H740" s="19">
        <f>VLOOKUP(A740,Sheet1!A:Q,17,0)</f>
        <v>9</v>
      </c>
      <c r="I740" s="20">
        <f>VLOOKUP(A740,Sheet1!A:V,22,0)</f>
        <v>50</v>
      </c>
      <c r="J740" s="21">
        <f>VLOOKUP(A740,Sheet1!A:X,24,0)</f>
        <v>1.4</v>
      </c>
      <c r="K740" s="19" t="str">
        <f>VLOOKUP(A740,Sheet1!A:AB,28,0)</f>
        <v>No</v>
      </c>
      <c r="L740" s="27">
        <f>VLOOKUP(A740,Sheet1!A:AD,30,0)</f>
        <v>80</v>
      </c>
    </row>
    <row r="741" spans="1:12" x14ac:dyDescent="0.3">
      <c r="A741" s="14" t="s">
        <v>1700</v>
      </c>
      <c r="B741" s="19" t="str">
        <f>VLOOKUP(A741,Sheet1!A:E,5,0)</f>
        <v>Amanda Smith</v>
      </c>
      <c r="C741" s="19" t="str">
        <f>VLOOKUP(A741,Sheet1!A:I,9,0)</f>
        <v>Female</v>
      </c>
      <c r="D741" s="19">
        <f>VLOOKUP(A741,Sheet1!A:K,11,0)</f>
        <v>31</v>
      </c>
      <c r="E741" s="19" t="str">
        <f>VLOOKUP(A741,Sheet1!A:M,13,0)</f>
        <v>Indonesia</v>
      </c>
      <c r="F741" s="19" t="str">
        <f>VLOOKUP(A741,Sheet1!A:N,14,0)</f>
        <v>Indonesian</v>
      </c>
      <c r="G741" s="19" t="str">
        <f>VLOOKUP(A741,Sheet1!A:O,15,0)</f>
        <v>Graphic Design</v>
      </c>
      <c r="H741" s="19">
        <f>VLOOKUP(A741,Sheet1!A:Q,17,0)</f>
        <v>9</v>
      </c>
      <c r="I741" s="20">
        <f>VLOOKUP(A741,Sheet1!A:V,22,0)</f>
        <v>20</v>
      </c>
      <c r="J741" s="21">
        <f>VLOOKUP(A741,Sheet1!A:X,24,0)</f>
        <v>2.4653179190751451</v>
      </c>
      <c r="K741" s="19" t="str">
        <f>VLOOKUP(A741,Sheet1!A:AB,28,0)</f>
        <v>Yes</v>
      </c>
      <c r="L741" s="27">
        <f>VLOOKUP(A741,Sheet1!A:AD,30,0)</f>
        <v>84</v>
      </c>
    </row>
    <row r="742" spans="1:12" x14ac:dyDescent="0.3">
      <c r="A742" s="14" t="s">
        <v>1646</v>
      </c>
      <c r="B742" s="19" t="str">
        <f>VLOOKUP(A742,Sheet1!A:E,5,0)</f>
        <v>Amy Combs</v>
      </c>
      <c r="C742" s="19" t="str">
        <f>VLOOKUP(A742,Sheet1!A:I,9,0)</f>
        <v>Female</v>
      </c>
      <c r="D742" s="19">
        <f>VLOOKUP(A742,Sheet1!A:K,11,0)</f>
        <v>31</v>
      </c>
      <c r="E742" s="19" t="str">
        <f>VLOOKUP(A742,Sheet1!A:M,13,0)</f>
        <v>Russia</v>
      </c>
      <c r="F742" s="19" t="str">
        <f>VLOOKUP(A742,Sheet1!A:N,14,0)</f>
        <v>Russian</v>
      </c>
      <c r="G742" s="19" t="str">
        <f>VLOOKUP(A742,Sheet1!A:O,15,0)</f>
        <v>Mobile Apps</v>
      </c>
      <c r="H742" s="19">
        <f>VLOOKUP(A742,Sheet1!A:Q,17,0)</f>
        <v>11</v>
      </c>
      <c r="I742" s="20">
        <f>VLOOKUP(A742,Sheet1!A:V,22,0)</f>
        <v>40</v>
      </c>
      <c r="J742" s="21">
        <f>VLOOKUP(A742,Sheet1!A:X,24,0)</f>
        <v>4.3</v>
      </c>
      <c r="K742" s="19" t="str">
        <f>VLOOKUP(A742,Sheet1!A:AB,28,0)</f>
        <v>Yes</v>
      </c>
      <c r="L742" s="27">
        <f>VLOOKUP(A742,Sheet1!A:AD,30,0)</f>
        <v>76</v>
      </c>
    </row>
    <row r="743" spans="1:12" x14ac:dyDescent="0.3">
      <c r="A743" s="14" t="s">
        <v>885</v>
      </c>
      <c r="B743" s="19" t="str">
        <f>VLOOKUP(A743,Sheet1!A:E,5,0)</f>
        <v>Anthony Huynh</v>
      </c>
      <c r="C743" s="19" t="str">
        <f>VLOOKUP(A743,Sheet1!A:I,9,0)</f>
        <v>Male</v>
      </c>
      <c r="D743" s="19">
        <f>VLOOKUP(A743,Sheet1!A:K,11,0)</f>
        <v>31</v>
      </c>
      <c r="E743" s="19" t="str">
        <f>VLOOKUP(A743,Sheet1!A:M,13,0)</f>
        <v>Russia</v>
      </c>
      <c r="F743" s="19" t="str">
        <f>VLOOKUP(A743,Sheet1!A:N,14,0)</f>
        <v>Russian</v>
      </c>
      <c r="G743" s="19" t="str">
        <f>VLOOKUP(A743,Sheet1!A:O,15,0)</f>
        <v>Cybersecurity</v>
      </c>
      <c r="H743" s="19">
        <f>VLOOKUP(A743,Sheet1!A:Q,17,0)</f>
        <v>0</v>
      </c>
      <c r="I743" s="20">
        <f>VLOOKUP(A743,Sheet1!A:V,22,0)</f>
        <v>20</v>
      </c>
      <c r="J743" s="21">
        <f>VLOOKUP(A743,Sheet1!A:X,24,0)</f>
        <v>4.2</v>
      </c>
      <c r="K743" s="19" t="str">
        <f>VLOOKUP(A743,Sheet1!A:AB,28,0)</f>
        <v>Yes</v>
      </c>
      <c r="L743" s="27">
        <f>VLOOKUP(A743,Sheet1!A:AD,30,0)</f>
        <v>82</v>
      </c>
    </row>
    <row r="744" spans="1:12" x14ac:dyDescent="0.3">
      <c r="A744" s="14" t="s">
        <v>1606</v>
      </c>
      <c r="B744" s="19" t="str">
        <f>VLOOKUP(A744,Sheet1!A:E,5,0)</f>
        <v>Brandon Fox</v>
      </c>
      <c r="C744" s="19" t="str">
        <f>VLOOKUP(A744,Sheet1!A:I,9,0)</f>
        <v>Male</v>
      </c>
      <c r="D744" s="19">
        <f>VLOOKUP(A744,Sheet1!A:K,11,0)</f>
        <v>31</v>
      </c>
      <c r="E744" s="19" t="str">
        <f>VLOOKUP(A744,Sheet1!A:M,13,0)</f>
        <v>Australia</v>
      </c>
      <c r="F744" s="19" t="str">
        <f>VLOOKUP(A744,Sheet1!A:N,14,0)</f>
        <v>English</v>
      </c>
      <c r="G744" s="19" t="str">
        <f>VLOOKUP(A744,Sheet1!A:O,15,0)</f>
        <v>AI</v>
      </c>
      <c r="H744" s="19">
        <f>VLOOKUP(A744,Sheet1!A:Q,17,0)</f>
        <v>1</v>
      </c>
      <c r="I744" s="20">
        <f>VLOOKUP(A744,Sheet1!A:V,22,0)</f>
        <v>40</v>
      </c>
      <c r="J744" s="21">
        <f>VLOOKUP(A744,Sheet1!A:X,24,0)</f>
        <v>4.5</v>
      </c>
      <c r="K744" s="19" t="str">
        <f>VLOOKUP(A744,Sheet1!A:AB,28,0)</f>
        <v>No</v>
      </c>
      <c r="L744" s="27">
        <f>VLOOKUP(A744,Sheet1!A:AD,30,0)</f>
        <v>96</v>
      </c>
    </row>
    <row r="745" spans="1:12" x14ac:dyDescent="0.3">
      <c r="A745" s="14" t="s">
        <v>1163</v>
      </c>
      <c r="B745" s="19" t="str">
        <f>VLOOKUP(A745,Sheet1!A:E,5,0)</f>
        <v>Catherine Mccoy</v>
      </c>
      <c r="C745" s="19" t="str">
        <f>VLOOKUP(A745,Sheet1!A:I,9,0)</f>
        <v>Female</v>
      </c>
      <c r="D745" s="19">
        <f>VLOOKUP(A745,Sheet1!A:K,11,0)</f>
        <v>31</v>
      </c>
      <c r="E745" s="19" t="str">
        <f>VLOOKUP(A745,Sheet1!A:M,13,0)</f>
        <v>South Africa</v>
      </c>
      <c r="F745" s="19" t="str">
        <f>VLOOKUP(A745,Sheet1!A:N,14,0)</f>
        <v>Afrikaans</v>
      </c>
      <c r="G745" s="19" t="str">
        <f>VLOOKUP(A745,Sheet1!A:O,15,0)</f>
        <v>UI/UX Design</v>
      </c>
      <c r="H745" s="19">
        <f>VLOOKUP(A745,Sheet1!A:Q,17,0)</f>
        <v>9</v>
      </c>
      <c r="I745" s="20">
        <f>VLOOKUP(A745,Sheet1!A:V,22,0)</f>
        <v>53.297872340425535</v>
      </c>
      <c r="J745" s="21">
        <f>VLOOKUP(A745,Sheet1!A:X,24,0)</f>
        <v>0</v>
      </c>
      <c r="K745" s="19" t="str">
        <f>VLOOKUP(A745,Sheet1!A:AB,28,0)</f>
        <v>No</v>
      </c>
      <c r="L745" s="27">
        <f>VLOOKUP(A745,Sheet1!A:AD,30,0)</f>
        <v>91</v>
      </c>
    </row>
    <row r="746" spans="1:12" x14ac:dyDescent="0.3">
      <c r="A746" s="14" t="s">
        <v>350</v>
      </c>
      <c r="B746" s="19" t="str">
        <f>VLOOKUP(A746,Sheet1!A:E,5,0)</f>
        <v>Clayton Burns</v>
      </c>
      <c r="C746" s="19" t="str">
        <f>VLOOKUP(A746,Sheet1!A:I,9,0)</f>
        <v>Male</v>
      </c>
      <c r="D746" s="19">
        <f>VLOOKUP(A746,Sheet1!A:K,11,0)</f>
        <v>31</v>
      </c>
      <c r="E746" s="19" t="str">
        <f>VLOOKUP(A746,Sheet1!A:M,13,0)</f>
        <v>Egypt</v>
      </c>
      <c r="F746" s="19" t="str">
        <f>VLOOKUP(A746,Sheet1!A:N,14,0)</f>
        <v>Arabic</v>
      </c>
      <c r="G746" s="19" t="str">
        <f>VLOOKUP(A746,Sheet1!A:O,15,0)</f>
        <v>Graphic Design</v>
      </c>
      <c r="H746" s="19">
        <f>VLOOKUP(A746,Sheet1!A:Q,17,0)</f>
        <v>8</v>
      </c>
      <c r="I746" s="20">
        <f>VLOOKUP(A746,Sheet1!A:V,22,0)</f>
        <v>40</v>
      </c>
      <c r="J746" s="21">
        <f>VLOOKUP(A746,Sheet1!A:X,24,0)</f>
        <v>4.4000000000000004</v>
      </c>
      <c r="K746" s="19" t="str">
        <f>VLOOKUP(A746,Sheet1!A:AB,28,0)</f>
        <v>No</v>
      </c>
      <c r="L746" s="27">
        <f>VLOOKUP(A746,Sheet1!A:AD,30,0)</f>
        <v>70</v>
      </c>
    </row>
    <row r="747" spans="1:12" x14ac:dyDescent="0.3">
      <c r="A747" s="14" t="s">
        <v>1062</v>
      </c>
      <c r="B747" s="19" t="str">
        <f>VLOOKUP(A747,Sheet1!A:E,5,0)</f>
        <v>Corey Combs</v>
      </c>
      <c r="C747" s="19" t="str">
        <f>VLOOKUP(A747,Sheet1!A:I,9,0)</f>
        <v>Male</v>
      </c>
      <c r="D747" s="19">
        <f>VLOOKUP(A747,Sheet1!A:K,11,0)</f>
        <v>31</v>
      </c>
      <c r="E747" s="19" t="str">
        <f>VLOOKUP(A747,Sheet1!A:M,13,0)</f>
        <v>Egypt</v>
      </c>
      <c r="F747" s="19" t="str">
        <f>VLOOKUP(A747,Sheet1!A:N,14,0)</f>
        <v>Arabic</v>
      </c>
      <c r="G747" s="19" t="str">
        <f>VLOOKUP(A747,Sheet1!A:O,15,0)</f>
        <v>Mobile Apps</v>
      </c>
      <c r="H747" s="19">
        <f>VLOOKUP(A747,Sheet1!A:Q,17,0)</f>
        <v>2</v>
      </c>
      <c r="I747" s="20">
        <f>VLOOKUP(A747,Sheet1!A:V,22,0)</f>
        <v>75</v>
      </c>
      <c r="J747" s="21">
        <f>VLOOKUP(A747,Sheet1!A:X,24,0)</f>
        <v>2.8</v>
      </c>
      <c r="K747" s="19" t="str">
        <f>VLOOKUP(A747,Sheet1!A:AB,28,0)</f>
        <v>No</v>
      </c>
      <c r="L747" s="27">
        <f>VLOOKUP(A747,Sheet1!A:AD,30,0)</f>
        <v>60</v>
      </c>
    </row>
    <row r="748" spans="1:12" x14ac:dyDescent="0.3">
      <c r="A748" s="14" t="s">
        <v>833</v>
      </c>
      <c r="B748" s="19" t="str">
        <f>VLOOKUP(A748,Sheet1!A:E,5,0)</f>
        <v>Deborah Brown</v>
      </c>
      <c r="C748" s="19" t="str">
        <f>VLOOKUP(A748,Sheet1!A:I,9,0)</f>
        <v>Female</v>
      </c>
      <c r="D748" s="19">
        <f>VLOOKUP(A748,Sheet1!A:K,11,0)</f>
        <v>31</v>
      </c>
      <c r="E748" s="19" t="str">
        <f>VLOOKUP(A748,Sheet1!A:M,13,0)</f>
        <v>Brazil</v>
      </c>
      <c r="F748" s="19" t="str">
        <f>VLOOKUP(A748,Sheet1!A:N,14,0)</f>
        <v>Portuguese</v>
      </c>
      <c r="G748" s="19" t="str">
        <f>VLOOKUP(A748,Sheet1!A:O,15,0)</f>
        <v>Machine Learning</v>
      </c>
      <c r="H748" s="19">
        <f>VLOOKUP(A748,Sheet1!A:Q,17,0)</f>
        <v>3</v>
      </c>
      <c r="I748" s="20">
        <f>VLOOKUP(A748,Sheet1!A:V,22,0)</f>
        <v>20</v>
      </c>
      <c r="J748" s="21">
        <f>VLOOKUP(A748,Sheet1!A:X,24,0)</f>
        <v>2.5583038869257932</v>
      </c>
      <c r="K748" s="19" t="str">
        <f>VLOOKUP(A748,Sheet1!A:AB,28,0)</f>
        <v>No</v>
      </c>
      <c r="L748" s="27">
        <f>VLOOKUP(A748,Sheet1!A:AD,30,0)</f>
        <v>79.476190476190482</v>
      </c>
    </row>
    <row r="749" spans="1:12" x14ac:dyDescent="0.3">
      <c r="A749" s="14" t="s">
        <v>1103</v>
      </c>
      <c r="B749" s="19" t="str">
        <f>VLOOKUP(A749,Sheet1!A:E,5,0)</f>
        <v>Dillon Henry</v>
      </c>
      <c r="C749" s="19" t="str">
        <f>VLOOKUP(A749,Sheet1!A:I,9,0)</f>
        <v>Male</v>
      </c>
      <c r="D749" s="19">
        <f>VLOOKUP(A749,Sheet1!A:K,11,0)</f>
        <v>31</v>
      </c>
      <c r="E749" s="19" t="str">
        <f>VLOOKUP(A749,Sheet1!A:M,13,0)</f>
        <v>Argentina</v>
      </c>
      <c r="F749" s="19" t="str">
        <f>VLOOKUP(A749,Sheet1!A:N,14,0)</f>
        <v>Spanish</v>
      </c>
      <c r="G749" s="19" t="str">
        <f>VLOOKUP(A749,Sheet1!A:O,15,0)</f>
        <v>AI</v>
      </c>
      <c r="H749" s="19">
        <f>VLOOKUP(A749,Sheet1!A:Q,17,0)</f>
        <v>7</v>
      </c>
      <c r="I749" s="20">
        <f>VLOOKUP(A749,Sheet1!A:V,22,0)</f>
        <v>75</v>
      </c>
      <c r="J749" s="21">
        <f>VLOOKUP(A749,Sheet1!A:X,24,0)</f>
        <v>4.4000000000000004</v>
      </c>
      <c r="K749" s="19" t="str">
        <f>VLOOKUP(A749,Sheet1!A:AB,28,0)</f>
        <v>No</v>
      </c>
      <c r="L749" s="27">
        <f>VLOOKUP(A749,Sheet1!A:AD,30,0)</f>
        <v>83</v>
      </c>
    </row>
    <row r="750" spans="1:12" x14ac:dyDescent="0.3">
      <c r="A750" s="14" t="s">
        <v>195</v>
      </c>
      <c r="B750" s="19" t="str">
        <f>VLOOKUP(A750,Sheet1!A:E,5,0)</f>
        <v>Don Scott</v>
      </c>
      <c r="C750" s="19" t="str">
        <f>VLOOKUP(A750,Sheet1!A:I,9,0)</f>
        <v>Male</v>
      </c>
      <c r="D750" s="19">
        <f>VLOOKUP(A750,Sheet1!A:K,11,0)</f>
        <v>31</v>
      </c>
      <c r="E750" s="19" t="str">
        <f>VLOOKUP(A750,Sheet1!A:M,13,0)</f>
        <v>France</v>
      </c>
      <c r="F750" s="19" t="str">
        <f>VLOOKUP(A750,Sheet1!A:N,14,0)</f>
        <v>French</v>
      </c>
      <c r="G750" s="19" t="str">
        <f>VLOOKUP(A750,Sheet1!A:O,15,0)</f>
        <v>Data Analysis</v>
      </c>
      <c r="H750" s="19">
        <f>VLOOKUP(A750,Sheet1!A:Q,17,0)</f>
        <v>8</v>
      </c>
      <c r="I750" s="20">
        <f>VLOOKUP(A750,Sheet1!A:V,22,0)</f>
        <v>50</v>
      </c>
      <c r="J750" s="21">
        <f>VLOOKUP(A750,Sheet1!A:X,24,0)</f>
        <v>3.4</v>
      </c>
      <c r="K750" s="19" t="str">
        <f>VLOOKUP(A750,Sheet1!A:AB,28,0)</f>
        <v>No</v>
      </c>
      <c r="L750" s="27">
        <f>VLOOKUP(A750,Sheet1!A:AD,30,0)</f>
        <v>79.336734693877546</v>
      </c>
    </row>
    <row r="751" spans="1:12" x14ac:dyDescent="0.3">
      <c r="A751" s="14" t="s">
        <v>1237</v>
      </c>
      <c r="B751" s="19" t="str">
        <f>VLOOKUP(A751,Sheet1!A:E,5,0)</f>
        <v>Elizabeth Bowman</v>
      </c>
      <c r="C751" s="19" t="str">
        <f>VLOOKUP(A751,Sheet1!A:I,9,0)</f>
        <v>Female</v>
      </c>
      <c r="D751" s="19">
        <f>VLOOKUP(A751,Sheet1!A:K,11,0)</f>
        <v>31</v>
      </c>
      <c r="E751" s="19" t="str">
        <f>VLOOKUP(A751,Sheet1!A:M,13,0)</f>
        <v>Indonesia</v>
      </c>
      <c r="F751" s="19" t="str">
        <f>VLOOKUP(A751,Sheet1!A:N,14,0)</f>
        <v>Indonesian</v>
      </c>
      <c r="G751" s="19" t="str">
        <f>VLOOKUP(A751,Sheet1!A:O,15,0)</f>
        <v>Mobile Apps</v>
      </c>
      <c r="H751" s="19">
        <f>VLOOKUP(A751,Sheet1!A:Q,17,0)</f>
        <v>2</v>
      </c>
      <c r="I751" s="20">
        <f>VLOOKUP(A751,Sheet1!A:V,22,0)</f>
        <v>40</v>
      </c>
      <c r="J751" s="21">
        <f>VLOOKUP(A751,Sheet1!A:X,24,0)</f>
        <v>2.2999999999999998</v>
      </c>
      <c r="K751" s="19" t="str">
        <f>VLOOKUP(A751,Sheet1!A:AB,28,0)</f>
        <v>No</v>
      </c>
      <c r="L751" s="27">
        <f>VLOOKUP(A751,Sheet1!A:AD,30,0)</f>
        <v>98</v>
      </c>
    </row>
    <row r="752" spans="1:12" x14ac:dyDescent="0.3">
      <c r="A752" s="14" t="s">
        <v>881</v>
      </c>
      <c r="B752" s="19" t="str">
        <f>VLOOKUP(A752,Sheet1!A:E,5,0)</f>
        <v>Elizabeth Estrada</v>
      </c>
      <c r="C752" s="19" t="str">
        <f>VLOOKUP(A752,Sheet1!A:I,9,0)</f>
        <v>Female</v>
      </c>
      <c r="D752" s="19">
        <f>VLOOKUP(A752,Sheet1!A:K,11,0)</f>
        <v>31</v>
      </c>
      <c r="E752" s="19" t="str">
        <f>VLOOKUP(A752,Sheet1!A:M,13,0)</f>
        <v>Germany</v>
      </c>
      <c r="F752" s="19" t="str">
        <f>VLOOKUP(A752,Sheet1!A:N,14,0)</f>
        <v>German</v>
      </c>
      <c r="G752" s="19" t="str">
        <f>VLOOKUP(A752,Sheet1!A:O,15,0)</f>
        <v>UI/UX Design</v>
      </c>
      <c r="H752" s="19">
        <f>VLOOKUP(A752,Sheet1!A:Q,17,0)</f>
        <v>10</v>
      </c>
      <c r="I752" s="20">
        <f>VLOOKUP(A752,Sheet1!A:V,22,0)</f>
        <v>50</v>
      </c>
      <c r="J752" s="21">
        <f>VLOOKUP(A752,Sheet1!A:X,24,0)</f>
        <v>0</v>
      </c>
      <c r="K752" s="19" t="str">
        <f>VLOOKUP(A752,Sheet1!A:AB,28,0)</f>
        <v>No</v>
      </c>
      <c r="L752" s="27">
        <f>VLOOKUP(A752,Sheet1!A:AD,30,0)</f>
        <v>79.487128712871282</v>
      </c>
    </row>
    <row r="753" spans="1:12" x14ac:dyDescent="0.3">
      <c r="A753" s="14" t="s">
        <v>464</v>
      </c>
      <c r="B753" s="19" t="str">
        <f>VLOOKUP(A753,Sheet1!A:E,5,0)</f>
        <v>Elizabeth Jenkins</v>
      </c>
      <c r="C753" s="19" t="str">
        <f>VLOOKUP(A753,Sheet1!A:I,9,0)</f>
        <v>Female</v>
      </c>
      <c r="D753" s="19">
        <f>VLOOKUP(A753,Sheet1!A:K,11,0)</f>
        <v>31</v>
      </c>
      <c r="E753" s="19" t="str">
        <f>VLOOKUP(A753,Sheet1!A:M,13,0)</f>
        <v>Australia</v>
      </c>
      <c r="F753" s="19" t="str">
        <f>VLOOKUP(A753,Sheet1!A:N,14,0)</f>
        <v>English</v>
      </c>
      <c r="G753" s="19" t="str">
        <f>VLOOKUP(A753,Sheet1!A:O,15,0)</f>
        <v>Web Development</v>
      </c>
      <c r="H753" s="19">
        <f>VLOOKUP(A753,Sheet1!A:Q,17,0)</f>
        <v>4</v>
      </c>
      <c r="I753" s="20">
        <f>VLOOKUP(A753,Sheet1!A:V,22,0)</f>
        <v>40</v>
      </c>
      <c r="J753" s="21">
        <f>VLOOKUP(A753,Sheet1!A:X,24,0)</f>
        <v>3.2</v>
      </c>
      <c r="K753" s="19" t="str">
        <f>VLOOKUP(A753,Sheet1!A:AB,28,0)</f>
        <v>Yes</v>
      </c>
      <c r="L753" s="27">
        <f>VLOOKUP(A753,Sheet1!A:AD,30,0)</f>
        <v>78</v>
      </c>
    </row>
    <row r="754" spans="1:12" x14ac:dyDescent="0.3">
      <c r="A754" s="14" t="s">
        <v>1044</v>
      </c>
      <c r="B754" s="19" t="str">
        <f>VLOOKUP(A754,Sheet1!A:E,5,0)</f>
        <v>James Smith</v>
      </c>
      <c r="C754" s="19" t="str">
        <f>VLOOKUP(A754,Sheet1!A:I,9,0)</f>
        <v>Male</v>
      </c>
      <c r="D754" s="19">
        <f>VLOOKUP(A754,Sheet1!A:K,11,0)</f>
        <v>31</v>
      </c>
      <c r="E754" s="19" t="str">
        <f>VLOOKUP(A754,Sheet1!A:M,13,0)</f>
        <v>Indonesia</v>
      </c>
      <c r="F754" s="19" t="str">
        <f>VLOOKUP(A754,Sheet1!A:N,14,0)</f>
        <v>Indonesian</v>
      </c>
      <c r="G754" s="19" t="str">
        <f>VLOOKUP(A754,Sheet1!A:O,15,0)</f>
        <v>Cybersecurity</v>
      </c>
      <c r="H754" s="19">
        <f>VLOOKUP(A754,Sheet1!A:Q,17,0)</f>
        <v>11</v>
      </c>
      <c r="I754" s="20">
        <f>VLOOKUP(A754,Sheet1!A:V,22,0)</f>
        <v>50</v>
      </c>
      <c r="J754" s="21">
        <f>VLOOKUP(A754,Sheet1!A:X,24,0)</f>
        <v>4.3</v>
      </c>
      <c r="K754" s="19" t="str">
        <f>VLOOKUP(A754,Sheet1!A:AB,28,0)</f>
        <v>No</v>
      </c>
      <c r="L754" s="27">
        <f>VLOOKUP(A754,Sheet1!A:AD,30,0)</f>
        <v>62</v>
      </c>
    </row>
    <row r="755" spans="1:12" x14ac:dyDescent="0.3">
      <c r="A755" s="14" t="s">
        <v>442</v>
      </c>
      <c r="B755" s="19" t="str">
        <f>VLOOKUP(A755,Sheet1!A:E,5,0)</f>
        <v>Jeremy Sawyer</v>
      </c>
      <c r="C755" s="19" t="str">
        <f>VLOOKUP(A755,Sheet1!A:I,9,0)</f>
        <v>Male</v>
      </c>
      <c r="D755" s="19">
        <f>VLOOKUP(A755,Sheet1!A:K,11,0)</f>
        <v>31</v>
      </c>
      <c r="E755" s="19" t="str">
        <f>VLOOKUP(A755,Sheet1!A:M,13,0)</f>
        <v>United Kingdom</v>
      </c>
      <c r="F755" s="19" t="str">
        <f>VLOOKUP(A755,Sheet1!A:N,14,0)</f>
        <v>English</v>
      </c>
      <c r="G755" s="19" t="str">
        <f>VLOOKUP(A755,Sheet1!A:O,15,0)</f>
        <v>Data Analysis</v>
      </c>
      <c r="H755" s="19">
        <f>VLOOKUP(A755,Sheet1!A:Q,17,0)</f>
        <v>4</v>
      </c>
      <c r="I755" s="20">
        <f>VLOOKUP(A755,Sheet1!A:V,22,0)</f>
        <v>75</v>
      </c>
      <c r="J755" s="21">
        <f>VLOOKUP(A755,Sheet1!A:X,24,0)</f>
        <v>1.1000000000000001</v>
      </c>
      <c r="K755" s="19" t="str">
        <f>VLOOKUP(A755,Sheet1!A:AB,28,0)</f>
        <v>Yes</v>
      </c>
      <c r="L755" s="27">
        <f>VLOOKUP(A755,Sheet1!A:AD,30,0)</f>
        <v>64</v>
      </c>
    </row>
    <row r="756" spans="1:12" x14ac:dyDescent="0.3">
      <c r="A756" s="14" t="s">
        <v>374</v>
      </c>
      <c r="B756" s="19" t="str">
        <f>VLOOKUP(A756,Sheet1!A:E,5,0)</f>
        <v>Jonathan Garza</v>
      </c>
      <c r="C756" s="19" t="str">
        <f>VLOOKUP(A756,Sheet1!A:I,9,0)</f>
        <v>Male</v>
      </c>
      <c r="D756" s="19">
        <f>VLOOKUP(A756,Sheet1!A:K,11,0)</f>
        <v>31</v>
      </c>
      <c r="E756" s="19" t="str">
        <f>VLOOKUP(A756,Sheet1!A:M,13,0)</f>
        <v>Germany</v>
      </c>
      <c r="F756" s="19" t="str">
        <f>VLOOKUP(A756,Sheet1!A:N,14,0)</f>
        <v>German</v>
      </c>
      <c r="G756" s="19" t="str">
        <f>VLOOKUP(A756,Sheet1!A:O,15,0)</f>
        <v>Cybersecurity</v>
      </c>
      <c r="H756" s="19">
        <f>VLOOKUP(A756,Sheet1!A:Q,17,0)</f>
        <v>11</v>
      </c>
      <c r="I756" s="20">
        <f>VLOOKUP(A756,Sheet1!A:V,22,0)</f>
        <v>50</v>
      </c>
      <c r="J756" s="21">
        <f>VLOOKUP(A756,Sheet1!A:X,24,0)</f>
        <v>3.1</v>
      </c>
      <c r="K756" s="19" t="str">
        <f>VLOOKUP(A756,Sheet1!A:AB,28,0)</f>
        <v>No</v>
      </c>
      <c r="L756" s="27">
        <f>VLOOKUP(A756,Sheet1!A:AD,30,0)</f>
        <v>88</v>
      </c>
    </row>
    <row r="757" spans="1:12" x14ac:dyDescent="0.3">
      <c r="A757" s="14" t="s">
        <v>978</v>
      </c>
      <c r="B757" s="19" t="str">
        <f>VLOOKUP(A757,Sheet1!A:E,5,0)</f>
        <v>Joseph Gonzalez</v>
      </c>
      <c r="C757" s="19" t="str">
        <f>VLOOKUP(A757,Sheet1!A:I,9,0)</f>
        <v>Male</v>
      </c>
      <c r="D757" s="19">
        <f>VLOOKUP(A757,Sheet1!A:K,11,0)</f>
        <v>31</v>
      </c>
      <c r="E757" s="19" t="str">
        <f>VLOOKUP(A757,Sheet1!A:M,13,0)</f>
        <v>China</v>
      </c>
      <c r="F757" s="19" t="str">
        <f>VLOOKUP(A757,Sheet1!A:N,14,0)</f>
        <v>Mandarin</v>
      </c>
      <c r="G757" s="19" t="str">
        <f>VLOOKUP(A757,Sheet1!A:O,15,0)</f>
        <v>Graphic Design</v>
      </c>
      <c r="H757" s="19">
        <f>VLOOKUP(A757,Sheet1!A:Q,17,0)</f>
        <v>5</v>
      </c>
      <c r="I757" s="20">
        <f>VLOOKUP(A757,Sheet1!A:V,22,0)</f>
        <v>53.251473477406677</v>
      </c>
      <c r="J757" s="21">
        <f>VLOOKUP(A757,Sheet1!A:X,24,0)</f>
        <v>2.7</v>
      </c>
      <c r="K757" s="19" t="str">
        <f>VLOOKUP(A757,Sheet1!A:AB,28,0)</f>
        <v>Yes</v>
      </c>
      <c r="L757" s="27">
        <f>VLOOKUP(A757,Sheet1!A:AD,30,0)</f>
        <v>94</v>
      </c>
    </row>
    <row r="758" spans="1:12" x14ac:dyDescent="0.3">
      <c r="A758" s="14" t="s">
        <v>715</v>
      </c>
      <c r="B758" s="19" t="str">
        <f>VLOOKUP(A758,Sheet1!A:E,5,0)</f>
        <v>Lucas Chen</v>
      </c>
      <c r="C758" s="19" t="str">
        <f>VLOOKUP(A758,Sheet1!A:I,9,0)</f>
        <v>Male</v>
      </c>
      <c r="D758" s="19">
        <f>VLOOKUP(A758,Sheet1!A:K,11,0)</f>
        <v>31</v>
      </c>
      <c r="E758" s="19" t="str">
        <f>VLOOKUP(A758,Sheet1!A:M,13,0)</f>
        <v>Netherlands</v>
      </c>
      <c r="F758" s="19" t="str">
        <f>VLOOKUP(A758,Sheet1!A:N,14,0)</f>
        <v>Dutch</v>
      </c>
      <c r="G758" s="19" t="str">
        <f>VLOOKUP(A758,Sheet1!A:O,15,0)</f>
        <v>UI/UX Design</v>
      </c>
      <c r="H758" s="19">
        <f>VLOOKUP(A758,Sheet1!A:Q,17,0)</f>
        <v>2</v>
      </c>
      <c r="I758" s="20">
        <f>VLOOKUP(A758,Sheet1!A:V,22,0)</f>
        <v>50</v>
      </c>
      <c r="J758" s="21">
        <f>VLOOKUP(A758,Sheet1!A:X,24,0)</f>
        <v>3.9</v>
      </c>
      <c r="K758" s="19" t="str">
        <f>VLOOKUP(A758,Sheet1!A:AB,28,0)</f>
        <v>No</v>
      </c>
      <c r="L758" s="27">
        <f>VLOOKUP(A758,Sheet1!A:AD,30,0)</f>
        <v>79.388791593695274</v>
      </c>
    </row>
    <row r="759" spans="1:12" x14ac:dyDescent="0.3">
      <c r="A759" s="14" t="s">
        <v>829</v>
      </c>
      <c r="B759" s="19" t="str">
        <f>VLOOKUP(A759,Sheet1!A:E,5,0)</f>
        <v>Manuel Torres</v>
      </c>
      <c r="C759" s="19" t="str">
        <f>VLOOKUP(A759,Sheet1!A:I,9,0)</f>
        <v>Male</v>
      </c>
      <c r="D759" s="19">
        <f>VLOOKUP(A759,Sheet1!A:K,11,0)</f>
        <v>31</v>
      </c>
      <c r="E759" s="19" t="str">
        <f>VLOOKUP(A759,Sheet1!A:M,13,0)</f>
        <v>Japan</v>
      </c>
      <c r="F759" s="19" t="str">
        <f>VLOOKUP(A759,Sheet1!A:N,14,0)</f>
        <v>Japanese</v>
      </c>
      <c r="G759" s="19" t="str">
        <f>VLOOKUP(A759,Sheet1!A:O,15,0)</f>
        <v>Data Analysis</v>
      </c>
      <c r="H759" s="19">
        <f>VLOOKUP(A759,Sheet1!A:Q,17,0)</f>
        <v>11</v>
      </c>
      <c r="I759" s="20">
        <f>VLOOKUP(A759,Sheet1!A:V,22,0)</f>
        <v>52.85217391304348</v>
      </c>
      <c r="J759" s="21">
        <f>VLOOKUP(A759,Sheet1!A:X,24,0)</f>
        <v>3.3</v>
      </c>
      <c r="K759" s="19" t="str">
        <f>VLOOKUP(A759,Sheet1!A:AB,28,0)</f>
        <v>No</v>
      </c>
      <c r="L759" s="27">
        <f>VLOOKUP(A759,Sheet1!A:AD,30,0)</f>
        <v>79.444866920152094</v>
      </c>
    </row>
    <row r="760" spans="1:12" x14ac:dyDescent="0.3">
      <c r="A760" s="14" t="s">
        <v>1668</v>
      </c>
      <c r="B760" s="19" t="str">
        <f>VLOOKUP(A760,Sheet1!A:E,5,0)</f>
        <v>Mary Hernandez</v>
      </c>
      <c r="C760" s="19" t="str">
        <f>VLOOKUP(A760,Sheet1!A:I,9,0)</f>
        <v>Female</v>
      </c>
      <c r="D760" s="19">
        <f>VLOOKUP(A760,Sheet1!A:K,11,0)</f>
        <v>31</v>
      </c>
      <c r="E760" s="19" t="str">
        <f>VLOOKUP(A760,Sheet1!A:M,13,0)</f>
        <v>Mexico</v>
      </c>
      <c r="F760" s="19" t="str">
        <f>VLOOKUP(A760,Sheet1!A:N,14,0)</f>
        <v>Spanish</v>
      </c>
      <c r="G760" s="19" t="str">
        <f>VLOOKUP(A760,Sheet1!A:O,15,0)</f>
        <v>UI/UX Design</v>
      </c>
      <c r="H760" s="19">
        <f>VLOOKUP(A760,Sheet1!A:Q,17,0)</f>
        <v>6</v>
      </c>
      <c r="I760" s="20">
        <f>VLOOKUP(A760,Sheet1!A:V,22,0)</f>
        <v>52.717948717948715</v>
      </c>
      <c r="J760" s="21">
        <f>VLOOKUP(A760,Sheet1!A:X,24,0)</f>
        <v>3.5</v>
      </c>
      <c r="K760" s="19" t="str">
        <f>VLOOKUP(A760,Sheet1!A:AB,28,0)</f>
        <v>No</v>
      </c>
      <c r="L760" s="27">
        <f>VLOOKUP(A760,Sheet1!A:AD,30,0)</f>
        <v>86</v>
      </c>
    </row>
    <row r="761" spans="1:12" x14ac:dyDescent="0.3">
      <c r="A761" s="14" t="s">
        <v>934</v>
      </c>
      <c r="B761" s="19" t="str">
        <f>VLOOKUP(A761,Sheet1!A:E,5,0)</f>
        <v>Michael Reed</v>
      </c>
      <c r="C761" s="19" t="str">
        <f>VLOOKUP(A761,Sheet1!A:I,9,0)</f>
        <v>Male</v>
      </c>
      <c r="D761" s="19">
        <f>VLOOKUP(A761,Sheet1!A:K,11,0)</f>
        <v>31</v>
      </c>
      <c r="E761" s="19" t="str">
        <f>VLOOKUP(A761,Sheet1!A:M,13,0)</f>
        <v>South Africa</v>
      </c>
      <c r="F761" s="19" t="str">
        <f>VLOOKUP(A761,Sheet1!A:N,14,0)</f>
        <v>Afrikaans</v>
      </c>
      <c r="G761" s="19" t="str">
        <f>VLOOKUP(A761,Sheet1!A:O,15,0)</f>
        <v>DevOps</v>
      </c>
      <c r="H761" s="19">
        <f>VLOOKUP(A761,Sheet1!A:Q,17,0)</f>
        <v>0</v>
      </c>
      <c r="I761" s="20">
        <f>VLOOKUP(A761,Sheet1!A:V,22,0)</f>
        <v>50</v>
      </c>
      <c r="J761" s="21">
        <f>VLOOKUP(A761,Sheet1!A:X,24,0)</f>
        <v>1.1000000000000001</v>
      </c>
      <c r="K761" s="19" t="str">
        <f>VLOOKUP(A761,Sheet1!A:AB,28,0)</f>
        <v>Yes</v>
      </c>
      <c r="L761" s="27">
        <f>VLOOKUP(A761,Sheet1!A:AD,30,0)</f>
        <v>73</v>
      </c>
    </row>
    <row r="762" spans="1:12" x14ac:dyDescent="0.3">
      <c r="A762" s="14" t="s">
        <v>1716</v>
      </c>
      <c r="B762" s="19" t="str">
        <f>VLOOKUP(A762,Sheet1!A:E,5,0)</f>
        <v>Michelle Campbell</v>
      </c>
      <c r="C762" s="19" t="str">
        <f>VLOOKUP(A762,Sheet1!A:I,9,0)</f>
        <v>Female</v>
      </c>
      <c r="D762" s="19">
        <f>VLOOKUP(A762,Sheet1!A:K,11,0)</f>
        <v>31</v>
      </c>
      <c r="E762" s="19" t="str">
        <f>VLOOKUP(A762,Sheet1!A:M,13,0)</f>
        <v>Australia</v>
      </c>
      <c r="F762" s="19" t="str">
        <f>VLOOKUP(A762,Sheet1!A:N,14,0)</f>
        <v>English</v>
      </c>
      <c r="G762" s="19" t="str">
        <f>VLOOKUP(A762,Sheet1!A:O,15,0)</f>
        <v>Mobile Apps</v>
      </c>
      <c r="H762" s="19">
        <f>VLOOKUP(A762,Sheet1!A:Q,17,0)</f>
        <v>0</v>
      </c>
      <c r="I762" s="20">
        <f>VLOOKUP(A762,Sheet1!A:V,22,0)</f>
        <v>30</v>
      </c>
      <c r="J762" s="21">
        <f>VLOOKUP(A762,Sheet1!A:X,24,0)</f>
        <v>2.2999999999999998</v>
      </c>
      <c r="K762" s="19" t="str">
        <f>VLOOKUP(A762,Sheet1!A:AB,28,0)</f>
        <v>No</v>
      </c>
      <c r="L762" s="27">
        <f>VLOOKUP(A762,Sheet1!A:AD,30,0)</f>
        <v>79</v>
      </c>
    </row>
    <row r="763" spans="1:12" x14ac:dyDescent="0.3">
      <c r="A763" s="14" t="s">
        <v>426</v>
      </c>
      <c r="B763" s="19" t="str">
        <f>VLOOKUP(A763,Sheet1!A:E,5,0)</f>
        <v>Robin Acosta</v>
      </c>
      <c r="C763" s="19" t="str">
        <f>VLOOKUP(A763,Sheet1!A:I,9,0)</f>
        <v>Female</v>
      </c>
      <c r="D763" s="19">
        <f>VLOOKUP(A763,Sheet1!A:K,11,0)</f>
        <v>31</v>
      </c>
      <c r="E763" s="19" t="str">
        <f>VLOOKUP(A763,Sheet1!A:M,13,0)</f>
        <v>South Africa</v>
      </c>
      <c r="F763" s="19" t="str">
        <f>VLOOKUP(A763,Sheet1!A:N,14,0)</f>
        <v>Afrikaans</v>
      </c>
      <c r="G763" s="19" t="str">
        <f>VLOOKUP(A763,Sheet1!A:O,15,0)</f>
        <v>Web Development</v>
      </c>
      <c r="H763" s="19">
        <f>VLOOKUP(A763,Sheet1!A:Q,17,0)</f>
        <v>9</v>
      </c>
      <c r="I763" s="20">
        <f>VLOOKUP(A763,Sheet1!A:V,22,0)</f>
        <v>75</v>
      </c>
      <c r="J763" s="21">
        <f>VLOOKUP(A763,Sheet1!A:X,24,0)</f>
        <v>1.3</v>
      </c>
      <c r="K763" s="19" t="str">
        <f>VLOOKUP(A763,Sheet1!A:AB,28,0)</f>
        <v>Yes</v>
      </c>
      <c r="L763" s="27">
        <f>VLOOKUP(A763,Sheet1!A:AD,30,0)</f>
        <v>65</v>
      </c>
    </row>
    <row r="764" spans="1:12" x14ac:dyDescent="0.3">
      <c r="A764" s="14" t="s">
        <v>649</v>
      </c>
      <c r="B764" s="19" t="str">
        <f>VLOOKUP(A764,Sheet1!A:E,5,0)</f>
        <v>Stephanie Fisher</v>
      </c>
      <c r="C764" s="19" t="str">
        <f>VLOOKUP(A764,Sheet1!A:I,9,0)</f>
        <v>Female</v>
      </c>
      <c r="D764" s="19">
        <f>VLOOKUP(A764,Sheet1!A:K,11,0)</f>
        <v>31</v>
      </c>
      <c r="E764" s="19" t="str">
        <f>VLOOKUP(A764,Sheet1!A:M,13,0)</f>
        <v>South Africa</v>
      </c>
      <c r="F764" s="19" t="str">
        <f>VLOOKUP(A764,Sheet1!A:N,14,0)</f>
        <v>Afrikaans</v>
      </c>
      <c r="G764" s="19" t="str">
        <f>VLOOKUP(A764,Sheet1!A:O,15,0)</f>
        <v>UI/UX Design</v>
      </c>
      <c r="H764" s="19">
        <f>VLOOKUP(A764,Sheet1!A:Q,17,0)</f>
        <v>12</v>
      </c>
      <c r="I764" s="20">
        <f>VLOOKUP(A764,Sheet1!A:V,22,0)</f>
        <v>40</v>
      </c>
      <c r="J764" s="21">
        <f>VLOOKUP(A764,Sheet1!A:X,24,0)</f>
        <v>2.5557275541795645</v>
      </c>
      <c r="K764" s="19" t="str">
        <f>VLOOKUP(A764,Sheet1!A:AB,28,0)</f>
        <v>Yes</v>
      </c>
      <c r="L764" s="27">
        <f>VLOOKUP(A764,Sheet1!A:AD,30,0)</f>
        <v>100</v>
      </c>
    </row>
    <row r="765" spans="1:12" x14ac:dyDescent="0.3">
      <c r="A765" s="14" t="s">
        <v>1901</v>
      </c>
      <c r="B765" s="19" t="str">
        <f>VLOOKUP(A765,Sheet1!A:E,5,0)</f>
        <v>Steven Duncan</v>
      </c>
      <c r="C765" s="19" t="str">
        <f>VLOOKUP(A765,Sheet1!A:I,9,0)</f>
        <v>Male</v>
      </c>
      <c r="D765" s="19">
        <f>VLOOKUP(A765,Sheet1!A:K,11,0)</f>
        <v>31</v>
      </c>
      <c r="E765" s="19" t="str">
        <f>VLOOKUP(A765,Sheet1!A:M,13,0)</f>
        <v>Argentina</v>
      </c>
      <c r="F765" s="19" t="str">
        <f>VLOOKUP(A765,Sheet1!A:N,14,0)</f>
        <v>Spanish</v>
      </c>
      <c r="G765" s="19" t="str">
        <f>VLOOKUP(A765,Sheet1!A:O,15,0)</f>
        <v>Machine Learning</v>
      </c>
      <c r="H765" s="19">
        <f>VLOOKUP(A765,Sheet1!A:Q,17,0)</f>
        <v>13</v>
      </c>
      <c r="I765" s="20">
        <f>VLOOKUP(A765,Sheet1!A:V,22,0)</f>
        <v>40</v>
      </c>
      <c r="J765" s="21">
        <f>VLOOKUP(A765,Sheet1!A:X,24,0)</f>
        <v>1.2</v>
      </c>
      <c r="K765" s="19" t="str">
        <f>VLOOKUP(A765,Sheet1!A:AB,28,0)</f>
        <v>No</v>
      </c>
      <c r="L765" s="27">
        <f>VLOOKUP(A765,Sheet1!A:AD,30,0)</f>
        <v>62</v>
      </c>
    </row>
    <row r="766" spans="1:12" x14ac:dyDescent="0.3">
      <c r="A766" s="14" t="s">
        <v>430</v>
      </c>
      <c r="B766" s="19" t="str">
        <f>VLOOKUP(A766,Sheet1!A:E,5,0)</f>
        <v>Susan Baker</v>
      </c>
      <c r="C766" s="19" t="str">
        <f>VLOOKUP(A766,Sheet1!A:I,9,0)</f>
        <v>Female</v>
      </c>
      <c r="D766" s="19">
        <f>VLOOKUP(A766,Sheet1!A:K,11,0)</f>
        <v>31</v>
      </c>
      <c r="E766" s="19" t="str">
        <f>VLOOKUP(A766,Sheet1!A:M,13,0)</f>
        <v>Canada</v>
      </c>
      <c r="F766" s="19" t="str">
        <f>VLOOKUP(A766,Sheet1!A:N,14,0)</f>
        <v>English</v>
      </c>
      <c r="G766" s="19" t="str">
        <f>VLOOKUP(A766,Sheet1!A:O,15,0)</f>
        <v>Web Development</v>
      </c>
      <c r="H766" s="19">
        <f>VLOOKUP(A766,Sheet1!A:Q,17,0)</f>
        <v>10</v>
      </c>
      <c r="I766" s="20">
        <f>VLOOKUP(A766,Sheet1!A:V,22,0)</f>
        <v>75</v>
      </c>
      <c r="J766" s="21">
        <f>VLOOKUP(A766,Sheet1!A:X,24,0)</f>
        <v>0</v>
      </c>
      <c r="K766" s="19" t="str">
        <f>VLOOKUP(A766,Sheet1!A:AB,28,0)</f>
        <v>No</v>
      </c>
      <c r="L766" s="27">
        <f>VLOOKUP(A766,Sheet1!A:AD,30,0)</f>
        <v>70</v>
      </c>
    </row>
    <row r="767" spans="1:12" x14ac:dyDescent="0.3">
      <c r="A767" s="14" t="s">
        <v>456</v>
      </c>
      <c r="B767" s="19" t="str">
        <f>VLOOKUP(A767,Sheet1!A:E,5,0)</f>
        <v>Vanessa White</v>
      </c>
      <c r="C767" s="19" t="str">
        <f>VLOOKUP(A767,Sheet1!A:I,9,0)</f>
        <v>Female</v>
      </c>
      <c r="D767" s="19">
        <f>VLOOKUP(A767,Sheet1!A:K,11,0)</f>
        <v>31</v>
      </c>
      <c r="E767" s="19" t="str">
        <f>VLOOKUP(A767,Sheet1!A:M,13,0)</f>
        <v>Argentina</v>
      </c>
      <c r="F767" s="19" t="str">
        <f>VLOOKUP(A767,Sheet1!A:N,14,0)</f>
        <v>Spanish</v>
      </c>
      <c r="G767" s="19" t="str">
        <f>VLOOKUP(A767,Sheet1!A:O,15,0)</f>
        <v>Mobile Apps</v>
      </c>
      <c r="H767" s="19">
        <f>VLOOKUP(A767,Sheet1!A:Q,17,0)</f>
        <v>12</v>
      </c>
      <c r="I767" s="20">
        <f>VLOOKUP(A767,Sheet1!A:V,22,0)</f>
        <v>20</v>
      </c>
      <c r="J767" s="21">
        <f>VLOOKUP(A767,Sheet1!A:X,24,0)</f>
        <v>2.2999999999999998</v>
      </c>
      <c r="K767" s="19" t="str">
        <f>VLOOKUP(A767,Sheet1!A:AB,28,0)</f>
        <v>No</v>
      </c>
      <c r="L767" s="27">
        <f>VLOOKUP(A767,Sheet1!A:AD,30,0)</f>
        <v>90</v>
      </c>
    </row>
    <row r="768" spans="1:12" x14ac:dyDescent="0.3">
      <c r="A768" s="14" t="s">
        <v>1329</v>
      </c>
      <c r="B768" s="19" t="str">
        <f>VLOOKUP(A768,Sheet1!A:E,5,0)</f>
        <v>Ashley Hammond</v>
      </c>
      <c r="C768" s="19" t="str">
        <f>VLOOKUP(A768,Sheet1!A:I,9,0)</f>
        <v>Female</v>
      </c>
      <c r="D768" s="19">
        <f>VLOOKUP(A768,Sheet1!A:K,11,0)</f>
        <v>30</v>
      </c>
      <c r="E768" s="19" t="str">
        <f>VLOOKUP(A768,Sheet1!A:M,13,0)</f>
        <v>South Africa</v>
      </c>
      <c r="F768" s="19" t="str">
        <f>VLOOKUP(A768,Sheet1!A:N,14,0)</f>
        <v>Afrikaans</v>
      </c>
      <c r="G768" s="19" t="str">
        <f>VLOOKUP(A768,Sheet1!A:O,15,0)</f>
        <v>DevOps</v>
      </c>
      <c r="H768" s="19">
        <f>VLOOKUP(A768,Sheet1!A:Q,17,0)</f>
        <v>7</v>
      </c>
      <c r="I768" s="20">
        <f>VLOOKUP(A768,Sheet1!A:V,22,0)</f>
        <v>30</v>
      </c>
      <c r="J768" s="21">
        <f>VLOOKUP(A768,Sheet1!A:X,24,0)</f>
        <v>3.3</v>
      </c>
      <c r="K768" s="19" t="str">
        <f>VLOOKUP(A768,Sheet1!A:AB,28,0)</f>
        <v>Unknown</v>
      </c>
      <c r="L768" s="27">
        <f>VLOOKUP(A768,Sheet1!A:AD,30,0)</f>
        <v>68</v>
      </c>
    </row>
    <row r="769" spans="1:12" x14ac:dyDescent="0.3">
      <c r="A769" s="14" t="s">
        <v>348</v>
      </c>
      <c r="B769" s="19" t="str">
        <f>VLOOKUP(A769,Sheet1!A:E,5,0)</f>
        <v>Austin Romero</v>
      </c>
      <c r="C769" s="19" t="str">
        <f>VLOOKUP(A769,Sheet1!A:I,9,0)</f>
        <v>Male</v>
      </c>
      <c r="D769" s="19">
        <f>VLOOKUP(A769,Sheet1!A:K,11,0)</f>
        <v>30</v>
      </c>
      <c r="E769" s="19" t="str">
        <f>VLOOKUP(A769,Sheet1!A:M,13,0)</f>
        <v>Brazil</v>
      </c>
      <c r="F769" s="19" t="str">
        <f>VLOOKUP(A769,Sheet1!A:N,14,0)</f>
        <v>Portuguese</v>
      </c>
      <c r="G769" s="19" t="str">
        <f>VLOOKUP(A769,Sheet1!A:O,15,0)</f>
        <v>Mobile Apps</v>
      </c>
      <c r="H769" s="19">
        <f>VLOOKUP(A769,Sheet1!A:Q,17,0)</f>
        <v>10</v>
      </c>
      <c r="I769" s="20">
        <f>VLOOKUP(A769,Sheet1!A:V,22,0)</f>
        <v>100</v>
      </c>
      <c r="J769" s="21">
        <f>VLOOKUP(A769,Sheet1!A:X,24,0)</f>
        <v>1.7</v>
      </c>
      <c r="K769" s="19" t="str">
        <f>VLOOKUP(A769,Sheet1!A:AB,28,0)</f>
        <v>Yes</v>
      </c>
      <c r="L769" s="27">
        <f>VLOOKUP(A769,Sheet1!A:AD,30,0)</f>
        <v>64</v>
      </c>
    </row>
    <row r="770" spans="1:12" x14ac:dyDescent="0.3">
      <c r="A770" s="14" t="s">
        <v>735</v>
      </c>
      <c r="B770" s="19" t="str">
        <f>VLOOKUP(A770,Sheet1!A:E,5,0)</f>
        <v>Christopher Riggs</v>
      </c>
      <c r="C770" s="19" t="str">
        <f>VLOOKUP(A770,Sheet1!A:I,9,0)</f>
        <v>Male</v>
      </c>
      <c r="D770" s="19">
        <f>VLOOKUP(A770,Sheet1!A:K,11,0)</f>
        <v>30</v>
      </c>
      <c r="E770" s="19" t="str">
        <f>VLOOKUP(A770,Sheet1!A:M,13,0)</f>
        <v>South Korea</v>
      </c>
      <c r="F770" s="19" t="str">
        <f>VLOOKUP(A770,Sheet1!A:N,14,0)</f>
        <v>Korean</v>
      </c>
      <c r="G770" s="19" t="str">
        <f>VLOOKUP(A770,Sheet1!A:O,15,0)</f>
        <v>Blockchain Development</v>
      </c>
      <c r="H770" s="19">
        <f>VLOOKUP(A770,Sheet1!A:Q,17,0)</f>
        <v>4</v>
      </c>
      <c r="I770" s="20">
        <f>VLOOKUP(A770,Sheet1!A:V,22,0)</f>
        <v>20</v>
      </c>
      <c r="J770" s="21">
        <f>VLOOKUP(A770,Sheet1!A:X,24,0)</f>
        <v>3.3</v>
      </c>
      <c r="K770" s="19" t="str">
        <f>VLOOKUP(A770,Sheet1!A:AB,28,0)</f>
        <v>No</v>
      </c>
      <c r="L770" s="27">
        <f>VLOOKUP(A770,Sheet1!A:AD,30,0)</f>
        <v>79.400709219858157</v>
      </c>
    </row>
    <row r="771" spans="1:12" x14ac:dyDescent="0.3">
      <c r="A771" s="14" t="s">
        <v>1437</v>
      </c>
      <c r="B771" s="19" t="str">
        <f>VLOOKUP(A771,Sheet1!A:E,5,0)</f>
        <v>Javier Hobbs</v>
      </c>
      <c r="C771" s="19" t="str">
        <f>VLOOKUP(A771,Sheet1!A:I,9,0)</f>
        <v>Male</v>
      </c>
      <c r="D771" s="19">
        <f>VLOOKUP(A771,Sheet1!A:K,11,0)</f>
        <v>30</v>
      </c>
      <c r="E771" s="19" t="str">
        <f>VLOOKUP(A771,Sheet1!A:M,13,0)</f>
        <v>Spain</v>
      </c>
      <c r="F771" s="19" t="str">
        <f>VLOOKUP(A771,Sheet1!A:N,14,0)</f>
        <v>Spanish</v>
      </c>
      <c r="G771" s="19" t="str">
        <f>VLOOKUP(A771,Sheet1!A:O,15,0)</f>
        <v>Graphic Design</v>
      </c>
      <c r="H771" s="19">
        <f>VLOOKUP(A771,Sheet1!A:Q,17,0)</f>
        <v>4</v>
      </c>
      <c r="I771" s="20">
        <f>VLOOKUP(A771,Sheet1!A:V,22,0)</f>
        <v>53.377483443708613</v>
      </c>
      <c r="J771" s="21">
        <f>VLOOKUP(A771,Sheet1!A:X,24,0)</f>
        <v>2.8</v>
      </c>
      <c r="K771" s="19" t="str">
        <f>VLOOKUP(A771,Sheet1!A:AB,28,0)</f>
        <v>Yes</v>
      </c>
      <c r="L771" s="27">
        <f>VLOOKUP(A771,Sheet1!A:AD,30,0)</f>
        <v>71</v>
      </c>
    </row>
    <row r="772" spans="1:12" x14ac:dyDescent="0.3">
      <c r="A772" s="14" t="s">
        <v>1319</v>
      </c>
      <c r="B772" s="19" t="str">
        <f>VLOOKUP(A772,Sheet1!A:E,5,0)</f>
        <v>Jennifer Phillips</v>
      </c>
      <c r="C772" s="19" t="str">
        <f>VLOOKUP(A772,Sheet1!A:I,9,0)</f>
        <v>Female</v>
      </c>
      <c r="D772" s="19">
        <f>VLOOKUP(A772,Sheet1!A:K,11,0)</f>
        <v>30</v>
      </c>
      <c r="E772" s="19" t="str">
        <f>VLOOKUP(A772,Sheet1!A:M,13,0)</f>
        <v>South Korea</v>
      </c>
      <c r="F772" s="19" t="str">
        <f>VLOOKUP(A772,Sheet1!A:N,14,0)</f>
        <v>Korean</v>
      </c>
      <c r="G772" s="19" t="str">
        <f>VLOOKUP(A772,Sheet1!A:O,15,0)</f>
        <v>Web Development</v>
      </c>
      <c r="H772" s="19">
        <f>VLOOKUP(A772,Sheet1!A:Q,17,0)</f>
        <v>0</v>
      </c>
      <c r="I772" s="20">
        <f>VLOOKUP(A772,Sheet1!A:V,22,0)</f>
        <v>54.239436619718312</v>
      </c>
      <c r="J772" s="21">
        <f>VLOOKUP(A772,Sheet1!A:X,24,0)</f>
        <v>0</v>
      </c>
      <c r="K772" s="19" t="str">
        <f>VLOOKUP(A772,Sheet1!A:AB,28,0)</f>
        <v>No</v>
      </c>
      <c r="L772" s="27">
        <f>VLOOKUP(A772,Sheet1!A:AD,30,0)</f>
        <v>79.966153846153844</v>
      </c>
    </row>
    <row r="773" spans="1:12" x14ac:dyDescent="0.3">
      <c r="A773" s="14" t="s">
        <v>1858</v>
      </c>
      <c r="B773" s="19" t="str">
        <f>VLOOKUP(A773,Sheet1!A:E,5,0)</f>
        <v>John Mckinney</v>
      </c>
      <c r="C773" s="19" t="str">
        <f>VLOOKUP(A773,Sheet1!A:I,9,0)</f>
        <v>Male</v>
      </c>
      <c r="D773" s="19">
        <f>VLOOKUP(A773,Sheet1!A:K,11,0)</f>
        <v>30</v>
      </c>
      <c r="E773" s="19" t="str">
        <f>VLOOKUP(A773,Sheet1!A:M,13,0)</f>
        <v>Indonesia</v>
      </c>
      <c r="F773" s="19" t="str">
        <f>VLOOKUP(A773,Sheet1!A:N,14,0)</f>
        <v>Indonesian</v>
      </c>
      <c r="G773" s="19" t="str">
        <f>VLOOKUP(A773,Sheet1!A:O,15,0)</f>
        <v>DevOps</v>
      </c>
      <c r="H773" s="19">
        <f>VLOOKUP(A773,Sheet1!A:Q,17,0)</f>
        <v>3</v>
      </c>
      <c r="I773" s="20">
        <f>VLOOKUP(A773,Sheet1!A:V,22,0)</f>
        <v>100</v>
      </c>
      <c r="J773" s="21">
        <f>VLOOKUP(A773,Sheet1!A:X,24,0)</f>
        <v>4.5</v>
      </c>
      <c r="K773" s="19" t="str">
        <f>VLOOKUP(A773,Sheet1!A:AB,28,0)</f>
        <v>Unknown</v>
      </c>
      <c r="L773" s="27">
        <f>VLOOKUP(A773,Sheet1!A:AD,30,0)</f>
        <v>78</v>
      </c>
    </row>
    <row r="774" spans="1:12" x14ac:dyDescent="0.3">
      <c r="A774" s="14" t="s">
        <v>1732</v>
      </c>
      <c r="B774" s="19" t="str">
        <f>VLOOKUP(A774,Sheet1!A:E,5,0)</f>
        <v>Joshua Bush</v>
      </c>
      <c r="C774" s="19" t="str">
        <f>VLOOKUP(A774,Sheet1!A:I,9,0)</f>
        <v>Male</v>
      </c>
      <c r="D774" s="19">
        <f>VLOOKUP(A774,Sheet1!A:K,11,0)</f>
        <v>30</v>
      </c>
      <c r="E774" s="19" t="str">
        <f>VLOOKUP(A774,Sheet1!A:M,13,0)</f>
        <v>Australia</v>
      </c>
      <c r="F774" s="19" t="str">
        <f>VLOOKUP(A774,Sheet1!A:N,14,0)</f>
        <v>English</v>
      </c>
      <c r="G774" s="19" t="str">
        <f>VLOOKUP(A774,Sheet1!A:O,15,0)</f>
        <v>UI/UX Design</v>
      </c>
      <c r="H774" s="19">
        <f>VLOOKUP(A774,Sheet1!A:Q,17,0)</f>
        <v>11</v>
      </c>
      <c r="I774" s="20">
        <f>VLOOKUP(A774,Sheet1!A:V,22,0)</f>
        <v>30</v>
      </c>
      <c r="J774" s="21">
        <f>VLOOKUP(A774,Sheet1!A:X,24,0)</f>
        <v>4.2</v>
      </c>
      <c r="K774" s="19" t="str">
        <f>VLOOKUP(A774,Sheet1!A:AB,28,0)</f>
        <v>No</v>
      </c>
      <c r="L774" s="27">
        <f>VLOOKUP(A774,Sheet1!A:AD,30,0)</f>
        <v>65</v>
      </c>
    </row>
    <row r="775" spans="1:12" x14ac:dyDescent="0.3">
      <c r="A775" s="14" t="s">
        <v>1173</v>
      </c>
      <c r="B775" s="19" t="str">
        <f>VLOOKUP(A775,Sheet1!A:E,5,0)</f>
        <v>Kenneth Vasquez</v>
      </c>
      <c r="C775" s="19" t="str">
        <f>VLOOKUP(A775,Sheet1!A:I,9,0)</f>
        <v>Male</v>
      </c>
      <c r="D775" s="19">
        <f>VLOOKUP(A775,Sheet1!A:K,11,0)</f>
        <v>30</v>
      </c>
      <c r="E775" s="19" t="str">
        <f>VLOOKUP(A775,Sheet1!A:M,13,0)</f>
        <v>Japan</v>
      </c>
      <c r="F775" s="19" t="str">
        <f>VLOOKUP(A775,Sheet1!A:N,14,0)</f>
        <v>Japanese</v>
      </c>
      <c r="G775" s="19" t="str">
        <f>VLOOKUP(A775,Sheet1!A:O,15,0)</f>
        <v>Blockchain Development</v>
      </c>
      <c r="H775" s="19">
        <f>VLOOKUP(A775,Sheet1!A:Q,17,0)</f>
        <v>5</v>
      </c>
      <c r="I775" s="20">
        <f>VLOOKUP(A775,Sheet1!A:V,22,0)</f>
        <v>30</v>
      </c>
      <c r="J775" s="21">
        <f>VLOOKUP(A775,Sheet1!A:X,24,0)</f>
        <v>4.8</v>
      </c>
      <c r="K775" s="19" t="str">
        <f>VLOOKUP(A775,Sheet1!A:AB,28,0)</f>
        <v>No</v>
      </c>
      <c r="L775" s="27">
        <f>VLOOKUP(A775,Sheet1!A:AD,30,0)</f>
        <v>79.802083333333329</v>
      </c>
    </row>
    <row r="776" spans="1:12" x14ac:dyDescent="0.3">
      <c r="A776" s="14" t="s">
        <v>321</v>
      </c>
      <c r="B776" s="19" t="str">
        <f>VLOOKUP(A776,Sheet1!A:E,5,0)</f>
        <v>Kevin Wong</v>
      </c>
      <c r="C776" s="19" t="str">
        <f>VLOOKUP(A776,Sheet1!A:I,9,0)</f>
        <v>Male</v>
      </c>
      <c r="D776" s="19">
        <f>VLOOKUP(A776,Sheet1!A:K,11,0)</f>
        <v>30</v>
      </c>
      <c r="E776" s="19" t="str">
        <f>VLOOKUP(A776,Sheet1!A:M,13,0)</f>
        <v>Turkey</v>
      </c>
      <c r="F776" s="19" t="str">
        <f>VLOOKUP(A776,Sheet1!A:N,14,0)</f>
        <v>Turkish</v>
      </c>
      <c r="G776" s="19" t="str">
        <f>VLOOKUP(A776,Sheet1!A:O,15,0)</f>
        <v>Mobile Apps</v>
      </c>
      <c r="H776" s="19">
        <f>VLOOKUP(A776,Sheet1!A:Q,17,0)</f>
        <v>3</v>
      </c>
      <c r="I776" s="20">
        <f>VLOOKUP(A776,Sheet1!A:V,22,0)</f>
        <v>30</v>
      </c>
      <c r="J776" s="21">
        <f>VLOOKUP(A776,Sheet1!A:X,24,0)</f>
        <v>1.1000000000000001</v>
      </c>
      <c r="K776" s="19" t="str">
        <f>VLOOKUP(A776,Sheet1!A:AB,28,0)</f>
        <v>Yes</v>
      </c>
      <c r="L776" s="27">
        <f>VLOOKUP(A776,Sheet1!A:AD,30,0)</f>
        <v>79.455163043478265</v>
      </c>
    </row>
    <row r="777" spans="1:12" x14ac:dyDescent="0.3">
      <c r="A777" s="14" t="s">
        <v>509</v>
      </c>
      <c r="B777" s="19" t="str">
        <f>VLOOKUP(A777,Sheet1!A:E,5,0)</f>
        <v>Kristen Knight</v>
      </c>
      <c r="C777" s="19" t="str">
        <f>VLOOKUP(A777,Sheet1!A:I,9,0)</f>
        <v>Female</v>
      </c>
      <c r="D777" s="19">
        <f>VLOOKUP(A777,Sheet1!A:K,11,0)</f>
        <v>30</v>
      </c>
      <c r="E777" s="19" t="str">
        <f>VLOOKUP(A777,Sheet1!A:M,13,0)</f>
        <v>Spain</v>
      </c>
      <c r="F777" s="19" t="str">
        <f>VLOOKUP(A777,Sheet1!A:N,14,0)</f>
        <v>Spanish</v>
      </c>
      <c r="G777" s="19" t="str">
        <f>VLOOKUP(A777,Sheet1!A:O,15,0)</f>
        <v>Blockchain Development</v>
      </c>
      <c r="H777" s="19">
        <f>VLOOKUP(A777,Sheet1!A:Q,17,0)</f>
        <v>11</v>
      </c>
      <c r="I777" s="20">
        <f>VLOOKUP(A777,Sheet1!A:V,22,0)</f>
        <v>40</v>
      </c>
      <c r="J777" s="21">
        <f>VLOOKUP(A777,Sheet1!A:X,24,0)</f>
        <v>1</v>
      </c>
      <c r="K777" s="19" t="str">
        <f>VLOOKUP(A777,Sheet1!A:AB,28,0)</f>
        <v>No</v>
      </c>
      <c r="L777" s="27">
        <f>VLOOKUP(A777,Sheet1!A:AD,30,0)</f>
        <v>90</v>
      </c>
    </row>
    <row r="778" spans="1:12" x14ac:dyDescent="0.3">
      <c r="A778" s="14" t="s">
        <v>1429</v>
      </c>
      <c r="B778" s="19" t="str">
        <f>VLOOKUP(A778,Sheet1!A:E,5,0)</f>
        <v>Laura Evans</v>
      </c>
      <c r="C778" s="19" t="str">
        <f>VLOOKUP(A778,Sheet1!A:I,9,0)</f>
        <v>Female</v>
      </c>
      <c r="D778" s="19">
        <f>VLOOKUP(A778,Sheet1!A:K,11,0)</f>
        <v>30</v>
      </c>
      <c r="E778" s="19" t="str">
        <f>VLOOKUP(A778,Sheet1!A:M,13,0)</f>
        <v>United Kingdom</v>
      </c>
      <c r="F778" s="19" t="str">
        <f>VLOOKUP(A778,Sheet1!A:N,14,0)</f>
        <v>English</v>
      </c>
      <c r="G778" s="19" t="str">
        <f>VLOOKUP(A778,Sheet1!A:O,15,0)</f>
        <v>DevOps</v>
      </c>
      <c r="H778" s="19">
        <f>VLOOKUP(A778,Sheet1!A:Q,17,0)</f>
        <v>8</v>
      </c>
      <c r="I778" s="20">
        <f>VLOOKUP(A778,Sheet1!A:V,22,0)</f>
        <v>100</v>
      </c>
      <c r="J778" s="21">
        <f>VLOOKUP(A778,Sheet1!A:X,24,0)</f>
        <v>1.4</v>
      </c>
      <c r="K778" s="19" t="str">
        <f>VLOOKUP(A778,Sheet1!A:AB,28,0)</f>
        <v>Yes</v>
      </c>
      <c r="L778" s="27">
        <f>VLOOKUP(A778,Sheet1!A:AD,30,0)</f>
        <v>62</v>
      </c>
    </row>
    <row r="779" spans="1:12" x14ac:dyDescent="0.3">
      <c r="A779" s="14" t="s">
        <v>1842</v>
      </c>
      <c r="B779" s="19" t="str">
        <f>VLOOKUP(A779,Sheet1!A:E,5,0)</f>
        <v>Lisa Beard</v>
      </c>
      <c r="C779" s="19" t="str">
        <f>VLOOKUP(A779,Sheet1!A:I,9,0)</f>
        <v>Female</v>
      </c>
      <c r="D779" s="19">
        <f>VLOOKUP(A779,Sheet1!A:K,11,0)</f>
        <v>30</v>
      </c>
      <c r="E779" s="19" t="str">
        <f>VLOOKUP(A779,Sheet1!A:M,13,0)</f>
        <v>India</v>
      </c>
      <c r="F779" s="19" t="str">
        <f>VLOOKUP(A779,Sheet1!A:N,14,0)</f>
        <v>Hindi</v>
      </c>
      <c r="G779" s="19" t="str">
        <f>VLOOKUP(A779,Sheet1!A:O,15,0)</f>
        <v>Mobile Apps</v>
      </c>
      <c r="H779" s="19">
        <f>VLOOKUP(A779,Sheet1!A:Q,17,0)</f>
        <v>6</v>
      </c>
      <c r="I779" s="20">
        <f>VLOOKUP(A779,Sheet1!A:V,22,0)</f>
        <v>75</v>
      </c>
      <c r="J779" s="21">
        <f>VLOOKUP(A779,Sheet1!A:X,24,0)</f>
        <v>0</v>
      </c>
      <c r="K779" s="19" t="str">
        <f>VLOOKUP(A779,Sheet1!A:AB,28,0)</f>
        <v>No</v>
      </c>
      <c r="L779" s="27">
        <f>VLOOKUP(A779,Sheet1!A:AD,30,0)</f>
        <v>80</v>
      </c>
    </row>
    <row r="780" spans="1:12" x14ac:dyDescent="0.3">
      <c r="A780" s="14" t="s">
        <v>1165</v>
      </c>
      <c r="B780" s="19" t="str">
        <f>VLOOKUP(A780,Sheet1!A:E,5,0)</f>
        <v>Maria Benitez</v>
      </c>
      <c r="C780" s="19" t="str">
        <f>VLOOKUP(A780,Sheet1!A:I,9,0)</f>
        <v>Female</v>
      </c>
      <c r="D780" s="19">
        <f>VLOOKUP(A780,Sheet1!A:K,11,0)</f>
        <v>30</v>
      </c>
      <c r="E780" s="19" t="str">
        <f>VLOOKUP(A780,Sheet1!A:M,13,0)</f>
        <v>China</v>
      </c>
      <c r="F780" s="19" t="str">
        <f>VLOOKUP(A780,Sheet1!A:N,14,0)</f>
        <v>Mandarin</v>
      </c>
      <c r="G780" s="19" t="str">
        <f>VLOOKUP(A780,Sheet1!A:O,15,0)</f>
        <v>Mobile Apps</v>
      </c>
      <c r="H780" s="19">
        <f>VLOOKUP(A780,Sheet1!A:Q,17,0)</f>
        <v>9</v>
      </c>
      <c r="I780" s="20">
        <f>VLOOKUP(A780,Sheet1!A:V,22,0)</f>
        <v>30</v>
      </c>
      <c r="J780" s="21">
        <f>VLOOKUP(A780,Sheet1!A:X,24,0)</f>
        <v>3.9</v>
      </c>
      <c r="K780" s="19" t="str">
        <f>VLOOKUP(A780,Sheet1!A:AB,28,0)</f>
        <v>No</v>
      </c>
      <c r="L780" s="27">
        <f>VLOOKUP(A780,Sheet1!A:AD,30,0)</f>
        <v>65</v>
      </c>
    </row>
    <row r="781" spans="1:12" x14ac:dyDescent="0.3">
      <c r="A781" s="14" t="s">
        <v>747</v>
      </c>
      <c r="B781" s="19" t="str">
        <f>VLOOKUP(A781,Sheet1!A:E,5,0)</f>
        <v>Mark Hudson</v>
      </c>
      <c r="C781" s="19" t="str">
        <f>VLOOKUP(A781,Sheet1!A:I,9,0)</f>
        <v>Male</v>
      </c>
      <c r="D781" s="19">
        <f>VLOOKUP(A781,Sheet1!A:K,11,0)</f>
        <v>30</v>
      </c>
      <c r="E781" s="19" t="str">
        <f>VLOOKUP(A781,Sheet1!A:M,13,0)</f>
        <v>Argentina</v>
      </c>
      <c r="F781" s="19" t="str">
        <f>VLOOKUP(A781,Sheet1!A:N,14,0)</f>
        <v>Spanish</v>
      </c>
      <c r="G781" s="19" t="str">
        <f>VLOOKUP(A781,Sheet1!A:O,15,0)</f>
        <v>Web Development</v>
      </c>
      <c r="H781" s="19">
        <f>VLOOKUP(A781,Sheet1!A:Q,17,0)</f>
        <v>1</v>
      </c>
      <c r="I781" s="20">
        <f>VLOOKUP(A781,Sheet1!A:V,22,0)</f>
        <v>40</v>
      </c>
      <c r="J781" s="21">
        <f>VLOOKUP(A781,Sheet1!A:X,24,0)</f>
        <v>1.6</v>
      </c>
      <c r="K781" s="19" t="str">
        <f>VLOOKUP(A781,Sheet1!A:AB,28,0)</f>
        <v>Yes</v>
      </c>
      <c r="L781" s="27">
        <f>VLOOKUP(A781,Sheet1!A:AD,30,0)</f>
        <v>100</v>
      </c>
    </row>
    <row r="782" spans="1:12" x14ac:dyDescent="0.3">
      <c r="A782" s="14" t="s">
        <v>1135</v>
      </c>
      <c r="B782" s="19" t="str">
        <f>VLOOKUP(A782,Sheet1!A:E,5,0)</f>
        <v>Samantha King</v>
      </c>
      <c r="C782" s="19" t="str">
        <f>VLOOKUP(A782,Sheet1!A:I,9,0)</f>
        <v>Female</v>
      </c>
      <c r="D782" s="19">
        <f>VLOOKUP(A782,Sheet1!A:K,11,0)</f>
        <v>30</v>
      </c>
      <c r="E782" s="19" t="str">
        <f>VLOOKUP(A782,Sheet1!A:M,13,0)</f>
        <v>France</v>
      </c>
      <c r="F782" s="19" t="str">
        <f>VLOOKUP(A782,Sheet1!A:N,14,0)</f>
        <v>French</v>
      </c>
      <c r="G782" s="19" t="str">
        <f>VLOOKUP(A782,Sheet1!A:O,15,0)</f>
        <v>DevOps</v>
      </c>
      <c r="H782" s="19">
        <f>VLOOKUP(A782,Sheet1!A:Q,17,0)</f>
        <v>0</v>
      </c>
      <c r="I782" s="20">
        <f>VLOOKUP(A782,Sheet1!A:V,22,0)</f>
        <v>100</v>
      </c>
      <c r="J782" s="21">
        <f>VLOOKUP(A782,Sheet1!A:X,24,0)</f>
        <v>4.0999999999999996</v>
      </c>
      <c r="K782" s="19" t="str">
        <f>VLOOKUP(A782,Sheet1!A:AB,28,0)</f>
        <v>No</v>
      </c>
      <c r="L782" s="27">
        <f>VLOOKUP(A782,Sheet1!A:AD,30,0)</f>
        <v>62</v>
      </c>
    </row>
    <row r="783" spans="1:12" x14ac:dyDescent="0.3">
      <c r="A783" s="14" t="s">
        <v>1774</v>
      </c>
      <c r="B783" s="19" t="str">
        <f>VLOOKUP(A783,Sheet1!A:E,5,0)</f>
        <v>Stephanie Guzman</v>
      </c>
      <c r="C783" s="19" t="str">
        <f>VLOOKUP(A783,Sheet1!A:I,9,0)</f>
        <v>Female</v>
      </c>
      <c r="D783" s="19">
        <f>VLOOKUP(A783,Sheet1!A:K,11,0)</f>
        <v>30</v>
      </c>
      <c r="E783" s="19" t="str">
        <f>VLOOKUP(A783,Sheet1!A:M,13,0)</f>
        <v>Turkey</v>
      </c>
      <c r="F783" s="19" t="str">
        <f>VLOOKUP(A783,Sheet1!A:N,14,0)</f>
        <v>Turkish</v>
      </c>
      <c r="G783" s="19" t="str">
        <f>VLOOKUP(A783,Sheet1!A:O,15,0)</f>
        <v>Blockchain Development</v>
      </c>
      <c r="H783" s="19">
        <f>VLOOKUP(A783,Sheet1!A:Q,17,0)</f>
        <v>5</v>
      </c>
      <c r="I783" s="20">
        <f>VLOOKUP(A783,Sheet1!A:V,22,0)</f>
        <v>30</v>
      </c>
      <c r="J783" s="21">
        <f>VLOOKUP(A783,Sheet1!A:X,24,0)</f>
        <v>2.4218309859154932</v>
      </c>
      <c r="K783" s="19" t="str">
        <f>VLOOKUP(A783,Sheet1!A:AB,28,0)</f>
        <v>No</v>
      </c>
      <c r="L783" s="27">
        <f>VLOOKUP(A783,Sheet1!A:AD,30,0)</f>
        <v>80.038461538461533</v>
      </c>
    </row>
    <row r="784" spans="1:12" x14ac:dyDescent="0.3">
      <c r="A784" s="14" t="s">
        <v>160</v>
      </c>
      <c r="B784" s="19" t="str">
        <f>VLOOKUP(A784,Sheet1!A:E,5,0)</f>
        <v>Amy Harrison</v>
      </c>
      <c r="C784" s="19" t="str">
        <f>VLOOKUP(A784,Sheet1!A:I,9,0)</f>
        <v>Female</v>
      </c>
      <c r="D784" s="19">
        <f>VLOOKUP(A784,Sheet1!A:K,11,0)</f>
        <v>29</v>
      </c>
      <c r="E784" s="19" t="str">
        <f>VLOOKUP(A784,Sheet1!A:M,13,0)</f>
        <v>Netherlands</v>
      </c>
      <c r="F784" s="19" t="str">
        <f>VLOOKUP(A784,Sheet1!A:N,14,0)</f>
        <v>Dutch</v>
      </c>
      <c r="G784" s="19" t="str">
        <f>VLOOKUP(A784,Sheet1!A:O,15,0)</f>
        <v>Graphic Design</v>
      </c>
      <c r="H784" s="19">
        <f>VLOOKUP(A784,Sheet1!A:Q,17,0)</f>
        <v>10</v>
      </c>
      <c r="I784" s="20">
        <f>VLOOKUP(A784,Sheet1!A:V,22,0)</f>
        <v>40</v>
      </c>
      <c r="J784" s="21">
        <f>VLOOKUP(A784,Sheet1!A:X,24,0)</f>
        <v>2.2000000000000002</v>
      </c>
      <c r="K784" s="19" t="str">
        <f>VLOOKUP(A784,Sheet1!A:AB,28,0)</f>
        <v>No</v>
      </c>
      <c r="L784" s="27">
        <f>VLOOKUP(A784,Sheet1!A:AD,30,0)</f>
        <v>67</v>
      </c>
    </row>
    <row r="785" spans="1:12" x14ac:dyDescent="0.3">
      <c r="A785" s="14" t="s">
        <v>1758</v>
      </c>
      <c r="B785" s="19" t="str">
        <f>VLOOKUP(A785,Sheet1!A:E,5,0)</f>
        <v>Brian Bailey</v>
      </c>
      <c r="C785" s="19" t="str">
        <f>VLOOKUP(A785,Sheet1!A:I,9,0)</f>
        <v>Male</v>
      </c>
      <c r="D785" s="19">
        <f>VLOOKUP(A785,Sheet1!A:K,11,0)</f>
        <v>29</v>
      </c>
      <c r="E785" s="19" t="str">
        <f>VLOOKUP(A785,Sheet1!A:M,13,0)</f>
        <v>Germany</v>
      </c>
      <c r="F785" s="19" t="str">
        <f>VLOOKUP(A785,Sheet1!A:N,14,0)</f>
        <v>German</v>
      </c>
      <c r="G785" s="19" t="str">
        <f>VLOOKUP(A785,Sheet1!A:O,15,0)</f>
        <v>AI</v>
      </c>
      <c r="H785" s="19">
        <f>VLOOKUP(A785,Sheet1!A:Q,17,0)</f>
        <v>8</v>
      </c>
      <c r="I785" s="20">
        <f>VLOOKUP(A785,Sheet1!A:V,22,0)</f>
        <v>40</v>
      </c>
      <c r="J785" s="21">
        <f>VLOOKUP(A785,Sheet1!A:X,24,0)</f>
        <v>3.1</v>
      </c>
      <c r="K785" s="19" t="str">
        <f>VLOOKUP(A785,Sheet1!A:AB,28,0)</f>
        <v>No</v>
      </c>
      <c r="L785" s="27">
        <f>VLOOKUP(A785,Sheet1!A:AD,30,0)</f>
        <v>60</v>
      </c>
    </row>
    <row r="786" spans="1:12" x14ac:dyDescent="0.3">
      <c r="A786" s="14" t="s">
        <v>547</v>
      </c>
      <c r="B786" s="19" t="str">
        <f>VLOOKUP(A786,Sheet1!A:E,5,0)</f>
        <v>Chelsea Barber</v>
      </c>
      <c r="C786" s="19" t="str">
        <f>VLOOKUP(A786,Sheet1!A:I,9,0)</f>
        <v>Female</v>
      </c>
      <c r="D786" s="19">
        <f>VLOOKUP(A786,Sheet1!A:K,11,0)</f>
        <v>29</v>
      </c>
      <c r="E786" s="19" t="str">
        <f>VLOOKUP(A786,Sheet1!A:M,13,0)</f>
        <v>Germany</v>
      </c>
      <c r="F786" s="19" t="str">
        <f>VLOOKUP(A786,Sheet1!A:N,14,0)</f>
        <v>German</v>
      </c>
      <c r="G786" s="19" t="str">
        <f>VLOOKUP(A786,Sheet1!A:O,15,0)</f>
        <v>Machine Learning</v>
      </c>
      <c r="H786" s="19">
        <f>VLOOKUP(A786,Sheet1!A:Q,17,0)</f>
        <v>10</v>
      </c>
      <c r="I786" s="20">
        <f>VLOOKUP(A786,Sheet1!A:V,22,0)</f>
        <v>40</v>
      </c>
      <c r="J786" s="21">
        <f>VLOOKUP(A786,Sheet1!A:X,24,0)</f>
        <v>1.2</v>
      </c>
      <c r="K786" s="19" t="str">
        <f>VLOOKUP(A786,Sheet1!A:AB,28,0)</f>
        <v>No</v>
      </c>
      <c r="L786" s="27">
        <f>VLOOKUP(A786,Sheet1!A:AD,30,0)</f>
        <v>78</v>
      </c>
    </row>
    <row r="787" spans="1:12" x14ac:dyDescent="0.3">
      <c r="A787" s="14" t="s">
        <v>444</v>
      </c>
      <c r="B787" s="19" t="str">
        <f>VLOOKUP(A787,Sheet1!A:E,5,0)</f>
        <v>Eduardo Burns</v>
      </c>
      <c r="C787" s="19" t="str">
        <f>VLOOKUP(A787,Sheet1!A:I,9,0)</f>
        <v>Male</v>
      </c>
      <c r="D787" s="19">
        <f>VLOOKUP(A787,Sheet1!A:K,11,0)</f>
        <v>29</v>
      </c>
      <c r="E787" s="19" t="str">
        <f>VLOOKUP(A787,Sheet1!A:M,13,0)</f>
        <v>Brazil</v>
      </c>
      <c r="F787" s="19" t="str">
        <f>VLOOKUP(A787,Sheet1!A:N,14,0)</f>
        <v>Portuguese</v>
      </c>
      <c r="G787" s="19" t="str">
        <f>VLOOKUP(A787,Sheet1!A:O,15,0)</f>
        <v>UI/UX Design</v>
      </c>
      <c r="H787" s="19">
        <f>VLOOKUP(A787,Sheet1!A:Q,17,0)</f>
        <v>9</v>
      </c>
      <c r="I787" s="20">
        <f>VLOOKUP(A787,Sheet1!A:V,22,0)</f>
        <v>20</v>
      </c>
      <c r="J787" s="21">
        <f>VLOOKUP(A787,Sheet1!A:X,24,0)</f>
        <v>2.5522972972972959</v>
      </c>
      <c r="K787" s="19" t="str">
        <f>VLOOKUP(A787,Sheet1!A:AB,28,0)</f>
        <v>Unknown</v>
      </c>
      <c r="L787" s="27">
        <f>VLOOKUP(A787,Sheet1!A:AD,30,0)</f>
        <v>68</v>
      </c>
    </row>
    <row r="788" spans="1:12" x14ac:dyDescent="0.3">
      <c r="A788" s="14" t="s">
        <v>1427</v>
      </c>
      <c r="B788" s="19" t="str">
        <f>VLOOKUP(A788,Sheet1!A:E,5,0)</f>
        <v>Elizabeth Phillips</v>
      </c>
      <c r="C788" s="19" t="str">
        <f>VLOOKUP(A788,Sheet1!A:I,9,0)</f>
        <v>Female</v>
      </c>
      <c r="D788" s="19">
        <f>VLOOKUP(A788,Sheet1!A:K,11,0)</f>
        <v>29</v>
      </c>
      <c r="E788" s="19" t="str">
        <f>VLOOKUP(A788,Sheet1!A:M,13,0)</f>
        <v>Mexico</v>
      </c>
      <c r="F788" s="19" t="str">
        <f>VLOOKUP(A788,Sheet1!A:N,14,0)</f>
        <v>Spanish</v>
      </c>
      <c r="G788" s="19" t="str">
        <f>VLOOKUP(A788,Sheet1!A:O,15,0)</f>
        <v>AI</v>
      </c>
      <c r="H788" s="19">
        <f>VLOOKUP(A788,Sheet1!A:Q,17,0)</f>
        <v>10</v>
      </c>
      <c r="I788" s="20">
        <f>VLOOKUP(A788,Sheet1!A:V,22,0)</f>
        <v>53.442622950819676</v>
      </c>
      <c r="J788" s="21">
        <f>VLOOKUP(A788,Sheet1!A:X,24,0)</f>
        <v>4.4000000000000004</v>
      </c>
      <c r="K788" s="19" t="str">
        <f>VLOOKUP(A788,Sheet1!A:AB,28,0)</f>
        <v>Yes</v>
      </c>
      <c r="L788" s="27">
        <f>VLOOKUP(A788,Sheet1!A:AD,30,0)</f>
        <v>67</v>
      </c>
    </row>
    <row r="789" spans="1:12" x14ac:dyDescent="0.3">
      <c r="A789" s="14" t="s">
        <v>1435</v>
      </c>
      <c r="B789" s="19" t="str">
        <f>VLOOKUP(A789,Sheet1!A:E,5,0)</f>
        <v>Eric Johnson</v>
      </c>
      <c r="C789" s="19" t="str">
        <f>VLOOKUP(A789,Sheet1!A:I,9,0)</f>
        <v>Male</v>
      </c>
      <c r="D789" s="19">
        <f>VLOOKUP(A789,Sheet1!A:K,11,0)</f>
        <v>29</v>
      </c>
      <c r="E789" s="19" t="str">
        <f>VLOOKUP(A789,Sheet1!A:M,13,0)</f>
        <v>South Korea</v>
      </c>
      <c r="F789" s="19" t="str">
        <f>VLOOKUP(A789,Sheet1!A:N,14,0)</f>
        <v>Korean</v>
      </c>
      <c r="G789" s="19" t="str">
        <f>VLOOKUP(A789,Sheet1!A:O,15,0)</f>
        <v>Blockchain Development</v>
      </c>
      <c r="H789" s="19">
        <f>VLOOKUP(A789,Sheet1!A:Q,17,0)</f>
        <v>0</v>
      </c>
      <c r="I789" s="20">
        <f>VLOOKUP(A789,Sheet1!A:V,22,0)</f>
        <v>75</v>
      </c>
      <c r="J789" s="21">
        <f>VLOOKUP(A789,Sheet1!A:X,24,0)</f>
        <v>1.5</v>
      </c>
      <c r="K789" s="19" t="str">
        <f>VLOOKUP(A789,Sheet1!A:AB,28,0)</f>
        <v>Yes</v>
      </c>
      <c r="L789" s="27">
        <f>VLOOKUP(A789,Sheet1!A:AD,30,0)</f>
        <v>64</v>
      </c>
    </row>
    <row r="790" spans="1:12" x14ac:dyDescent="0.3">
      <c r="A790" s="14" t="s">
        <v>1451</v>
      </c>
      <c r="B790" s="19" t="str">
        <f>VLOOKUP(A790,Sheet1!A:E,5,0)</f>
        <v>Hannah Sanders</v>
      </c>
      <c r="C790" s="19" t="str">
        <f>VLOOKUP(A790,Sheet1!A:I,9,0)</f>
        <v>Female</v>
      </c>
      <c r="D790" s="19">
        <f>VLOOKUP(A790,Sheet1!A:K,11,0)</f>
        <v>29</v>
      </c>
      <c r="E790" s="19" t="str">
        <f>VLOOKUP(A790,Sheet1!A:M,13,0)</f>
        <v>South Korea</v>
      </c>
      <c r="F790" s="19" t="str">
        <f>VLOOKUP(A790,Sheet1!A:N,14,0)</f>
        <v>Korean</v>
      </c>
      <c r="G790" s="19" t="str">
        <f>VLOOKUP(A790,Sheet1!A:O,15,0)</f>
        <v>Graphic Design</v>
      </c>
      <c r="H790" s="19">
        <f>VLOOKUP(A790,Sheet1!A:Q,17,0)</f>
        <v>0</v>
      </c>
      <c r="I790" s="20">
        <f>VLOOKUP(A790,Sheet1!A:V,22,0)</f>
        <v>20</v>
      </c>
      <c r="J790" s="21">
        <f>VLOOKUP(A790,Sheet1!A:X,24,0)</f>
        <v>2.57872340425532</v>
      </c>
      <c r="K790" s="19" t="str">
        <f>VLOOKUP(A790,Sheet1!A:AB,28,0)</f>
        <v>Yes</v>
      </c>
      <c r="L790" s="27">
        <f>VLOOKUP(A790,Sheet1!A:AD,30,0)</f>
        <v>99</v>
      </c>
    </row>
    <row r="791" spans="1:12" x14ac:dyDescent="0.3">
      <c r="A791" s="14" t="s">
        <v>1636</v>
      </c>
      <c r="B791" s="19" t="str">
        <f>VLOOKUP(A791,Sheet1!A:E,5,0)</f>
        <v>Jacqueline Moon</v>
      </c>
      <c r="C791" s="19" t="str">
        <f>VLOOKUP(A791,Sheet1!A:I,9,0)</f>
        <v>Female</v>
      </c>
      <c r="D791" s="19">
        <f>VLOOKUP(A791,Sheet1!A:K,11,0)</f>
        <v>29</v>
      </c>
      <c r="E791" s="19" t="str">
        <f>VLOOKUP(A791,Sheet1!A:M,13,0)</f>
        <v>South Africa</v>
      </c>
      <c r="F791" s="19" t="str">
        <f>VLOOKUP(A791,Sheet1!A:N,14,0)</f>
        <v>Afrikaans</v>
      </c>
      <c r="G791" s="19" t="str">
        <f>VLOOKUP(A791,Sheet1!A:O,15,0)</f>
        <v>Mobile Apps</v>
      </c>
      <c r="H791" s="19">
        <f>VLOOKUP(A791,Sheet1!A:Q,17,0)</f>
        <v>8</v>
      </c>
      <c r="I791" s="20">
        <f>VLOOKUP(A791,Sheet1!A:V,22,0)</f>
        <v>50</v>
      </c>
      <c r="J791" s="21">
        <f>VLOOKUP(A791,Sheet1!A:X,24,0)</f>
        <v>0</v>
      </c>
      <c r="K791" s="19" t="str">
        <f>VLOOKUP(A791,Sheet1!A:AB,28,0)</f>
        <v>No</v>
      </c>
      <c r="L791" s="27">
        <f>VLOOKUP(A791,Sheet1!A:AD,30,0)</f>
        <v>77</v>
      </c>
    </row>
    <row r="792" spans="1:12" x14ac:dyDescent="0.3">
      <c r="A792" s="14" t="s">
        <v>1006</v>
      </c>
      <c r="B792" s="19" t="str">
        <f>VLOOKUP(A792,Sheet1!A:E,5,0)</f>
        <v>James Moore</v>
      </c>
      <c r="C792" s="19" t="str">
        <f>VLOOKUP(A792,Sheet1!A:I,9,0)</f>
        <v>Male</v>
      </c>
      <c r="D792" s="19">
        <f>VLOOKUP(A792,Sheet1!A:K,11,0)</f>
        <v>29</v>
      </c>
      <c r="E792" s="19" t="str">
        <f>VLOOKUP(A792,Sheet1!A:M,13,0)</f>
        <v>United States</v>
      </c>
      <c r="F792" s="19" t="str">
        <f>VLOOKUP(A792,Sheet1!A:N,14,0)</f>
        <v>English</v>
      </c>
      <c r="G792" s="19" t="str">
        <f>VLOOKUP(A792,Sheet1!A:O,15,0)</f>
        <v>Graphic Design</v>
      </c>
      <c r="H792" s="19">
        <f>VLOOKUP(A792,Sheet1!A:Q,17,0)</f>
        <v>3</v>
      </c>
      <c r="I792" s="20">
        <f>VLOOKUP(A792,Sheet1!A:V,22,0)</f>
        <v>75</v>
      </c>
      <c r="J792" s="21">
        <f>VLOOKUP(A792,Sheet1!A:X,24,0)</f>
        <v>2</v>
      </c>
      <c r="K792" s="19" t="str">
        <f>VLOOKUP(A792,Sheet1!A:AB,28,0)</f>
        <v>No</v>
      </c>
      <c r="L792" s="27">
        <f>VLOOKUP(A792,Sheet1!A:AD,30,0)</f>
        <v>79.325221238938056</v>
      </c>
    </row>
    <row r="793" spans="1:12" x14ac:dyDescent="0.3">
      <c r="A793" s="14" t="s">
        <v>1482</v>
      </c>
      <c r="B793" s="19" t="str">
        <f>VLOOKUP(A793,Sheet1!A:E,5,0)</f>
        <v>Jason Phillips</v>
      </c>
      <c r="C793" s="19" t="str">
        <f>VLOOKUP(A793,Sheet1!A:I,9,0)</f>
        <v>Male</v>
      </c>
      <c r="D793" s="19">
        <f>VLOOKUP(A793,Sheet1!A:K,11,0)</f>
        <v>29</v>
      </c>
      <c r="E793" s="19" t="str">
        <f>VLOOKUP(A793,Sheet1!A:M,13,0)</f>
        <v>Spain</v>
      </c>
      <c r="F793" s="19" t="str">
        <f>VLOOKUP(A793,Sheet1!A:N,14,0)</f>
        <v>Spanish</v>
      </c>
      <c r="G793" s="19" t="str">
        <f>VLOOKUP(A793,Sheet1!A:O,15,0)</f>
        <v>Graphic Design</v>
      </c>
      <c r="H793" s="19">
        <f>VLOOKUP(A793,Sheet1!A:Q,17,0)</f>
        <v>3</v>
      </c>
      <c r="I793" s="20">
        <f>VLOOKUP(A793,Sheet1!A:V,22,0)</f>
        <v>20</v>
      </c>
      <c r="J793" s="21">
        <f>VLOOKUP(A793,Sheet1!A:X,24,0)</f>
        <v>0</v>
      </c>
      <c r="K793" s="19" t="str">
        <f>VLOOKUP(A793,Sheet1!A:AB,28,0)</f>
        <v>No</v>
      </c>
      <c r="L793" s="27">
        <f>VLOOKUP(A793,Sheet1!A:AD,30,0)</f>
        <v>90</v>
      </c>
    </row>
    <row r="794" spans="1:12" x14ac:dyDescent="0.3">
      <c r="A794" s="14" t="s">
        <v>2028</v>
      </c>
      <c r="B794" s="19" t="str">
        <f>VLOOKUP(A794,Sheet1!A:E,5,0)</f>
        <v>Jay Bush</v>
      </c>
      <c r="C794" s="19" t="str">
        <f>VLOOKUP(A794,Sheet1!A:I,9,0)</f>
        <v>Male</v>
      </c>
      <c r="D794" s="19">
        <f>VLOOKUP(A794,Sheet1!A:K,11,0)</f>
        <v>29</v>
      </c>
      <c r="E794" s="19" t="str">
        <f>VLOOKUP(A794,Sheet1!A:M,13,0)</f>
        <v>France</v>
      </c>
      <c r="F794" s="19" t="str">
        <f>VLOOKUP(A794,Sheet1!A:N,14,0)</f>
        <v>French</v>
      </c>
      <c r="G794" s="19" t="str">
        <f>VLOOKUP(A794,Sheet1!A:O,15,0)</f>
        <v>Mobile Apps</v>
      </c>
      <c r="H794" s="19">
        <f>VLOOKUP(A794,Sheet1!A:Q,17,0)</f>
        <v>3</v>
      </c>
      <c r="I794" s="20">
        <f>VLOOKUP(A794,Sheet1!A:V,22,0)</f>
        <v>40</v>
      </c>
      <c r="J794" s="21">
        <f>VLOOKUP(A794,Sheet1!A:X,24,0)</f>
        <v>0</v>
      </c>
      <c r="K794" s="19" t="str">
        <f>VLOOKUP(A794,Sheet1!A:AB,28,0)</f>
        <v>Yes</v>
      </c>
      <c r="L794" s="27">
        <f>VLOOKUP(A794,Sheet1!A:AD,30,0)</f>
        <v>81</v>
      </c>
    </row>
    <row r="795" spans="1:12" x14ac:dyDescent="0.3">
      <c r="A795" s="14" t="s">
        <v>202</v>
      </c>
      <c r="B795" s="19" t="str">
        <f>VLOOKUP(A795,Sheet1!A:E,5,0)</f>
        <v>Jennifer Mcintyre</v>
      </c>
      <c r="C795" s="19" t="str">
        <f>VLOOKUP(A795,Sheet1!A:I,9,0)</f>
        <v>Female</v>
      </c>
      <c r="D795" s="19">
        <f>VLOOKUP(A795,Sheet1!A:K,11,0)</f>
        <v>29</v>
      </c>
      <c r="E795" s="19" t="str">
        <f>VLOOKUP(A795,Sheet1!A:M,13,0)</f>
        <v>Turkey</v>
      </c>
      <c r="F795" s="19" t="str">
        <f>VLOOKUP(A795,Sheet1!A:N,14,0)</f>
        <v>Turkish</v>
      </c>
      <c r="G795" s="19" t="str">
        <f>VLOOKUP(A795,Sheet1!A:O,15,0)</f>
        <v>Cybersecurity</v>
      </c>
      <c r="H795" s="19">
        <f>VLOOKUP(A795,Sheet1!A:Q,17,0)</f>
        <v>11</v>
      </c>
      <c r="I795" s="20">
        <f>VLOOKUP(A795,Sheet1!A:V,22,0)</f>
        <v>100</v>
      </c>
      <c r="J795" s="21">
        <f>VLOOKUP(A795,Sheet1!A:X,24,0)</f>
        <v>2.2999999999999998</v>
      </c>
      <c r="K795" s="19" t="str">
        <f>VLOOKUP(A795,Sheet1!A:AB,28,0)</f>
        <v>Yes</v>
      </c>
      <c r="L795" s="27">
        <f>VLOOKUP(A795,Sheet1!A:AD,30,0)</f>
        <v>72</v>
      </c>
    </row>
    <row r="796" spans="1:12" x14ac:dyDescent="0.3">
      <c r="A796" s="14" t="s">
        <v>334</v>
      </c>
      <c r="B796" s="19" t="str">
        <f>VLOOKUP(A796,Sheet1!A:E,5,0)</f>
        <v>Jesse Campbell</v>
      </c>
      <c r="C796" s="19" t="str">
        <f>VLOOKUP(A796,Sheet1!A:I,9,0)</f>
        <v>Male</v>
      </c>
      <c r="D796" s="19">
        <f>VLOOKUP(A796,Sheet1!A:K,11,0)</f>
        <v>29</v>
      </c>
      <c r="E796" s="19" t="str">
        <f>VLOOKUP(A796,Sheet1!A:M,13,0)</f>
        <v>South Korea</v>
      </c>
      <c r="F796" s="19" t="str">
        <f>VLOOKUP(A796,Sheet1!A:N,14,0)</f>
        <v>Korean</v>
      </c>
      <c r="G796" s="19" t="str">
        <f>VLOOKUP(A796,Sheet1!A:O,15,0)</f>
        <v>Data Analysis</v>
      </c>
      <c r="H796" s="19">
        <f>VLOOKUP(A796,Sheet1!A:Q,17,0)</f>
        <v>4</v>
      </c>
      <c r="I796" s="20">
        <f>VLOOKUP(A796,Sheet1!A:V,22,0)</f>
        <v>30</v>
      </c>
      <c r="J796" s="21">
        <f>VLOOKUP(A796,Sheet1!A:X,24,0)</f>
        <v>0</v>
      </c>
      <c r="K796" s="19" t="str">
        <f>VLOOKUP(A796,Sheet1!A:AB,28,0)</f>
        <v>Yes</v>
      </c>
      <c r="L796" s="27">
        <f>VLOOKUP(A796,Sheet1!A:AD,30,0)</f>
        <v>82</v>
      </c>
    </row>
    <row r="797" spans="1:12" x14ac:dyDescent="0.3">
      <c r="A797" s="14" t="s">
        <v>1477</v>
      </c>
      <c r="B797" s="19" t="str">
        <f>VLOOKUP(A797,Sheet1!A:E,5,0)</f>
        <v>Karen Scott</v>
      </c>
      <c r="C797" s="19" t="str">
        <f>VLOOKUP(A797,Sheet1!A:I,9,0)</f>
        <v>Female</v>
      </c>
      <c r="D797" s="19">
        <f>VLOOKUP(A797,Sheet1!A:K,11,0)</f>
        <v>29</v>
      </c>
      <c r="E797" s="19" t="str">
        <f>VLOOKUP(A797,Sheet1!A:M,13,0)</f>
        <v>Germany</v>
      </c>
      <c r="F797" s="19" t="str">
        <f>VLOOKUP(A797,Sheet1!A:N,14,0)</f>
        <v>German</v>
      </c>
      <c r="G797" s="19" t="str">
        <f>VLOOKUP(A797,Sheet1!A:O,15,0)</f>
        <v>Data Analysis</v>
      </c>
      <c r="H797" s="19">
        <f>VLOOKUP(A797,Sheet1!A:Q,17,0)</f>
        <v>6</v>
      </c>
      <c r="I797" s="20">
        <f>VLOOKUP(A797,Sheet1!A:V,22,0)</f>
        <v>100</v>
      </c>
      <c r="J797" s="21">
        <f>VLOOKUP(A797,Sheet1!A:X,24,0)</f>
        <v>1.8</v>
      </c>
      <c r="K797" s="19" t="str">
        <f>VLOOKUP(A797,Sheet1!A:AB,28,0)</f>
        <v>No</v>
      </c>
      <c r="L797" s="27">
        <f>VLOOKUP(A797,Sheet1!A:AD,30,0)</f>
        <v>80.112840466926073</v>
      </c>
    </row>
    <row r="798" spans="1:12" x14ac:dyDescent="0.3">
      <c r="A798" s="14" t="s">
        <v>191</v>
      </c>
      <c r="B798" s="19" t="str">
        <f>VLOOKUP(A798,Sheet1!A:E,5,0)</f>
        <v>Lance Griffin</v>
      </c>
      <c r="C798" s="19" t="str">
        <f>VLOOKUP(A798,Sheet1!A:I,9,0)</f>
        <v>Male</v>
      </c>
      <c r="D798" s="19">
        <f>VLOOKUP(A798,Sheet1!A:K,11,0)</f>
        <v>29</v>
      </c>
      <c r="E798" s="19" t="str">
        <f>VLOOKUP(A798,Sheet1!A:M,13,0)</f>
        <v>Netherlands</v>
      </c>
      <c r="F798" s="19" t="str">
        <f>VLOOKUP(A798,Sheet1!A:N,14,0)</f>
        <v>Dutch</v>
      </c>
      <c r="G798" s="19" t="str">
        <f>VLOOKUP(A798,Sheet1!A:O,15,0)</f>
        <v>UI/UX Design</v>
      </c>
      <c r="H798" s="19">
        <f>VLOOKUP(A798,Sheet1!A:Q,17,0)</f>
        <v>1</v>
      </c>
      <c r="I798" s="20">
        <f>VLOOKUP(A798,Sheet1!A:V,22,0)</f>
        <v>20</v>
      </c>
      <c r="J798" s="21">
        <f>VLOOKUP(A798,Sheet1!A:X,24,0)</f>
        <v>1.4</v>
      </c>
      <c r="K798" s="19" t="str">
        <f>VLOOKUP(A798,Sheet1!A:AB,28,0)</f>
        <v>Yes</v>
      </c>
      <c r="L798" s="27">
        <f>VLOOKUP(A798,Sheet1!A:AD,30,0)</f>
        <v>63</v>
      </c>
    </row>
    <row r="799" spans="1:12" x14ac:dyDescent="0.3">
      <c r="A799" s="14" t="s">
        <v>573</v>
      </c>
      <c r="B799" s="19" t="str">
        <f>VLOOKUP(A799,Sheet1!A:E,5,0)</f>
        <v>Mark Cummings</v>
      </c>
      <c r="C799" s="19" t="str">
        <f>VLOOKUP(A799,Sheet1!A:I,9,0)</f>
        <v>Male</v>
      </c>
      <c r="D799" s="19">
        <f>VLOOKUP(A799,Sheet1!A:K,11,0)</f>
        <v>29</v>
      </c>
      <c r="E799" s="19" t="str">
        <f>VLOOKUP(A799,Sheet1!A:M,13,0)</f>
        <v>United States</v>
      </c>
      <c r="F799" s="19" t="str">
        <f>VLOOKUP(A799,Sheet1!A:N,14,0)</f>
        <v>English</v>
      </c>
      <c r="G799" s="19" t="str">
        <f>VLOOKUP(A799,Sheet1!A:O,15,0)</f>
        <v>Web Development</v>
      </c>
      <c r="H799" s="19">
        <f>VLOOKUP(A799,Sheet1!A:Q,17,0)</f>
        <v>4</v>
      </c>
      <c r="I799" s="20">
        <f>VLOOKUP(A799,Sheet1!A:V,22,0)</f>
        <v>50</v>
      </c>
      <c r="J799" s="21">
        <f>VLOOKUP(A799,Sheet1!A:X,24,0)</f>
        <v>4</v>
      </c>
      <c r="K799" s="19" t="str">
        <f>VLOOKUP(A799,Sheet1!A:AB,28,0)</f>
        <v>No</v>
      </c>
      <c r="L799" s="27">
        <f>VLOOKUP(A799,Sheet1!A:AD,30,0)</f>
        <v>79.655063291139243</v>
      </c>
    </row>
    <row r="800" spans="1:12" x14ac:dyDescent="0.3">
      <c r="A800" s="14" t="s">
        <v>1816</v>
      </c>
      <c r="B800" s="19" t="str">
        <f>VLOOKUP(A800,Sheet1!A:E,5,0)</f>
        <v>Marvin Woods</v>
      </c>
      <c r="C800" s="19" t="str">
        <f>VLOOKUP(A800,Sheet1!A:I,9,0)</f>
        <v>Male</v>
      </c>
      <c r="D800" s="19">
        <f>VLOOKUP(A800,Sheet1!A:K,11,0)</f>
        <v>29</v>
      </c>
      <c r="E800" s="19" t="str">
        <f>VLOOKUP(A800,Sheet1!A:M,13,0)</f>
        <v>China</v>
      </c>
      <c r="F800" s="19" t="str">
        <f>VLOOKUP(A800,Sheet1!A:N,14,0)</f>
        <v>Mandarin</v>
      </c>
      <c r="G800" s="19" t="str">
        <f>VLOOKUP(A800,Sheet1!A:O,15,0)</f>
        <v>DevOps</v>
      </c>
      <c r="H800" s="19">
        <f>VLOOKUP(A800,Sheet1!A:Q,17,0)</f>
        <v>0</v>
      </c>
      <c r="I800" s="20">
        <f>VLOOKUP(A800,Sheet1!A:V,22,0)</f>
        <v>30</v>
      </c>
      <c r="J800" s="21">
        <f>VLOOKUP(A800,Sheet1!A:X,24,0)</f>
        <v>0</v>
      </c>
      <c r="K800" s="19" t="str">
        <f>VLOOKUP(A800,Sheet1!A:AB,28,0)</f>
        <v>No</v>
      </c>
      <c r="L800" s="27">
        <f>VLOOKUP(A800,Sheet1!A:AD,30,0)</f>
        <v>63</v>
      </c>
    </row>
    <row r="801" spans="1:12" x14ac:dyDescent="0.3">
      <c r="A801" s="14" t="s">
        <v>398</v>
      </c>
      <c r="B801" s="19" t="str">
        <f>VLOOKUP(A801,Sheet1!A:E,5,0)</f>
        <v>Patrick Malone</v>
      </c>
      <c r="C801" s="19" t="str">
        <f>VLOOKUP(A801,Sheet1!A:I,9,0)</f>
        <v>Male</v>
      </c>
      <c r="D801" s="19">
        <f>VLOOKUP(A801,Sheet1!A:K,11,0)</f>
        <v>29</v>
      </c>
      <c r="E801" s="19" t="str">
        <f>VLOOKUP(A801,Sheet1!A:M,13,0)</f>
        <v>Spain</v>
      </c>
      <c r="F801" s="19" t="str">
        <f>VLOOKUP(A801,Sheet1!A:N,14,0)</f>
        <v>Spanish</v>
      </c>
      <c r="G801" s="19" t="str">
        <f>VLOOKUP(A801,Sheet1!A:O,15,0)</f>
        <v>Data Analysis</v>
      </c>
      <c r="H801" s="19">
        <f>VLOOKUP(A801,Sheet1!A:Q,17,0)</f>
        <v>11</v>
      </c>
      <c r="I801" s="20">
        <f>VLOOKUP(A801,Sheet1!A:V,22,0)</f>
        <v>20</v>
      </c>
      <c r="J801" s="21">
        <f>VLOOKUP(A801,Sheet1!A:X,24,0)</f>
        <v>2.7</v>
      </c>
      <c r="K801" s="19" t="str">
        <f>VLOOKUP(A801,Sheet1!A:AB,28,0)</f>
        <v>No</v>
      </c>
      <c r="L801" s="27">
        <f>VLOOKUP(A801,Sheet1!A:AD,30,0)</f>
        <v>93</v>
      </c>
    </row>
    <row r="802" spans="1:12" x14ac:dyDescent="0.3">
      <c r="A802" s="14" t="s">
        <v>1407</v>
      </c>
      <c r="B802" s="19" t="str">
        <f>VLOOKUP(A802,Sheet1!A:E,5,0)</f>
        <v>Randy Bender</v>
      </c>
      <c r="C802" s="19" t="str">
        <f>VLOOKUP(A802,Sheet1!A:I,9,0)</f>
        <v>Male</v>
      </c>
      <c r="D802" s="19">
        <f>VLOOKUP(A802,Sheet1!A:K,11,0)</f>
        <v>29</v>
      </c>
      <c r="E802" s="19" t="str">
        <f>VLOOKUP(A802,Sheet1!A:M,13,0)</f>
        <v>Germany</v>
      </c>
      <c r="F802" s="19" t="str">
        <f>VLOOKUP(A802,Sheet1!A:N,14,0)</f>
        <v>German</v>
      </c>
      <c r="G802" s="19" t="str">
        <f>VLOOKUP(A802,Sheet1!A:O,15,0)</f>
        <v>Graphic Design</v>
      </c>
      <c r="H802" s="19">
        <f>VLOOKUP(A802,Sheet1!A:Q,17,0)</f>
        <v>2</v>
      </c>
      <c r="I802" s="20">
        <f>VLOOKUP(A802,Sheet1!A:V,22,0)</f>
        <v>75</v>
      </c>
      <c r="J802" s="21">
        <f>VLOOKUP(A802,Sheet1!A:X,24,0)</f>
        <v>2.2000000000000002</v>
      </c>
      <c r="K802" s="19" t="str">
        <f>VLOOKUP(A802,Sheet1!A:AB,28,0)</f>
        <v>Yes</v>
      </c>
      <c r="L802" s="27">
        <f>VLOOKUP(A802,Sheet1!A:AD,30,0)</f>
        <v>85</v>
      </c>
    </row>
    <row r="803" spans="1:12" x14ac:dyDescent="0.3">
      <c r="A803" s="14" t="s">
        <v>948</v>
      </c>
      <c r="B803" s="19" t="str">
        <f>VLOOKUP(A803,Sheet1!A:E,5,0)</f>
        <v>Sarah Hall</v>
      </c>
      <c r="C803" s="19" t="str">
        <f>VLOOKUP(A803,Sheet1!A:I,9,0)</f>
        <v>Female</v>
      </c>
      <c r="D803" s="19">
        <f>VLOOKUP(A803,Sheet1!A:K,11,0)</f>
        <v>29</v>
      </c>
      <c r="E803" s="19" t="str">
        <f>VLOOKUP(A803,Sheet1!A:M,13,0)</f>
        <v>Netherlands</v>
      </c>
      <c r="F803" s="19" t="str">
        <f>VLOOKUP(A803,Sheet1!A:N,14,0)</f>
        <v>Dutch</v>
      </c>
      <c r="G803" s="19" t="str">
        <f>VLOOKUP(A803,Sheet1!A:O,15,0)</f>
        <v>UI/UX Design</v>
      </c>
      <c r="H803" s="19">
        <f>VLOOKUP(A803,Sheet1!A:Q,17,0)</f>
        <v>6</v>
      </c>
      <c r="I803" s="20">
        <f>VLOOKUP(A803,Sheet1!A:V,22,0)</f>
        <v>53.809980806142036</v>
      </c>
      <c r="J803" s="21">
        <f>VLOOKUP(A803,Sheet1!A:X,24,0)</f>
        <v>4.8</v>
      </c>
      <c r="K803" s="19" t="str">
        <f>VLOOKUP(A803,Sheet1!A:AB,28,0)</f>
        <v>No</v>
      </c>
      <c r="L803" s="27">
        <f>VLOOKUP(A803,Sheet1!A:AD,30,0)</f>
        <v>83</v>
      </c>
    </row>
    <row r="804" spans="1:12" x14ac:dyDescent="0.3">
      <c r="A804" s="14" t="s">
        <v>1293</v>
      </c>
      <c r="B804" s="19" t="str">
        <f>VLOOKUP(A804,Sheet1!A:E,5,0)</f>
        <v>Dr. Pamela</v>
      </c>
      <c r="C804" s="19" t="str">
        <f>VLOOKUP(A804,Sheet1!A:I,9,0)</f>
        <v>Female</v>
      </c>
      <c r="D804" s="19">
        <f>VLOOKUP(A804,Sheet1!A:K,11,0)</f>
        <v>28</v>
      </c>
      <c r="E804" s="19" t="str">
        <f>VLOOKUP(A804,Sheet1!A:M,13,0)</f>
        <v>Canada</v>
      </c>
      <c r="F804" s="19" t="str">
        <f>VLOOKUP(A804,Sheet1!A:N,14,0)</f>
        <v>English</v>
      </c>
      <c r="G804" s="19" t="str">
        <f>VLOOKUP(A804,Sheet1!A:O,15,0)</f>
        <v>Blockchain Development</v>
      </c>
      <c r="H804" s="19">
        <f>VLOOKUP(A804,Sheet1!A:Q,17,0)</f>
        <v>1</v>
      </c>
      <c r="I804" s="20">
        <f>VLOOKUP(A804,Sheet1!A:V,22,0)</f>
        <v>75</v>
      </c>
      <c r="J804" s="21">
        <f>VLOOKUP(A804,Sheet1!A:X,24,0)</f>
        <v>2.7</v>
      </c>
      <c r="K804" s="19" t="str">
        <f>VLOOKUP(A804,Sheet1!A:AB,28,0)</f>
        <v>Yes</v>
      </c>
      <c r="L804" s="27">
        <f>VLOOKUP(A804,Sheet1!A:AD,30,0)</f>
        <v>93</v>
      </c>
    </row>
    <row r="805" spans="1:12" x14ac:dyDescent="0.3">
      <c r="A805" s="14" t="s">
        <v>1984</v>
      </c>
      <c r="B805" s="19" t="str">
        <f>VLOOKUP(A805,Sheet1!A:E,5,0)</f>
        <v>Heather Brown</v>
      </c>
      <c r="C805" s="19" t="str">
        <f>VLOOKUP(A805,Sheet1!A:I,9,0)</f>
        <v>Female</v>
      </c>
      <c r="D805" s="19">
        <f>VLOOKUP(A805,Sheet1!A:K,11,0)</f>
        <v>28</v>
      </c>
      <c r="E805" s="19" t="str">
        <f>VLOOKUP(A805,Sheet1!A:M,13,0)</f>
        <v>France</v>
      </c>
      <c r="F805" s="19" t="str">
        <f>VLOOKUP(A805,Sheet1!A:N,14,0)</f>
        <v>French</v>
      </c>
      <c r="G805" s="19" t="str">
        <f>VLOOKUP(A805,Sheet1!A:O,15,0)</f>
        <v>DevOps</v>
      </c>
      <c r="H805" s="19">
        <f>VLOOKUP(A805,Sheet1!A:Q,17,0)</f>
        <v>8</v>
      </c>
      <c r="I805" s="20">
        <f>VLOOKUP(A805,Sheet1!A:V,22,0)</f>
        <v>50</v>
      </c>
      <c r="J805" s="21">
        <f>VLOOKUP(A805,Sheet1!A:X,24,0)</f>
        <v>2.5</v>
      </c>
      <c r="K805" s="19" t="str">
        <f>VLOOKUP(A805,Sheet1!A:AB,28,0)</f>
        <v>Yes</v>
      </c>
      <c r="L805" s="27">
        <f>VLOOKUP(A805,Sheet1!A:AD,30,0)</f>
        <v>95</v>
      </c>
    </row>
    <row r="806" spans="1:12" x14ac:dyDescent="0.3">
      <c r="A806" s="14" t="s">
        <v>1265</v>
      </c>
      <c r="B806" s="19" t="str">
        <f>VLOOKUP(A806,Sheet1!A:E,5,0)</f>
        <v>James Hall</v>
      </c>
      <c r="C806" s="19" t="str">
        <f>VLOOKUP(A806,Sheet1!A:I,9,0)</f>
        <v>Male</v>
      </c>
      <c r="D806" s="19">
        <f>VLOOKUP(A806,Sheet1!A:K,11,0)</f>
        <v>28</v>
      </c>
      <c r="E806" s="19" t="str">
        <f>VLOOKUP(A806,Sheet1!A:M,13,0)</f>
        <v>United Kingdom</v>
      </c>
      <c r="F806" s="19" t="str">
        <f>VLOOKUP(A806,Sheet1!A:N,14,0)</f>
        <v>English</v>
      </c>
      <c r="G806" s="19" t="str">
        <f>VLOOKUP(A806,Sheet1!A:O,15,0)</f>
        <v>Mobile Apps</v>
      </c>
      <c r="H806" s="19">
        <f>VLOOKUP(A806,Sheet1!A:Q,17,0)</f>
        <v>2</v>
      </c>
      <c r="I806" s="20">
        <f>VLOOKUP(A806,Sheet1!A:V,22,0)</f>
        <v>100</v>
      </c>
      <c r="J806" s="21">
        <f>VLOOKUP(A806,Sheet1!A:X,24,0)</f>
        <v>4.4000000000000004</v>
      </c>
      <c r="K806" s="19" t="str">
        <f>VLOOKUP(A806,Sheet1!A:AB,28,0)</f>
        <v>Yes</v>
      </c>
      <c r="L806" s="27">
        <f>VLOOKUP(A806,Sheet1!A:AD,30,0)</f>
        <v>79.849275362318835</v>
      </c>
    </row>
    <row r="807" spans="1:12" x14ac:dyDescent="0.3">
      <c r="A807" s="14" t="s">
        <v>617</v>
      </c>
      <c r="B807" s="19" t="str">
        <f>VLOOKUP(A807,Sheet1!A:E,5,0)</f>
        <v>Jennifer Holmes</v>
      </c>
      <c r="C807" s="19" t="str">
        <f>VLOOKUP(A807,Sheet1!A:I,9,0)</f>
        <v>Female</v>
      </c>
      <c r="D807" s="19">
        <f>VLOOKUP(A807,Sheet1!A:K,11,0)</f>
        <v>28</v>
      </c>
      <c r="E807" s="19" t="str">
        <f>VLOOKUP(A807,Sheet1!A:M,13,0)</f>
        <v>France</v>
      </c>
      <c r="F807" s="19" t="str">
        <f>VLOOKUP(A807,Sheet1!A:N,14,0)</f>
        <v>French</v>
      </c>
      <c r="G807" s="19" t="str">
        <f>VLOOKUP(A807,Sheet1!A:O,15,0)</f>
        <v>Graphic Design</v>
      </c>
      <c r="H807" s="19">
        <f>VLOOKUP(A807,Sheet1!A:Q,17,0)</f>
        <v>1</v>
      </c>
      <c r="I807" s="20">
        <f>VLOOKUP(A807,Sheet1!A:V,22,0)</f>
        <v>20</v>
      </c>
      <c r="J807" s="21">
        <f>VLOOKUP(A807,Sheet1!A:X,24,0)</f>
        <v>3.6</v>
      </c>
      <c r="K807" s="19" t="str">
        <f>VLOOKUP(A807,Sheet1!A:AB,28,0)</f>
        <v>Yes</v>
      </c>
      <c r="L807" s="27">
        <f>VLOOKUP(A807,Sheet1!A:AD,30,0)</f>
        <v>94</v>
      </c>
    </row>
    <row r="808" spans="1:12" x14ac:dyDescent="0.3">
      <c r="A808" s="14" t="s">
        <v>1245</v>
      </c>
      <c r="B808" s="19" t="str">
        <f>VLOOKUP(A808,Sheet1!A:E,5,0)</f>
        <v>Kelli Ramirez</v>
      </c>
      <c r="C808" s="19" t="str">
        <f>VLOOKUP(A808,Sheet1!A:I,9,0)</f>
        <v>Female</v>
      </c>
      <c r="D808" s="19">
        <f>VLOOKUP(A808,Sheet1!A:K,11,0)</f>
        <v>28</v>
      </c>
      <c r="E808" s="19" t="str">
        <f>VLOOKUP(A808,Sheet1!A:M,13,0)</f>
        <v>South Korea</v>
      </c>
      <c r="F808" s="19" t="str">
        <f>VLOOKUP(A808,Sheet1!A:N,14,0)</f>
        <v>Korean</v>
      </c>
      <c r="G808" s="19" t="str">
        <f>VLOOKUP(A808,Sheet1!A:O,15,0)</f>
        <v>Graphic Design</v>
      </c>
      <c r="H808" s="19">
        <f>VLOOKUP(A808,Sheet1!A:Q,17,0)</f>
        <v>2</v>
      </c>
      <c r="I808" s="20">
        <f>VLOOKUP(A808,Sheet1!A:V,22,0)</f>
        <v>50</v>
      </c>
      <c r="J808" s="21">
        <f>VLOOKUP(A808,Sheet1!A:X,24,0)</f>
        <v>2.5802139037433163</v>
      </c>
      <c r="K808" s="19" t="str">
        <f>VLOOKUP(A808,Sheet1!A:AB,28,0)</f>
        <v>Yes</v>
      </c>
      <c r="L808" s="27">
        <f>VLOOKUP(A808,Sheet1!A:AD,30,0)</f>
        <v>85</v>
      </c>
    </row>
    <row r="809" spans="1:12" x14ac:dyDescent="0.3">
      <c r="A809" s="14" t="s">
        <v>1195</v>
      </c>
      <c r="B809" s="19" t="str">
        <f>VLOOKUP(A809,Sheet1!A:E,5,0)</f>
        <v>Miss Janet</v>
      </c>
      <c r="C809" s="19" t="str">
        <f>VLOOKUP(A809,Sheet1!A:I,9,0)</f>
        <v>Female</v>
      </c>
      <c r="D809" s="19">
        <f>VLOOKUP(A809,Sheet1!A:K,11,0)</f>
        <v>28</v>
      </c>
      <c r="E809" s="19" t="str">
        <f>VLOOKUP(A809,Sheet1!A:M,13,0)</f>
        <v>France</v>
      </c>
      <c r="F809" s="19" t="str">
        <f>VLOOKUP(A809,Sheet1!A:N,14,0)</f>
        <v>French</v>
      </c>
      <c r="G809" s="19" t="str">
        <f>VLOOKUP(A809,Sheet1!A:O,15,0)</f>
        <v>Web Development</v>
      </c>
      <c r="H809" s="19">
        <f>VLOOKUP(A809,Sheet1!A:Q,17,0)</f>
        <v>1</v>
      </c>
      <c r="I809" s="20">
        <f>VLOOKUP(A809,Sheet1!A:V,22,0)</f>
        <v>53.594132029339853</v>
      </c>
      <c r="J809" s="21">
        <f>VLOOKUP(A809,Sheet1!A:X,24,0)</f>
        <v>0</v>
      </c>
      <c r="K809" s="19" t="str">
        <f>VLOOKUP(A809,Sheet1!A:AB,28,0)</f>
        <v>No</v>
      </c>
      <c r="L809" s="27">
        <f>VLOOKUP(A809,Sheet1!A:AD,30,0)</f>
        <v>70</v>
      </c>
    </row>
    <row r="810" spans="1:12" x14ac:dyDescent="0.3">
      <c r="A810" s="14" t="s">
        <v>1191</v>
      </c>
      <c r="B810" s="19" t="str">
        <f>VLOOKUP(A810,Sheet1!A:E,5,0)</f>
        <v>Nancy Smith</v>
      </c>
      <c r="C810" s="19" t="str">
        <f>VLOOKUP(A810,Sheet1!A:I,9,0)</f>
        <v>Female</v>
      </c>
      <c r="D810" s="19">
        <f>VLOOKUP(A810,Sheet1!A:K,11,0)</f>
        <v>28</v>
      </c>
      <c r="E810" s="19" t="str">
        <f>VLOOKUP(A810,Sheet1!A:M,13,0)</f>
        <v>United Kingdom</v>
      </c>
      <c r="F810" s="19" t="str">
        <f>VLOOKUP(A810,Sheet1!A:N,14,0)</f>
        <v>English</v>
      </c>
      <c r="G810" s="19" t="str">
        <f>VLOOKUP(A810,Sheet1!A:O,15,0)</f>
        <v>DevOps</v>
      </c>
      <c r="H810" s="19">
        <f>VLOOKUP(A810,Sheet1!A:Q,17,0)</f>
        <v>3</v>
      </c>
      <c r="I810" s="20">
        <f>VLOOKUP(A810,Sheet1!A:V,22,0)</f>
        <v>20</v>
      </c>
      <c r="J810" s="21">
        <f>VLOOKUP(A810,Sheet1!A:X,24,0)</f>
        <v>2.6015075376884438</v>
      </c>
      <c r="K810" s="19" t="str">
        <f>VLOOKUP(A810,Sheet1!A:AB,28,0)</f>
        <v>Yes</v>
      </c>
      <c r="L810" s="27">
        <f>VLOOKUP(A810,Sheet1!A:AD,30,0)</f>
        <v>79</v>
      </c>
    </row>
    <row r="811" spans="1:12" x14ac:dyDescent="0.3">
      <c r="A811" s="14" t="s">
        <v>743</v>
      </c>
      <c r="B811" s="19" t="str">
        <f>VLOOKUP(A811,Sheet1!A:E,5,0)</f>
        <v>Paula Stevens</v>
      </c>
      <c r="C811" s="19" t="str">
        <f>VLOOKUP(A811,Sheet1!A:I,9,0)</f>
        <v>Female</v>
      </c>
      <c r="D811" s="19">
        <f>VLOOKUP(A811,Sheet1!A:K,11,0)</f>
        <v>28</v>
      </c>
      <c r="E811" s="19" t="str">
        <f>VLOOKUP(A811,Sheet1!A:M,13,0)</f>
        <v>Japan</v>
      </c>
      <c r="F811" s="19" t="str">
        <f>VLOOKUP(A811,Sheet1!A:N,14,0)</f>
        <v>Japanese</v>
      </c>
      <c r="G811" s="19" t="str">
        <f>VLOOKUP(A811,Sheet1!A:O,15,0)</f>
        <v>Mobile Apps</v>
      </c>
      <c r="H811" s="19">
        <f>VLOOKUP(A811,Sheet1!A:Q,17,0)</f>
        <v>9</v>
      </c>
      <c r="I811" s="20">
        <f>VLOOKUP(A811,Sheet1!A:V,22,0)</f>
        <v>40</v>
      </c>
      <c r="J811" s="21">
        <f>VLOOKUP(A811,Sheet1!A:X,24,0)</f>
        <v>2.5598347107437993</v>
      </c>
      <c r="K811" s="19" t="str">
        <f>VLOOKUP(A811,Sheet1!A:AB,28,0)</f>
        <v>Yes</v>
      </c>
      <c r="L811" s="27">
        <f>VLOOKUP(A811,Sheet1!A:AD,30,0)</f>
        <v>64</v>
      </c>
    </row>
    <row r="812" spans="1:12" x14ac:dyDescent="0.3">
      <c r="A812" s="14" t="s">
        <v>1433</v>
      </c>
      <c r="B812" s="19" t="str">
        <f>VLOOKUP(A812,Sheet1!A:E,5,0)</f>
        <v>Sandra Williams</v>
      </c>
      <c r="C812" s="19" t="str">
        <f>VLOOKUP(A812,Sheet1!A:I,9,0)</f>
        <v>Female</v>
      </c>
      <c r="D812" s="19">
        <f>VLOOKUP(A812,Sheet1!A:K,11,0)</f>
        <v>28</v>
      </c>
      <c r="E812" s="19" t="str">
        <f>VLOOKUP(A812,Sheet1!A:M,13,0)</f>
        <v>Egypt</v>
      </c>
      <c r="F812" s="19" t="str">
        <f>VLOOKUP(A812,Sheet1!A:N,14,0)</f>
        <v>Arabic</v>
      </c>
      <c r="G812" s="19" t="str">
        <f>VLOOKUP(A812,Sheet1!A:O,15,0)</f>
        <v>Cybersecurity</v>
      </c>
      <c r="H812" s="19">
        <f>VLOOKUP(A812,Sheet1!A:Q,17,0)</f>
        <v>10</v>
      </c>
      <c r="I812" s="20">
        <f>VLOOKUP(A812,Sheet1!A:V,22,0)</f>
        <v>53.300330033003299</v>
      </c>
      <c r="J812" s="21">
        <f>VLOOKUP(A812,Sheet1!A:X,24,0)</f>
        <v>3.8</v>
      </c>
      <c r="K812" s="19" t="str">
        <f>VLOOKUP(A812,Sheet1!A:AB,28,0)</f>
        <v>Yes</v>
      </c>
      <c r="L812" s="27">
        <f>VLOOKUP(A812,Sheet1!A:AD,30,0)</f>
        <v>98</v>
      </c>
    </row>
    <row r="813" spans="1:12" x14ac:dyDescent="0.3">
      <c r="A813" s="14" t="s">
        <v>970</v>
      </c>
      <c r="B813" s="19" t="str">
        <f>VLOOKUP(A813,Sheet1!A:E,5,0)</f>
        <v>Tony French</v>
      </c>
      <c r="C813" s="19" t="str">
        <f>VLOOKUP(A813,Sheet1!A:I,9,0)</f>
        <v>Male</v>
      </c>
      <c r="D813" s="19">
        <f>VLOOKUP(A813,Sheet1!A:K,11,0)</f>
        <v>28</v>
      </c>
      <c r="E813" s="19" t="str">
        <f>VLOOKUP(A813,Sheet1!A:M,13,0)</f>
        <v>South Korea</v>
      </c>
      <c r="F813" s="19" t="str">
        <f>VLOOKUP(A813,Sheet1!A:N,14,0)</f>
        <v>Korean</v>
      </c>
      <c r="G813" s="19" t="str">
        <f>VLOOKUP(A813,Sheet1!A:O,15,0)</f>
        <v>UI/UX Design</v>
      </c>
      <c r="H813" s="19">
        <f>VLOOKUP(A813,Sheet1!A:Q,17,0)</f>
        <v>7</v>
      </c>
      <c r="I813" s="20">
        <f>VLOOKUP(A813,Sheet1!A:V,22,0)</f>
        <v>100</v>
      </c>
      <c r="J813" s="21">
        <f>VLOOKUP(A813,Sheet1!A:X,24,0)</f>
        <v>4.3</v>
      </c>
      <c r="K813" s="19" t="str">
        <f>VLOOKUP(A813,Sheet1!A:AB,28,0)</f>
        <v>No</v>
      </c>
      <c r="L813" s="27">
        <f>VLOOKUP(A813,Sheet1!A:AD,30,0)</f>
        <v>76</v>
      </c>
    </row>
    <row r="814" spans="1:12" x14ac:dyDescent="0.3">
      <c r="A814" s="14" t="s">
        <v>1205</v>
      </c>
      <c r="B814" s="19" t="str">
        <f>VLOOKUP(A814,Sheet1!A:E,5,0)</f>
        <v>Tyler Cooper</v>
      </c>
      <c r="C814" s="19" t="str">
        <f>VLOOKUP(A814,Sheet1!A:I,9,0)</f>
        <v>Male</v>
      </c>
      <c r="D814" s="19">
        <f>VLOOKUP(A814,Sheet1!A:K,11,0)</f>
        <v>28</v>
      </c>
      <c r="E814" s="19" t="str">
        <f>VLOOKUP(A814,Sheet1!A:M,13,0)</f>
        <v>United States</v>
      </c>
      <c r="F814" s="19" t="str">
        <f>VLOOKUP(A814,Sheet1!A:N,14,0)</f>
        <v>English</v>
      </c>
      <c r="G814" s="19" t="str">
        <f>VLOOKUP(A814,Sheet1!A:O,15,0)</f>
        <v>UI/UX Design</v>
      </c>
      <c r="H814" s="19">
        <f>VLOOKUP(A814,Sheet1!A:Q,17,0)</f>
        <v>1</v>
      </c>
      <c r="I814" s="20">
        <f>VLOOKUP(A814,Sheet1!A:V,22,0)</f>
        <v>20</v>
      </c>
      <c r="J814" s="21">
        <f>VLOOKUP(A814,Sheet1!A:X,24,0)</f>
        <v>4.7</v>
      </c>
      <c r="K814" s="19" t="str">
        <f>VLOOKUP(A814,Sheet1!A:AB,28,0)</f>
        <v>No</v>
      </c>
      <c r="L814" s="27">
        <f>VLOOKUP(A814,Sheet1!A:AD,30,0)</f>
        <v>93</v>
      </c>
    </row>
    <row r="815" spans="1:12" x14ac:dyDescent="0.3">
      <c r="A815" s="14" t="s">
        <v>1131</v>
      </c>
      <c r="B815" s="19" t="str">
        <f>VLOOKUP(A815,Sheet1!A:E,5,0)</f>
        <v>Victoria Owen</v>
      </c>
      <c r="C815" s="19" t="str">
        <f>VLOOKUP(A815,Sheet1!A:I,9,0)</f>
        <v>Female</v>
      </c>
      <c r="D815" s="19">
        <f>VLOOKUP(A815,Sheet1!A:K,11,0)</f>
        <v>28</v>
      </c>
      <c r="E815" s="19" t="str">
        <f>VLOOKUP(A815,Sheet1!A:M,13,0)</f>
        <v>Indonesia</v>
      </c>
      <c r="F815" s="19" t="str">
        <f>VLOOKUP(A815,Sheet1!A:N,14,0)</f>
        <v>Indonesian</v>
      </c>
      <c r="G815" s="19" t="str">
        <f>VLOOKUP(A815,Sheet1!A:O,15,0)</f>
        <v>Cybersecurity</v>
      </c>
      <c r="H815" s="19">
        <f>VLOOKUP(A815,Sheet1!A:Q,17,0)</f>
        <v>2</v>
      </c>
      <c r="I815" s="20">
        <f>VLOOKUP(A815,Sheet1!A:V,22,0)</f>
        <v>75</v>
      </c>
      <c r="J815" s="21">
        <f>VLOOKUP(A815,Sheet1!A:X,24,0)</f>
        <v>1.5</v>
      </c>
      <c r="K815" s="19" t="str">
        <f>VLOOKUP(A815,Sheet1!A:AB,28,0)</f>
        <v>Yes</v>
      </c>
      <c r="L815" s="27">
        <f>VLOOKUP(A815,Sheet1!A:AD,30,0)</f>
        <v>68</v>
      </c>
    </row>
    <row r="816" spans="1:12" x14ac:dyDescent="0.3">
      <c r="A816" s="14" t="s">
        <v>1153</v>
      </c>
      <c r="B816" s="19" t="str">
        <f>VLOOKUP(A816,Sheet1!A:E,5,0)</f>
        <v>William Davis</v>
      </c>
      <c r="C816" s="19" t="str">
        <f>VLOOKUP(A816,Sheet1!A:I,9,0)</f>
        <v>Male</v>
      </c>
      <c r="D816" s="19">
        <f>VLOOKUP(A816,Sheet1!A:K,11,0)</f>
        <v>28</v>
      </c>
      <c r="E816" s="19" t="str">
        <f>VLOOKUP(A816,Sheet1!A:M,13,0)</f>
        <v>Canada</v>
      </c>
      <c r="F816" s="19" t="str">
        <f>VLOOKUP(A816,Sheet1!A:N,14,0)</f>
        <v>English</v>
      </c>
      <c r="G816" s="19" t="str">
        <f>VLOOKUP(A816,Sheet1!A:O,15,0)</f>
        <v>Blockchain Development</v>
      </c>
      <c r="H816" s="19">
        <f>VLOOKUP(A816,Sheet1!A:Q,17,0)</f>
        <v>5</v>
      </c>
      <c r="I816" s="20">
        <f>VLOOKUP(A816,Sheet1!A:V,22,0)</f>
        <v>50</v>
      </c>
      <c r="J816" s="21">
        <f>VLOOKUP(A816,Sheet1!A:X,24,0)</f>
        <v>0</v>
      </c>
      <c r="K816" s="19" t="str">
        <f>VLOOKUP(A816,Sheet1!A:AB,28,0)</f>
        <v>Yes</v>
      </c>
      <c r="L816" s="27">
        <f>VLOOKUP(A816,Sheet1!A:AD,30,0)</f>
        <v>96</v>
      </c>
    </row>
    <row r="817" spans="1:12" x14ac:dyDescent="0.3">
      <c r="A817" s="14" t="s">
        <v>677</v>
      </c>
      <c r="B817" s="19" t="str">
        <f>VLOOKUP(A817,Sheet1!A:E,5,0)</f>
        <v>Cathy Baldwin</v>
      </c>
      <c r="C817" s="19" t="str">
        <f>VLOOKUP(A817,Sheet1!A:I,9,0)</f>
        <v>Female</v>
      </c>
      <c r="D817" s="19">
        <f>VLOOKUP(A817,Sheet1!A:K,11,0)</f>
        <v>27</v>
      </c>
      <c r="E817" s="19" t="str">
        <f>VLOOKUP(A817,Sheet1!A:M,13,0)</f>
        <v>Japan</v>
      </c>
      <c r="F817" s="19" t="str">
        <f>VLOOKUP(A817,Sheet1!A:N,14,0)</f>
        <v>Japanese</v>
      </c>
      <c r="G817" s="19" t="str">
        <f>VLOOKUP(A817,Sheet1!A:O,15,0)</f>
        <v>Web Development</v>
      </c>
      <c r="H817" s="19">
        <f>VLOOKUP(A817,Sheet1!A:Q,17,0)</f>
        <v>7</v>
      </c>
      <c r="I817" s="20">
        <f>VLOOKUP(A817,Sheet1!A:V,22,0)</f>
        <v>30</v>
      </c>
      <c r="J817" s="21">
        <f>VLOOKUP(A817,Sheet1!A:X,24,0)</f>
        <v>2.4</v>
      </c>
      <c r="K817" s="19" t="str">
        <f>VLOOKUP(A817,Sheet1!A:AB,28,0)</f>
        <v>Yes</v>
      </c>
      <c r="L817" s="27">
        <f>VLOOKUP(A817,Sheet1!A:AD,30,0)</f>
        <v>66</v>
      </c>
    </row>
    <row r="818" spans="1:12" x14ac:dyDescent="0.3">
      <c r="A818" s="14" t="s">
        <v>873</v>
      </c>
      <c r="B818" s="19" t="str">
        <f>VLOOKUP(A818,Sheet1!A:E,5,0)</f>
        <v>Christopher Black</v>
      </c>
      <c r="C818" s="19" t="str">
        <f>VLOOKUP(A818,Sheet1!A:I,9,0)</f>
        <v>Male</v>
      </c>
      <c r="D818" s="19">
        <f>VLOOKUP(A818,Sheet1!A:K,11,0)</f>
        <v>27</v>
      </c>
      <c r="E818" s="19" t="str">
        <f>VLOOKUP(A818,Sheet1!A:M,13,0)</f>
        <v>China</v>
      </c>
      <c r="F818" s="19" t="str">
        <f>VLOOKUP(A818,Sheet1!A:N,14,0)</f>
        <v>Mandarin</v>
      </c>
      <c r="G818" s="19" t="str">
        <f>VLOOKUP(A818,Sheet1!A:O,15,0)</f>
        <v>Cybersecurity</v>
      </c>
      <c r="H818" s="19">
        <f>VLOOKUP(A818,Sheet1!A:Q,17,0)</f>
        <v>4</v>
      </c>
      <c r="I818" s="20">
        <f>VLOOKUP(A818,Sheet1!A:V,22,0)</f>
        <v>40</v>
      </c>
      <c r="J818" s="21">
        <f>VLOOKUP(A818,Sheet1!A:X,24,0)</f>
        <v>4.4000000000000004</v>
      </c>
      <c r="K818" s="19" t="str">
        <f>VLOOKUP(A818,Sheet1!A:AB,28,0)</f>
        <v>No</v>
      </c>
      <c r="L818" s="27">
        <f>VLOOKUP(A818,Sheet1!A:AD,30,0)</f>
        <v>92</v>
      </c>
    </row>
    <row r="819" spans="1:12" x14ac:dyDescent="0.3">
      <c r="A819" s="14" t="s">
        <v>569</v>
      </c>
      <c r="B819" s="19" t="str">
        <f>VLOOKUP(A819,Sheet1!A:E,5,0)</f>
        <v>Daniel Harrington</v>
      </c>
      <c r="C819" s="19" t="str">
        <f>VLOOKUP(A819,Sheet1!A:I,9,0)</f>
        <v>Male</v>
      </c>
      <c r="D819" s="19">
        <f>VLOOKUP(A819,Sheet1!A:K,11,0)</f>
        <v>27</v>
      </c>
      <c r="E819" s="19" t="str">
        <f>VLOOKUP(A819,Sheet1!A:M,13,0)</f>
        <v>Canada</v>
      </c>
      <c r="F819" s="19" t="str">
        <f>VLOOKUP(A819,Sheet1!A:N,14,0)</f>
        <v>English</v>
      </c>
      <c r="G819" s="19" t="str">
        <f>VLOOKUP(A819,Sheet1!A:O,15,0)</f>
        <v>AI</v>
      </c>
      <c r="H819" s="19">
        <f>VLOOKUP(A819,Sheet1!A:Q,17,0)</f>
        <v>4</v>
      </c>
      <c r="I819" s="20">
        <f>VLOOKUP(A819,Sheet1!A:V,22,0)</f>
        <v>75</v>
      </c>
      <c r="J819" s="21">
        <f>VLOOKUP(A819,Sheet1!A:X,24,0)</f>
        <v>5</v>
      </c>
      <c r="K819" s="19" t="str">
        <f>VLOOKUP(A819,Sheet1!A:AB,28,0)</f>
        <v>No</v>
      </c>
      <c r="L819" s="27">
        <f>VLOOKUP(A819,Sheet1!A:AD,30,0)</f>
        <v>88</v>
      </c>
    </row>
    <row r="820" spans="1:12" x14ac:dyDescent="0.3">
      <c r="A820" s="14" t="s">
        <v>342</v>
      </c>
      <c r="B820" s="19" t="str">
        <f>VLOOKUP(A820,Sheet1!A:E,5,0)</f>
        <v>Debra Garcia</v>
      </c>
      <c r="C820" s="19" t="str">
        <f>VLOOKUP(A820,Sheet1!A:I,9,0)</f>
        <v>Female</v>
      </c>
      <c r="D820" s="19">
        <f>VLOOKUP(A820,Sheet1!A:K,11,0)</f>
        <v>27</v>
      </c>
      <c r="E820" s="19" t="str">
        <f>VLOOKUP(A820,Sheet1!A:M,13,0)</f>
        <v>China</v>
      </c>
      <c r="F820" s="19" t="str">
        <f>VLOOKUP(A820,Sheet1!A:N,14,0)</f>
        <v>Mandarin</v>
      </c>
      <c r="G820" s="19" t="str">
        <f>VLOOKUP(A820,Sheet1!A:O,15,0)</f>
        <v>UI/UX Design</v>
      </c>
      <c r="H820" s="19">
        <f>VLOOKUP(A820,Sheet1!A:Q,17,0)</f>
        <v>8</v>
      </c>
      <c r="I820" s="20">
        <f>VLOOKUP(A820,Sheet1!A:V,22,0)</f>
        <v>50</v>
      </c>
      <c r="J820" s="21">
        <f>VLOOKUP(A820,Sheet1!A:X,24,0)</f>
        <v>0</v>
      </c>
      <c r="K820" s="19" t="str">
        <f>VLOOKUP(A820,Sheet1!A:AB,28,0)</f>
        <v>Unknown</v>
      </c>
      <c r="L820" s="27">
        <f>VLOOKUP(A820,Sheet1!A:AD,30,0)</f>
        <v>79.484931506849321</v>
      </c>
    </row>
    <row r="821" spans="1:12" x14ac:dyDescent="0.3">
      <c r="A821" s="14" t="s">
        <v>962</v>
      </c>
      <c r="B821" s="19" t="str">
        <f>VLOOKUP(A821,Sheet1!A:E,5,0)</f>
        <v>Elizabeth Edwards</v>
      </c>
      <c r="C821" s="19" t="str">
        <f>VLOOKUP(A821,Sheet1!A:I,9,0)</f>
        <v>Female</v>
      </c>
      <c r="D821" s="19">
        <f>VLOOKUP(A821,Sheet1!A:K,11,0)</f>
        <v>27</v>
      </c>
      <c r="E821" s="19" t="str">
        <f>VLOOKUP(A821,Sheet1!A:M,13,0)</f>
        <v>Argentina</v>
      </c>
      <c r="F821" s="19" t="str">
        <f>VLOOKUP(A821,Sheet1!A:N,14,0)</f>
        <v>Spanish</v>
      </c>
      <c r="G821" s="19" t="str">
        <f>VLOOKUP(A821,Sheet1!A:O,15,0)</f>
        <v>Machine Learning</v>
      </c>
      <c r="H821" s="19">
        <f>VLOOKUP(A821,Sheet1!A:Q,17,0)</f>
        <v>7</v>
      </c>
      <c r="I821" s="20">
        <f>VLOOKUP(A821,Sheet1!A:V,22,0)</f>
        <v>75</v>
      </c>
      <c r="J821" s="21">
        <f>VLOOKUP(A821,Sheet1!A:X,24,0)</f>
        <v>2.8</v>
      </c>
      <c r="K821" s="19" t="str">
        <f>VLOOKUP(A821,Sheet1!A:AB,28,0)</f>
        <v>Yes</v>
      </c>
      <c r="L821" s="27">
        <f>VLOOKUP(A821,Sheet1!A:AD,30,0)</f>
        <v>92</v>
      </c>
    </row>
    <row r="822" spans="1:12" x14ac:dyDescent="0.3">
      <c r="A822" s="14" t="s">
        <v>2044</v>
      </c>
      <c r="B822" s="19" t="str">
        <f>VLOOKUP(A822,Sheet1!A:E,5,0)</f>
        <v>Jason Sanders</v>
      </c>
      <c r="C822" s="19" t="str">
        <f>VLOOKUP(A822,Sheet1!A:I,9,0)</f>
        <v>Male</v>
      </c>
      <c r="D822" s="19">
        <f>VLOOKUP(A822,Sheet1!A:K,11,0)</f>
        <v>27</v>
      </c>
      <c r="E822" s="19" t="str">
        <f>VLOOKUP(A822,Sheet1!A:M,13,0)</f>
        <v>China</v>
      </c>
      <c r="F822" s="19" t="str">
        <f>VLOOKUP(A822,Sheet1!A:N,14,0)</f>
        <v>Mandarin</v>
      </c>
      <c r="G822" s="19" t="str">
        <f>VLOOKUP(A822,Sheet1!A:O,15,0)</f>
        <v>Blockchain Development</v>
      </c>
      <c r="H822" s="19">
        <f>VLOOKUP(A822,Sheet1!A:Q,17,0)</f>
        <v>5</v>
      </c>
      <c r="I822" s="20">
        <f>VLOOKUP(A822,Sheet1!A:V,22,0)</f>
        <v>75</v>
      </c>
      <c r="J822" s="21">
        <f>VLOOKUP(A822,Sheet1!A:X,24,0)</f>
        <v>1.4</v>
      </c>
      <c r="K822" s="19" t="str">
        <f>VLOOKUP(A822,Sheet1!A:AB,28,0)</f>
        <v>Yes</v>
      </c>
      <c r="L822" s="27">
        <f>VLOOKUP(A822,Sheet1!A:AD,30,0)</f>
        <v>64</v>
      </c>
    </row>
    <row r="823" spans="1:12" x14ac:dyDescent="0.3">
      <c r="A823" s="14" t="s">
        <v>1395</v>
      </c>
      <c r="B823" s="19" t="str">
        <f>VLOOKUP(A823,Sheet1!A:E,5,0)</f>
        <v>John Arroyo</v>
      </c>
      <c r="C823" s="19" t="str">
        <f>VLOOKUP(A823,Sheet1!A:I,9,0)</f>
        <v>Male</v>
      </c>
      <c r="D823" s="19">
        <f>VLOOKUP(A823,Sheet1!A:K,11,0)</f>
        <v>27</v>
      </c>
      <c r="E823" s="19" t="str">
        <f>VLOOKUP(A823,Sheet1!A:M,13,0)</f>
        <v>United Kingdom</v>
      </c>
      <c r="F823" s="19" t="str">
        <f>VLOOKUP(A823,Sheet1!A:N,14,0)</f>
        <v>English</v>
      </c>
      <c r="G823" s="19" t="str">
        <f>VLOOKUP(A823,Sheet1!A:O,15,0)</f>
        <v>AI</v>
      </c>
      <c r="H823" s="19">
        <f>VLOOKUP(A823,Sheet1!A:Q,17,0)</f>
        <v>3</v>
      </c>
      <c r="I823" s="20">
        <f>VLOOKUP(A823,Sheet1!A:V,22,0)</f>
        <v>50</v>
      </c>
      <c r="J823" s="21">
        <f>VLOOKUP(A823,Sheet1!A:X,24,0)</f>
        <v>2.5908794788273624</v>
      </c>
      <c r="K823" s="19" t="str">
        <f>VLOOKUP(A823,Sheet1!A:AB,28,0)</f>
        <v>No</v>
      </c>
      <c r="L823" s="27">
        <f>VLOOKUP(A823,Sheet1!A:AD,30,0)</f>
        <v>79.948630136986296</v>
      </c>
    </row>
    <row r="824" spans="1:12" x14ac:dyDescent="0.3">
      <c r="A824" s="14" t="s">
        <v>330</v>
      </c>
      <c r="B824" s="19" t="str">
        <f>VLOOKUP(A824,Sheet1!A:E,5,0)</f>
        <v>Jon Morgan</v>
      </c>
      <c r="C824" s="19" t="str">
        <f>VLOOKUP(A824,Sheet1!A:I,9,0)</f>
        <v>Male</v>
      </c>
      <c r="D824" s="19">
        <f>VLOOKUP(A824,Sheet1!A:K,11,0)</f>
        <v>27</v>
      </c>
      <c r="E824" s="19" t="str">
        <f>VLOOKUP(A824,Sheet1!A:M,13,0)</f>
        <v>Australia</v>
      </c>
      <c r="F824" s="19" t="str">
        <f>VLOOKUP(A824,Sheet1!A:N,14,0)</f>
        <v>English</v>
      </c>
      <c r="G824" s="19" t="str">
        <f>VLOOKUP(A824,Sheet1!A:O,15,0)</f>
        <v>Machine Learning</v>
      </c>
      <c r="H824" s="19">
        <f>VLOOKUP(A824,Sheet1!A:Q,17,0)</f>
        <v>7</v>
      </c>
      <c r="I824" s="20">
        <f>VLOOKUP(A824,Sheet1!A:V,22,0)</f>
        <v>20</v>
      </c>
      <c r="J824" s="21">
        <f>VLOOKUP(A824,Sheet1!A:X,24,0)</f>
        <v>3.2</v>
      </c>
      <c r="K824" s="19" t="str">
        <f>VLOOKUP(A824,Sheet1!A:AB,28,0)</f>
        <v>Yes</v>
      </c>
      <c r="L824" s="27">
        <f>VLOOKUP(A824,Sheet1!A:AD,30,0)</f>
        <v>62</v>
      </c>
    </row>
    <row r="825" spans="1:12" x14ac:dyDescent="0.3">
      <c r="A825" s="14" t="s">
        <v>1618</v>
      </c>
      <c r="B825" s="19" t="str">
        <f>VLOOKUP(A825,Sheet1!A:E,5,0)</f>
        <v>Jose Patterson</v>
      </c>
      <c r="C825" s="19" t="str">
        <f>VLOOKUP(A825,Sheet1!A:I,9,0)</f>
        <v>Male</v>
      </c>
      <c r="D825" s="19">
        <f>VLOOKUP(A825,Sheet1!A:K,11,0)</f>
        <v>27</v>
      </c>
      <c r="E825" s="19" t="str">
        <f>VLOOKUP(A825,Sheet1!A:M,13,0)</f>
        <v>Indonesia</v>
      </c>
      <c r="F825" s="19" t="str">
        <f>VLOOKUP(A825,Sheet1!A:N,14,0)</f>
        <v>Indonesian</v>
      </c>
      <c r="G825" s="19" t="str">
        <f>VLOOKUP(A825,Sheet1!A:O,15,0)</f>
        <v>Blockchain Development</v>
      </c>
      <c r="H825" s="19">
        <f>VLOOKUP(A825,Sheet1!A:Q,17,0)</f>
        <v>4</v>
      </c>
      <c r="I825" s="20">
        <f>VLOOKUP(A825,Sheet1!A:V,22,0)</f>
        <v>20</v>
      </c>
      <c r="J825" s="21">
        <f>VLOOKUP(A825,Sheet1!A:X,24,0)</f>
        <v>2.5283653846153857</v>
      </c>
      <c r="K825" s="19" t="str">
        <f>VLOOKUP(A825,Sheet1!A:AB,28,0)</f>
        <v>No</v>
      </c>
      <c r="L825" s="27">
        <f>VLOOKUP(A825,Sheet1!A:AD,30,0)</f>
        <v>63</v>
      </c>
    </row>
    <row r="826" spans="1:12" x14ac:dyDescent="0.3">
      <c r="A826" s="14" t="s">
        <v>1526</v>
      </c>
      <c r="B826" s="19" t="str">
        <f>VLOOKUP(A826,Sheet1!A:E,5,0)</f>
        <v>Kathy Grimes</v>
      </c>
      <c r="C826" s="19" t="str">
        <f>VLOOKUP(A826,Sheet1!A:I,9,0)</f>
        <v>Female</v>
      </c>
      <c r="D826" s="19">
        <f>VLOOKUP(A826,Sheet1!A:K,11,0)</f>
        <v>27</v>
      </c>
      <c r="E826" s="19" t="str">
        <f>VLOOKUP(A826,Sheet1!A:M,13,0)</f>
        <v>Brazil</v>
      </c>
      <c r="F826" s="19" t="str">
        <f>VLOOKUP(A826,Sheet1!A:N,14,0)</f>
        <v>Portuguese</v>
      </c>
      <c r="G826" s="19" t="str">
        <f>VLOOKUP(A826,Sheet1!A:O,15,0)</f>
        <v>Mobile Apps</v>
      </c>
      <c r="H826" s="19">
        <f>VLOOKUP(A826,Sheet1!A:Q,17,0)</f>
        <v>8</v>
      </c>
      <c r="I826" s="20">
        <f>VLOOKUP(A826,Sheet1!A:V,22,0)</f>
        <v>50</v>
      </c>
      <c r="J826" s="21">
        <f>VLOOKUP(A826,Sheet1!A:X,24,0)</f>
        <v>1.6</v>
      </c>
      <c r="K826" s="19" t="str">
        <f>VLOOKUP(A826,Sheet1!A:AB,28,0)</f>
        <v>Yes</v>
      </c>
      <c r="L826" s="27">
        <f>VLOOKUP(A826,Sheet1!A:AD,30,0)</f>
        <v>79.916666666666671</v>
      </c>
    </row>
    <row r="827" spans="1:12" x14ac:dyDescent="0.3">
      <c r="A827" s="14" t="s">
        <v>871</v>
      </c>
      <c r="B827" s="19" t="str">
        <f>VLOOKUP(A827,Sheet1!A:E,5,0)</f>
        <v>Matthew Hicks</v>
      </c>
      <c r="C827" s="19" t="str">
        <f>VLOOKUP(A827,Sheet1!A:I,9,0)</f>
        <v>Male</v>
      </c>
      <c r="D827" s="19">
        <f>VLOOKUP(A827,Sheet1!A:K,11,0)</f>
        <v>27</v>
      </c>
      <c r="E827" s="19" t="str">
        <f>VLOOKUP(A827,Sheet1!A:M,13,0)</f>
        <v>Egypt</v>
      </c>
      <c r="F827" s="19" t="str">
        <f>VLOOKUP(A827,Sheet1!A:N,14,0)</f>
        <v>Arabic</v>
      </c>
      <c r="G827" s="19" t="str">
        <f>VLOOKUP(A827,Sheet1!A:O,15,0)</f>
        <v>Web Development</v>
      </c>
      <c r="H827" s="19">
        <f>VLOOKUP(A827,Sheet1!A:Q,17,0)</f>
        <v>1</v>
      </c>
      <c r="I827" s="20">
        <f>VLOOKUP(A827,Sheet1!A:V,22,0)</f>
        <v>20</v>
      </c>
      <c r="J827" s="21">
        <f>VLOOKUP(A827,Sheet1!A:X,24,0)</f>
        <v>4.3</v>
      </c>
      <c r="K827" s="19" t="str">
        <f>VLOOKUP(A827,Sheet1!A:AB,28,0)</f>
        <v>No</v>
      </c>
      <c r="L827" s="27">
        <f>VLOOKUP(A827,Sheet1!A:AD,30,0)</f>
        <v>76</v>
      </c>
    </row>
    <row r="828" spans="1:12" x14ac:dyDescent="0.3">
      <c r="A828" s="14" t="s">
        <v>1998</v>
      </c>
      <c r="B828" s="19" t="str">
        <f>VLOOKUP(A828,Sheet1!A:E,5,0)</f>
        <v>Nathan Soto</v>
      </c>
      <c r="C828" s="19" t="str">
        <f>VLOOKUP(A828,Sheet1!A:I,9,0)</f>
        <v>Male</v>
      </c>
      <c r="D828" s="19">
        <f>VLOOKUP(A828,Sheet1!A:K,11,0)</f>
        <v>27</v>
      </c>
      <c r="E828" s="19" t="str">
        <f>VLOOKUP(A828,Sheet1!A:M,13,0)</f>
        <v>Australia</v>
      </c>
      <c r="F828" s="19" t="str">
        <f>VLOOKUP(A828,Sheet1!A:N,14,0)</f>
        <v>English</v>
      </c>
      <c r="G828" s="19" t="str">
        <f>VLOOKUP(A828,Sheet1!A:O,15,0)</f>
        <v>Web Development</v>
      </c>
      <c r="H828" s="19">
        <f>VLOOKUP(A828,Sheet1!A:Q,17,0)</f>
        <v>3</v>
      </c>
      <c r="I828" s="20">
        <f>VLOOKUP(A828,Sheet1!A:V,22,0)</f>
        <v>50</v>
      </c>
      <c r="J828" s="21">
        <f>VLOOKUP(A828,Sheet1!A:X,24,0)</f>
        <v>2.3150000000000004</v>
      </c>
      <c r="K828" s="19" t="str">
        <f>VLOOKUP(A828,Sheet1!A:AB,28,0)</f>
        <v>Yes</v>
      </c>
      <c r="L828" s="27">
        <f>VLOOKUP(A828,Sheet1!A:AD,30,0)</f>
        <v>96</v>
      </c>
    </row>
    <row r="829" spans="1:12" x14ac:dyDescent="0.3">
      <c r="A829" s="14" t="s">
        <v>707</v>
      </c>
      <c r="B829" s="19" t="str">
        <f>VLOOKUP(A829,Sheet1!A:E,5,0)</f>
        <v>Robert Lucas</v>
      </c>
      <c r="C829" s="19" t="str">
        <f>VLOOKUP(A829,Sheet1!A:I,9,0)</f>
        <v>Male</v>
      </c>
      <c r="D829" s="19">
        <f>VLOOKUP(A829,Sheet1!A:K,11,0)</f>
        <v>27</v>
      </c>
      <c r="E829" s="19" t="str">
        <f>VLOOKUP(A829,Sheet1!A:M,13,0)</f>
        <v>France</v>
      </c>
      <c r="F829" s="19" t="str">
        <f>VLOOKUP(A829,Sheet1!A:N,14,0)</f>
        <v>French</v>
      </c>
      <c r="G829" s="19" t="str">
        <f>VLOOKUP(A829,Sheet1!A:O,15,0)</f>
        <v>Cybersecurity</v>
      </c>
      <c r="H829" s="19">
        <f>VLOOKUP(A829,Sheet1!A:Q,17,0)</f>
        <v>2</v>
      </c>
      <c r="I829" s="20">
        <f>VLOOKUP(A829,Sheet1!A:V,22,0)</f>
        <v>50</v>
      </c>
      <c r="J829" s="21">
        <f>VLOOKUP(A829,Sheet1!A:X,24,0)</f>
        <v>2.5677938808373573</v>
      </c>
      <c r="K829" s="19" t="str">
        <f>VLOOKUP(A829,Sheet1!A:AB,28,0)</f>
        <v>No</v>
      </c>
      <c r="L829" s="27">
        <f>VLOOKUP(A829,Sheet1!A:AD,30,0)</f>
        <v>84</v>
      </c>
    </row>
    <row r="830" spans="1:12" x14ac:dyDescent="0.3">
      <c r="A830" s="14" t="s">
        <v>851</v>
      </c>
      <c r="B830" s="19" t="str">
        <f>VLOOKUP(A830,Sheet1!A:E,5,0)</f>
        <v>Ronald Walls</v>
      </c>
      <c r="C830" s="19" t="str">
        <f>VLOOKUP(A830,Sheet1!A:I,9,0)</f>
        <v>Male</v>
      </c>
      <c r="D830" s="19">
        <f>VLOOKUP(A830,Sheet1!A:K,11,0)</f>
        <v>27</v>
      </c>
      <c r="E830" s="19" t="str">
        <f>VLOOKUP(A830,Sheet1!A:M,13,0)</f>
        <v>Canada</v>
      </c>
      <c r="F830" s="19" t="str">
        <f>VLOOKUP(A830,Sheet1!A:N,14,0)</f>
        <v>English</v>
      </c>
      <c r="G830" s="19" t="str">
        <f>VLOOKUP(A830,Sheet1!A:O,15,0)</f>
        <v>Cybersecurity</v>
      </c>
      <c r="H830" s="19">
        <f>VLOOKUP(A830,Sheet1!A:Q,17,0)</f>
        <v>8</v>
      </c>
      <c r="I830" s="20">
        <f>VLOOKUP(A830,Sheet1!A:V,22,0)</f>
        <v>20</v>
      </c>
      <c r="J830" s="21">
        <f>VLOOKUP(A830,Sheet1!A:X,24,0)</f>
        <v>4.8</v>
      </c>
      <c r="K830" s="19" t="str">
        <f>VLOOKUP(A830,Sheet1!A:AB,28,0)</f>
        <v>No</v>
      </c>
      <c r="L830" s="27">
        <f>VLOOKUP(A830,Sheet1!A:AD,30,0)</f>
        <v>81</v>
      </c>
    </row>
    <row r="831" spans="1:12" x14ac:dyDescent="0.3">
      <c r="A831" s="14" t="s">
        <v>545</v>
      </c>
      <c r="B831" s="19" t="str">
        <f>VLOOKUP(A831,Sheet1!A:E,5,0)</f>
        <v>Ryan Crawford</v>
      </c>
      <c r="C831" s="19" t="str">
        <f>VLOOKUP(A831,Sheet1!A:I,9,0)</f>
        <v>Male</v>
      </c>
      <c r="D831" s="19">
        <f>VLOOKUP(A831,Sheet1!A:K,11,0)</f>
        <v>27</v>
      </c>
      <c r="E831" s="19" t="str">
        <f>VLOOKUP(A831,Sheet1!A:M,13,0)</f>
        <v>South Africa</v>
      </c>
      <c r="F831" s="19" t="str">
        <f>VLOOKUP(A831,Sheet1!A:N,14,0)</f>
        <v>Afrikaans</v>
      </c>
      <c r="G831" s="19" t="str">
        <f>VLOOKUP(A831,Sheet1!A:O,15,0)</f>
        <v>Web Development</v>
      </c>
      <c r="H831" s="19">
        <f>VLOOKUP(A831,Sheet1!A:Q,17,0)</f>
        <v>2</v>
      </c>
      <c r="I831" s="20">
        <f>VLOOKUP(A831,Sheet1!A:V,22,0)</f>
        <v>40</v>
      </c>
      <c r="J831" s="21">
        <f>VLOOKUP(A831,Sheet1!A:X,24,0)</f>
        <v>1.2</v>
      </c>
      <c r="K831" s="19" t="str">
        <f>VLOOKUP(A831,Sheet1!A:AB,28,0)</f>
        <v>No</v>
      </c>
      <c r="L831" s="27">
        <f>VLOOKUP(A831,Sheet1!A:AD,30,0)</f>
        <v>79.613104524180969</v>
      </c>
    </row>
    <row r="832" spans="1:12" x14ac:dyDescent="0.3">
      <c r="A832" s="14" t="s">
        <v>1307</v>
      </c>
      <c r="B832" s="19" t="str">
        <f>VLOOKUP(A832,Sheet1!A:E,5,0)</f>
        <v>Thomas Mooney</v>
      </c>
      <c r="C832" s="19" t="str">
        <f>VLOOKUP(A832,Sheet1!A:I,9,0)</f>
        <v>Male</v>
      </c>
      <c r="D832" s="19">
        <f>VLOOKUP(A832,Sheet1!A:K,11,0)</f>
        <v>27</v>
      </c>
      <c r="E832" s="19" t="str">
        <f>VLOOKUP(A832,Sheet1!A:M,13,0)</f>
        <v>Brazil</v>
      </c>
      <c r="F832" s="19" t="str">
        <f>VLOOKUP(A832,Sheet1!A:N,14,0)</f>
        <v>Portuguese</v>
      </c>
      <c r="G832" s="19" t="str">
        <f>VLOOKUP(A832,Sheet1!A:O,15,0)</f>
        <v>Web Development</v>
      </c>
      <c r="H832" s="19">
        <f>VLOOKUP(A832,Sheet1!A:Q,17,0)</f>
        <v>9</v>
      </c>
      <c r="I832" s="20">
        <f>VLOOKUP(A832,Sheet1!A:V,22,0)</f>
        <v>100</v>
      </c>
      <c r="J832" s="21">
        <f>VLOOKUP(A832,Sheet1!A:X,24,0)</f>
        <v>2.6133720930232567</v>
      </c>
      <c r="K832" s="19" t="str">
        <f>VLOOKUP(A832,Sheet1!A:AB,28,0)</f>
        <v>Yes</v>
      </c>
      <c r="L832" s="27">
        <f>VLOOKUP(A832,Sheet1!A:AD,30,0)</f>
        <v>79.920972644376903</v>
      </c>
    </row>
    <row r="833" spans="1:12" x14ac:dyDescent="0.3">
      <c r="A833" s="14" t="s">
        <v>1012</v>
      </c>
      <c r="B833" s="19" t="str">
        <f>VLOOKUP(A833,Sheet1!A:E,5,0)</f>
        <v>Tiffany Bowman</v>
      </c>
      <c r="C833" s="19" t="str">
        <f>VLOOKUP(A833,Sheet1!A:I,9,0)</f>
        <v>Female</v>
      </c>
      <c r="D833" s="19">
        <f>VLOOKUP(A833,Sheet1!A:K,11,0)</f>
        <v>27</v>
      </c>
      <c r="E833" s="19" t="str">
        <f>VLOOKUP(A833,Sheet1!A:M,13,0)</f>
        <v>Egypt</v>
      </c>
      <c r="F833" s="19" t="str">
        <f>VLOOKUP(A833,Sheet1!A:N,14,0)</f>
        <v>Arabic</v>
      </c>
      <c r="G833" s="19" t="str">
        <f>VLOOKUP(A833,Sheet1!A:O,15,0)</f>
        <v>Data Analysis</v>
      </c>
      <c r="H833" s="19">
        <f>VLOOKUP(A833,Sheet1!A:Q,17,0)</f>
        <v>1</v>
      </c>
      <c r="I833" s="20">
        <f>VLOOKUP(A833,Sheet1!A:V,22,0)</f>
        <v>30</v>
      </c>
      <c r="J833" s="21">
        <f>VLOOKUP(A833,Sheet1!A:X,24,0)</f>
        <v>1.7</v>
      </c>
      <c r="K833" s="19" t="str">
        <f>VLOOKUP(A833,Sheet1!A:AB,28,0)</f>
        <v>No</v>
      </c>
      <c r="L833" s="27">
        <f>VLOOKUP(A833,Sheet1!A:AD,30,0)</f>
        <v>65</v>
      </c>
    </row>
    <row r="834" spans="1:12" x14ac:dyDescent="0.3">
      <c r="A834" s="14" t="s">
        <v>315</v>
      </c>
      <c r="B834" s="19" t="str">
        <f>VLOOKUP(A834,Sheet1!A:E,5,0)</f>
        <v>Tyler Warner</v>
      </c>
      <c r="C834" s="19" t="str">
        <f>VLOOKUP(A834,Sheet1!A:I,9,0)</f>
        <v>Male</v>
      </c>
      <c r="D834" s="19">
        <f>VLOOKUP(A834,Sheet1!A:K,11,0)</f>
        <v>27</v>
      </c>
      <c r="E834" s="19" t="str">
        <f>VLOOKUP(A834,Sheet1!A:M,13,0)</f>
        <v>Argentina</v>
      </c>
      <c r="F834" s="19" t="str">
        <f>VLOOKUP(A834,Sheet1!A:N,14,0)</f>
        <v>Spanish</v>
      </c>
      <c r="G834" s="19" t="str">
        <f>VLOOKUP(A834,Sheet1!A:O,15,0)</f>
        <v>UI/UX Design</v>
      </c>
      <c r="H834" s="19">
        <f>VLOOKUP(A834,Sheet1!A:Q,17,0)</f>
        <v>5</v>
      </c>
      <c r="I834" s="20">
        <f>VLOOKUP(A834,Sheet1!A:V,22,0)</f>
        <v>30</v>
      </c>
      <c r="J834" s="21">
        <f>VLOOKUP(A834,Sheet1!A:X,24,0)</f>
        <v>2.5148936170212757</v>
      </c>
      <c r="K834" s="19" t="str">
        <f>VLOOKUP(A834,Sheet1!A:AB,28,0)</f>
        <v>No</v>
      </c>
      <c r="L834" s="27">
        <f>VLOOKUP(A834,Sheet1!A:AD,30,0)</f>
        <v>92</v>
      </c>
    </row>
    <row r="835" spans="1:12" x14ac:dyDescent="0.3">
      <c r="A835" s="14" t="s">
        <v>1940</v>
      </c>
      <c r="B835" s="19" t="str">
        <f>VLOOKUP(A835,Sheet1!A:E,5,0)</f>
        <v>Zachary Larsen</v>
      </c>
      <c r="C835" s="19" t="str">
        <f>VLOOKUP(A835,Sheet1!A:I,9,0)</f>
        <v>Male</v>
      </c>
      <c r="D835" s="19">
        <f>VLOOKUP(A835,Sheet1!A:K,11,0)</f>
        <v>27</v>
      </c>
      <c r="E835" s="19" t="str">
        <f>VLOOKUP(A835,Sheet1!A:M,13,0)</f>
        <v>South Africa</v>
      </c>
      <c r="F835" s="19" t="str">
        <f>VLOOKUP(A835,Sheet1!A:N,14,0)</f>
        <v>Afrikaans</v>
      </c>
      <c r="G835" s="19" t="str">
        <f>VLOOKUP(A835,Sheet1!A:O,15,0)</f>
        <v>DevOps</v>
      </c>
      <c r="H835" s="19">
        <f>VLOOKUP(A835,Sheet1!A:Q,17,0)</f>
        <v>1</v>
      </c>
      <c r="I835" s="20">
        <f>VLOOKUP(A835,Sheet1!A:V,22,0)</f>
        <v>100</v>
      </c>
      <c r="J835" s="21">
        <f>VLOOKUP(A835,Sheet1!A:X,24,0)</f>
        <v>3.7</v>
      </c>
      <c r="K835" s="19" t="str">
        <f>VLOOKUP(A835,Sheet1!A:AB,28,0)</f>
        <v>Yes</v>
      </c>
      <c r="L835" s="27">
        <f>VLOOKUP(A835,Sheet1!A:AD,30,0)</f>
        <v>61</v>
      </c>
    </row>
    <row r="836" spans="1:12" x14ac:dyDescent="0.3">
      <c r="A836" s="14" t="s">
        <v>1834</v>
      </c>
      <c r="B836" s="19" t="str">
        <f>VLOOKUP(A836,Sheet1!A:E,5,0)</f>
        <v>Aaron Blair</v>
      </c>
      <c r="C836" s="19" t="str">
        <f>VLOOKUP(A836,Sheet1!A:I,9,0)</f>
        <v>Male</v>
      </c>
      <c r="D836" s="19">
        <f>VLOOKUP(A836,Sheet1!A:K,11,0)</f>
        <v>26</v>
      </c>
      <c r="E836" s="19" t="str">
        <f>VLOOKUP(A836,Sheet1!A:M,13,0)</f>
        <v>Spain</v>
      </c>
      <c r="F836" s="19" t="str">
        <f>VLOOKUP(A836,Sheet1!A:N,14,0)</f>
        <v>Spanish</v>
      </c>
      <c r="G836" s="19" t="str">
        <f>VLOOKUP(A836,Sheet1!A:O,15,0)</f>
        <v>Blockchain Development</v>
      </c>
      <c r="H836" s="19">
        <f>VLOOKUP(A836,Sheet1!A:Q,17,0)</f>
        <v>3</v>
      </c>
      <c r="I836" s="20">
        <f>VLOOKUP(A836,Sheet1!A:V,22,0)</f>
        <v>75</v>
      </c>
      <c r="J836" s="21">
        <f>VLOOKUP(A836,Sheet1!A:X,24,0)</f>
        <v>2.1</v>
      </c>
      <c r="K836" s="19" t="str">
        <f>VLOOKUP(A836,Sheet1!A:AB,28,0)</f>
        <v>Yes</v>
      </c>
      <c r="L836" s="27">
        <f>VLOOKUP(A836,Sheet1!A:AD,30,0)</f>
        <v>80.373831775700936</v>
      </c>
    </row>
    <row r="837" spans="1:12" x14ac:dyDescent="0.3">
      <c r="A837" s="14" t="s">
        <v>921</v>
      </c>
      <c r="B837" s="19" t="str">
        <f>VLOOKUP(A837,Sheet1!A:E,5,0)</f>
        <v>Allison Henderson</v>
      </c>
      <c r="C837" s="19" t="str">
        <f>VLOOKUP(A837,Sheet1!A:I,9,0)</f>
        <v>Female</v>
      </c>
      <c r="D837" s="19">
        <f>VLOOKUP(A837,Sheet1!A:K,11,0)</f>
        <v>26</v>
      </c>
      <c r="E837" s="19" t="str">
        <f>VLOOKUP(A837,Sheet1!A:M,13,0)</f>
        <v>Egypt</v>
      </c>
      <c r="F837" s="19" t="str">
        <f>VLOOKUP(A837,Sheet1!A:N,14,0)</f>
        <v>Arabic</v>
      </c>
      <c r="G837" s="19" t="str">
        <f>VLOOKUP(A837,Sheet1!A:O,15,0)</f>
        <v>Web Development</v>
      </c>
      <c r="H837" s="19">
        <f>VLOOKUP(A837,Sheet1!A:Q,17,0)</f>
        <v>2</v>
      </c>
      <c r="I837" s="20">
        <f>VLOOKUP(A837,Sheet1!A:V,22,0)</f>
        <v>20</v>
      </c>
      <c r="J837" s="21">
        <f>VLOOKUP(A837,Sheet1!A:X,24,0)</f>
        <v>1.3</v>
      </c>
      <c r="K837" s="19" t="str">
        <f>VLOOKUP(A837,Sheet1!A:AB,28,0)</f>
        <v>No</v>
      </c>
      <c r="L837" s="27">
        <f>VLOOKUP(A837,Sheet1!A:AD,30,0)</f>
        <v>83</v>
      </c>
    </row>
    <row r="838" spans="1:12" x14ac:dyDescent="0.3">
      <c r="A838" s="14" t="s">
        <v>725</v>
      </c>
      <c r="B838" s="19" t="str">
        <f>VLOOKUP(A838,Sheet1!A:E,5,0)</f>
        <v>Angela Castillo</v>
      </c>
      <c r="C838" s="19" t="str">
        <f>VLOOKUP(A838,Sheet1!A:I,9,0)</f>
        <v>Female</v>
      </c>
      <c r="D838" s="19">
        <f>VLOOKUP(A838,Sheet1!A:K,11,0)</f>
        <v>26</v>
      </c>
      <c r="E838" s="19" t="str">
        <f>VLOOKUP(A838,Sheet1!A:M,13,0)</f>
        <v>Argentina</v>
      </c>
      <c r="F838" s="19" t="str">
        <f>VLOOKUP(A838,Sheet1!A:N,14,0)</f>
        <v>Spanish</v>
      </c>
      <c r="G838" s="19" t="str">
        <f>VLOOKUP(A838,Sheet1!A:O,15,0)</f>
        <v>Blockchain Development</v>
      </c>
      <c r="H838" s="19">
        <f>VLOOKUP(A838,Sheet1!A:Q,17,0)</f>
        <v>3</v>
      </c>
      <c r="I838" s="20">
        <f>VLOOKUP(A838,Sheet1!A:V,22,0)</f>
        <v>100</v>
      </c>
      <c r="J838" s="21">
        <f>VLOOKUP(A838,Sheet1!A:X,24,0)</f>
        <v>2.8</v>
      </c>
      <c r="K838" s="19" t="str">
        <f>VLOOKUP(A838,Sheet1!A:AB,28,0)</f>
        <v>Yes</v>
      </c>
      <c r="L838" s="27">
        <f>VLOOKUP(A838,Sheet1!A:AD,30,0)</f>
        <v>61</v>
      </c>
    </row>
    <row r="839" spans="1:12" x14ac:dyDescent="0.3">
      <c r="A839" s="14" t="s">
        <v>2080</v>
      </c>
      <c r="B839" s="19" t="str">
        <f>VLOOKUP(A839,Sheet1!A:E,5,0)</f>
        <v>Cheryl Norris</v>
      </c>
      <c r="C839" s="19" t="str">
        <f>VLOOKUP(A839,Sheet1!A:I,9,0)</f>
        <v>Female</v>
      </c>
      <c r="D839" s="19">
        <f>VLOOKUP(A839,Sheet1!A:K,11,0)</f>
        <v>26</v>
      </c>
      <c r="E839" s="19" t="str">
        <f>VLOOKUP(A839,Sheet1!A:M,13,0)</f>
        <v>Germany</v>
      </c>
      <c r="F839" s="19" t="str">
        <f>VLOOKUP(A839,Sheet1!A:N,14,0)</f>
        <v>German</v>
      </c>
      <c r="G839" s="19" t="str">
        <f>VLOOKUP(A839,Sheet1!A:O,15,0)</f>
        <v>Blockchain Development</v>
      </c>
      <c r="H839" s="19">
        <f>VLOOKUP(A839,Sheet1!A:Q,17,0)</f>
        <v>6</v>
      </c>
      <c r="I839" s="20">
        <f>VLOOKUP(A839,Sheet1!A:V,22,0)</f>
        <v>40</v>
      </c>
      <c r="J839" s="21">
        <f>VLOOKUP(A839,Sheet1!A:X,24,0)</f>
        <v>2.8</v>
      </c>
      <c r="K839" s="19" t="str">
        <f>VLOOKUP(A839,Sheet1!A:AB,28,0)</f>
        <v>No</v>
      </c>
      <c r="L839" s="27">
        <f>VLOOKUP(A839,Sheet1!A:AD,30,0)</f>
        <v>82</v>
      </c>
    </row>
    <row r="840" spans="1:12" x14ac:dyDescent="0.3">
      <c r="A840" s="14" t="s">
        <v>2060</v>
      </c>
      <c r="B840" s="19" t="str">
        <f>VLOOKUP(A840,Sheet1!A:E,5,0)</f>
        <v>Daniel Thomas</v>
      </c>
      <c r="C840" s="19" t="str">
        <f>VLOOKUP(A840,Sheet1!A:I,9,0)</f>
        <v>Male</v>
      </c>
      <c r="D840" s="19">
        <f>VLOOKUP(A840,Sheet1!A:K,11,0)</f>
        <v>26</v>
      </c>
      <c r="E840" s="19" t="str">
        <f>VLOOKUP(A840,Sheet1!A:M,13,0)</f>
        <v>Egypt</v>
      </c>
      <c r="F840" s="19" t="str">
        <f>VLOOKUP(A840,Sheet1!A:N,14,0)</f>
        <v>Arabic</v>
      </c>
      <c r="G840" s="19" t="str">
        <f>VLOOKUP(A840,Sheet1!A:O,15,0)</f>
        <v>Machine Learning</v>
      </c>
      <c r="H840" s="19">
        <f>VLOOKUP(A840,Sheet1!A:Q,17,0)</f>
        <v>3</v>
      </c>
      <c r="I840" s="20">
        <f>VLOOKUP(A840,Sheet1!A:V,22,0)</f>
        <v>50</v>
      </c>
      <c r="J840" s="21">
        <f>VLOOKUP(A840,Sheet1!A:X,24,0)</f>
        <v>0</v>
      </c>
      <c r="K840" s="19" t="str">
        <f>VLOOKUP(A840,Sheet1!A:AB,28,0)</f>
        <v>Yes</v>
      </c>
      <c r="L840" s="27">
        <f>VLOOKUP(A840,Sheet1!A:AD,30,0)</f>
        <v>81</v>
      </c>
    </row>
    <row r="841" spans="1:12" x14ac:dyDescent="0.3">
      <c r="A841" s="14" t="s">
        <v>1875</v>
      </c>
      <c r="B841" s="19" t="str">
        <f>VLOOKUP(A841,Sheet1!A:E,5,0)</f>
        <v>David Armstrong</v>
      </c>
      <c r="C841" s="19" t="str">
        <f>VLOOKUP(A841,Sheet1!A:I,9,0)</f>
        <v>Male</v>
      </c>
      <c r="D841" s="19">
        <f>VLOOKUP(A841,Sheet1!A:K,11,0)</f>
        <v>26</v>
      </c>
      <c r="E841" s="19" t="str">
        <f>VLOOKUP(A841,Sheet1!A:M,13,0)</f>
        <v>India</v>
      </c>
      <c r="F841" s="19" t="str">
        <f>VLOOKUP(A841,Sheet1!A:N,14,0)</f>
        <v>Hindi</v>
      </c>
      <c r="G841" s="19" t="str">
        <f>VLOOKUP(A841,Sheet1!A:O,15,0)</f>
        <v>Blockchain Development</v>
      </c>
      <c r="H841" s="19">
        <f>VLOOKUP(A841,Sheet1!A:Q,17,0)</f>
        <v>7</v>
      </c>
      <c r="I841" s="20">
        <f>VLOOKUP(A841,Sheet1!A:V,22,0)</f>
        <v>75</v>
      </c>
      <c r="J841" s="21">
        <f>VLOOKUP(A841,Sheet1!A:X,24,0)</f>
        <v>3</v>
      </c>
      <c r="K841" s="19" t="str">
        <f>VLOOKUP(A841,Sheet1!A:AB,28,0)</f>
        <v>Unknown</v>
      </c>
      <c r="L841" s="27">
        <f>VLOOKUP(A841,Sheet1!A:AD,30,0)</f>
        <v>84</v>
      </c>
    </row>
    <row r="842" spans="1:12" x14ac:dyDescent="0.3">
      <c r="A842" s="14" t="s">
        <v>2050</v>
      </c>
      <c r="B842" s="19" t="str">
        <f>VLOOKUP(A842,Sheet1!A:E,5,0)</f>
        <v>David Gonzalez</v>
      </c>
      <c r="C842" s="19" t="str">
        <f>VLOOKUP(A842,Sheet1!A:I,9,0)</f>
        <v>Male</v>
      </c>
      <c r="D842" s="19">
        <f>VLOOKUP(A842,Sheet1!A:K,11,0)</f>
        <v>26</v>
      </c>
      <c r="E842" s="19" t="str">
        <f>VLOOKUP(A842,Sheet1!A:M,13,0)</f>
        <v>Brazil</v>
      </c>
      <c r="F842" s="19" t="str">
        <f>VLOOKUP(A842,Sheet1!A:N,14,0)</f>
        <v>Portuguese</v>
      </c>
      <c r="G842" s="19" t="str">
        <f>VLOOKUP(A842,Sheet1!A:O,15,0)</f>
        <v>Cybersecurity</v>
      </c>
      <c r="H842" s="19">
        <f>VLOOKUP(A842,Sheet1!A:Q,17,0)</f>
        <v>8</v>
      </c>
      <c r="I842" s="20">
        <f>VLOOKUP(A842,Sheet1!A:V,22,0)</f>
        <v>20</v>
      </c>
      <c r="J842" s="21">
        <f>VLOOKUP(A842,Sheet1!A:X,24,0)</f>
        <v>3.6</v>
      </c>
      <c r="K842" s="19" t="str">
        <f>VLOOKUP(A842,Sheet1!A:AB,28,0)</f>
        <v>No</v>
      </c>
      <c r="L842" s="27">
        <f>VLOOKUP(A842,Sheet1!A:AD,30,0)</f>
        <v>67</v>
      </c>
    </row>
    <row r="843" spans="1:12" x14ac:dyDescent="0.3">
      <c r="A843" s="14" t="s">
        <v>1564</v>
      </c>
      <c r="B843" s="19" t="str">
        <f>VLOOKUP(A843,Sheet1!A:E,5,0)</f>
        <v>Gregory Waters</v>
      </c>
      <c r="C843" s="19" t="str">
        <f>VLOOKUP(A843,Sheet1!A:I,9,0)</f>
        <v>Male</v>
      </c>
      <c r="D843" s="19">
        <f>VLOOKUP(A843,Sheet1!A:K,11,0)</f>
        <v>26</v>
      </c>
      <c r="E843" s="19" t="str">
        <f>VLOOKUP(A843,Sheet1!A:M,13,0)</f>
        <v>Netherlands</v>
      </c>
      <c r="F843" s="19" t="str">
        <f>VLOOKUP(A843,Sheet1!A:N,14,0)</f>
        <v>Dutch</v>
      </c>
      <c r="G843" s="19" t="str">
        <f>VLOOKUP(A843,Sheet1!A:O,15,0)</f>
        <v>AI</v>
      </c>
      <c r="H843" s="19">
        <f>VLOOKUP(A843,Sheet1!A:Q,17,0)</f>
        <v>6</v>
      </c>
      <c r="I843" s="20">
        <f>VLOOKUP(A843,Sheet1!A:V,22,0)</f>
        <v>100</v>
      </c>
      <c r="J843" s="21">
        <f>VLOOKUP(A843,Sheet1!A:X,24,0)</f>
        <v>2.5627705627705639</v>
      </c>
      <c r="K843" s="19" t="str">
        <f>VLOOKUP(A843,Sheet1!A:AB,28,0)</f>
        <v>No</v>
      </c>
      <c r="L843" s="27">
        <f>VLOOKUP(A843,Sheet1!A:AD,30,0)</f>
        <v>69</v>
      </c>
    </row>
    <row r="844" spans="1:12" x14ac:dyDescent="0.3">
      <c r="A844" s="14" t="s">
        <v>645</v>
      </c>
      <c r="B844" s="19" t="str">
        <f>VLOOKUP(A844,Sheet1!A:E,5,0)</f>
        <v>Haley Yates</v>
      </c>
      <c r="C844" s="19" t="str">
        <f>VLOOKUP(A844,Sheet1!A:I,9,0)</f>
        <v>Female</v>
      </c>
      <c r="D844" s="19">
        <f>VLOOKUP(A844,Sheet1!A:K,11,0)</f>
        <v>26</v>
      </c>
      <c r="E844" s="19" t="str">
        <f>VLOOKUP(A844,Sheet1!A:M,13,0)</f>
        <v>China</v>
      </c>
      <c r="F844" s="19" t="str">
        <f>VLOOKUP(A844,Sheet1!A:N,14,0)</f>
        <v>Mandarin</v>
      </c>
      <c r="G844" s="19" t="str">
        <f>VLOOKUP(A844,Sheet1!A:O,15,0)</f>
        <v>UI/UX Design</v>
      </c>
      <c r="H844" s="19">
        <f>VLOOKUP(A844,Sheet1!A:Q,17,0)</f>
        <v>4</v>
      </c>
      <c r="I844" s="20">
        <f>VLOOKUP(A844,Sheet1!A:V,22,0)</f>
        <v>100</v>
      </c>
      <c r="J844" s="21">
        <f>VLOOKUP(A844,Sheet1!A:X,24,0)</f>
        <v>3.6</v>
      </c>
      <c r="K844" s="19" t="str">
        <f>VLOOKUP(A844,Sheet1!A:AB,28,0)</f>
        <v>No</v>
      </c>
      <c r="L844" s="27">
        <f>VLOOKUP(A844,Sheet1!A:AD,30,0)</f>
        <v>81</v>
      </c>
    </row>
    <row r="845" spans="1:12" x14ac:dyDescent="0.3">
      <c r="A845" s="14" t="s">
        <v>1147</v>
      </c>
      <c r="B845" s="19" t="str">
        <f>VLOOKUP(A845,Sheet1!A:E,5,0)</f>
        <v>Jason Bryant</v>
      </c>
      <c r="C845" s="19" t="str">
        <f>VLOOKUP(A845,Sheet1!A:I,9,0)</f>
        <v>Male</v>
      </c>
      <c r="D845" s="19">
        <f>VLOOKUP(A845,Sheet1!A:K,11,0)</f>
        <v>26</v>
      </c>
      <c r="E845" s="19" t="str">
        <f>VLOOKUP(A845,Sheet1!A:M,13,0)</f>
        <v>Spain</v>
      </c>
      <c r="F845" s="19" t="str">
        <f>VLOOKUP(A845,Sheet1!A:N,14,0)</f>
        <v>Spanish</v>
      </c>
      <c r="G845" s="19" t="str">
        <f>VLOOKUP(A845,Sheet1!A:O,15,0)</f>
        <v>Blockchain Development</v>
      </c>
      <c r="H845" s="19">
        <f>VLOOKUP(A845,Sheet1!A:Q,17,0)</f>
        <v>1</v>
      </c>
      <c r="I845" s="20">
        <f>VLOOKUP(A845,Sheet1!A:V,22,0)</f>
        <v>20</v>
      </c>
      <c r="J845" s="21">
        <f>VLOOKUP(A845,Sheet1!A:X,24,0)</f>
        <v>0</v>
      </c>
      <c r="K845" s="19" t="str">
        <f>VLOOKUP(A845,Sheet1!A:AB,28,0)</f>
        <v>Yes</v>
      </c>
      <c r="L845" s="27">
        <f>VLOOKUP(A845,Sheet1!A:AD,30,0)</f>
        <v>79.848101265822791</v>
      </c>
    </row>
    <row r="846" spans="1:12" x14ac:dyDescent="0.3">
      <c r="A846" s="14" t="s">
        <v>1020</v>
      </c>
      <c r="B846" s="19" t="str">
        <f>VLOOKUP(A846,Sheet1!A:E,5,0)</f>
        <v>John Mathis</v>
      </c>
      <c r="C846" s="19" t="str">
        <f>VLOOKUP(A846,Sheet1!A:I,9,0)</f>
        <v>Male</v>
      </c>
      <c r="D846" s="19">
        <f>VLOOKUP(A846,Sheet1!A:K,11,0)</f>
        <v>26</v>
      </c>
      <c r="E846" s="19" t="str">
        <f>VLOOKUP(A846,Sheet1!A:M,13,0)</f>
        <v>Mexico</v>
      </c>
      <c r="F846" s="19" t="str">
        <f>VLOOKUP(A846,Sheet1!A:N,14,0)</f>
        <v>Spanish</v>
      </c>
      <c r="G846" s="19" t="str">
        <f>VLOOKUP(A846,Sheet1!A:O,15,0)</f>
        <v>Web Development</v>
      </c>
      <c r="H846" s="19">
        <f>VLOOKUP(A846,Sheet1!A:Q,17,0)</f>
        <v>8</v>
      </c>
      <c r="I846" s="20">
        <f>VLOOKUP(A846,Sheet1!A:V,22,0)</f>
        <v>40</v>
      </c>
      <c r="J846" s="21">
        <f>VLOOKUP(A846,Sheet1!A:X,24,0)</f>
        <v>4.9000000000000004</v>
      </c>
      <c r="K846" s="19" t="str">
        <f>VLOOKUP(A846,Sheet1!A:AB,28,0)</f>
        <v>No</v>
      </c>
      <c r="L846" s="27">
        <f>VLOOKUP(A846,Sheet1!A:AD,30,0)</f>
        <v>87</v>
      </c>
    </row>
    <row r="847" spans="1:12" x14ac:dyDescent="0.3">
      <c r="A847" s="14" t="s">
        <v>372</v>
      </c>
      <c r="B847" s="19" t="str">
        <f>VLOOKUP(A847,Sheet1!A:E,5,0)</f>
        <v>Joshua Armstrong</v>
      </c>
      <c r="C847" s="19" t="str">
        <f>VLOOKUP(A847,Sheet1!A:I,9,0)</f>
        <v>Male</v>
      </c>
      <c r="D847" s="19">
        <f>VLOOKUP(A847,Sheet1!A:K,11,0)</f>
        <v>26</v>
      </c>
      <c r="E847" s="19" t="str">
        <f>VLOOKUP(A847,Sheet1!A:M,13,0)</f>
        <v>Mexico</v>
      </c>
      <c r="F847" s="19" t="str">
        <f>VLOOKUP(A847,Sheet1!A:N,14,0)</f>
        <v>Spanish</v>
      </c>
      <c r="G847" s="19" t="str">
        <f>VLOOKUP(A847,Sheet1!A:O,15,0)</f>
        <v>UI/UX Design</v>
      </c>
      <c r="H847" s="19">
        <f>VLOOKUP(A847,Sheet1!A:Q,17,0)</f>
        <v>5</v>
      </c>
      <c r="I847" s="20">
        <f>VLOOKUP(A847,Sheet1!A:V,22,0)</f>
        <v>50</v>
      </c>
      <c r="J847" s="21">
        <f>VLOOKUP(A847,Sheet1!A:X,24,0)</f>
        <v>0</v>
      </c>
      <c r="K847" s="19" t="str">
        <f>VLOOKUP(A847,Sheet1!A:AB,28,0)</f>
        <v>No</v>
      </c>
      <c r="L847" s="27">
        <f>VLOOKUP(A847,Sheet1!A:AD,30,0)</f>
        <v>79.583798882681563</v>
      </c>
    </row>
    <row r="848" spans="1:12" x14ac:dyDescent="0.3">
      <c r="A848" s="14" t="s">
        <v>1676</v>
      </c>
      <c r="B848" s="19" t="str">
        <f>VLOOKUP(A848,Sheet1!A:E,5,0)</f>
        <v>Keith Smith</v>
      </c>
      <c r="C848" s="19" t="str">
        <f>VLOOKUP(A848,Sheet1!A:I,9,0)</f>
        <v>Male</v>
      </c>
      <c r="D848" s="19">
        <f>VLOOKUP(A848,Sheet1!A:K,11,0)</f>
        <v>26</v>
      </c>
      <c r="E848" s="19" t="str">
        <f>VLOOKUP(A848,Sheet1!A:M,13,0)</f>
        <v>Australia</v>
      </c>
      <c r="F848" s="19" t="str">
        <f>VLOOKUP(A848,Sheet1!A:N,14,0)</f>
        <v>English</v>
      </c>
      <c r="G848" s="19" t="str">
        <f>VLOOKUP(A848,Sheet1!A:O,15,0)</f>
        <v>Data Analysis</v>
      </c>
      <c r="H848" s="19">
        <f>VLOOKUP(A848,Sheet1!A:Q,17,0)</f>
        <v>5</v>
      </c>
      <c r="I848" s="20">
        <f>VLOOKUP(A848,Sheet1!A:V,22,0)</f>
        <v>100</v>
      </c>
      <c r="J848" s="21">
        <f>VLOOKUP(A848,Sheet1!A:X,24,0)</f>
        <v>2.5</v>
      </c>
      <c r="K848" s="19" t="str">
        <f>VLOOKUP(A848,Sheet1!A:AB,28,0)</f>
        <v>Yes</v>
      </c>
      <c r="L848" s="27">
        <f>VLOOKUP(A848,Sheet1!A:AD,30,0)</f>
        <v>93</v>
      </c>
    </row>
    <row r="849" spans="1:12" x14ac:dyDescent="0.3">
      <c r="A849" s="14" t="s">
        <v>1279</v>
      </c>
      <c r="B849" s="19" t="str">
        <f>VLOOKUP(A849,Sheet1!A:E,5,0)</f>
        <v>Kimberly Hunter</v>
      </c>
      <c r="C849" s="19" t="str">
        <f>VLOOKUP(A849,Sheet1!A:I,9,0)</f>
        <v>Female</v>
      </c>
      <c r="D849" s="19">
        <f>VLOOKUP(A849,Sheet1!A:K,11,0)</f>
        <v>26</v>
      </c>
      <c r="E849" s="19" t="str">
        <f>VLOOKUP(A849,Sheet1!A:M,13,0)</f>
        <v>Australia</v>
      </c>
      <c r="F849" s="19" t="str">
        <f>VLOOKUP(A849,Sheet1!A:N,14,0)</f>
        <v>English</v>
      </c>
      <c r="G849" s="19" t="str">
        <f>VLOOKUP(A849,Sheet1!A:O,15,0)</f>
        <v>Graphic Design</v>
      </c>
      <c r="H849" s="19">
        <f>VLOOKUP(A849,Sheet1!A:Q,17,0)</f>
        <v>2</v>
      </c>
      <c r="I849" s="20">
        <f>VLOOKUP(A849,Sheet1!A:V,22,0)</f>
        <v>75</v>
      </c>
      <c r="J849" s="21">
        <f>VLOOKUP(A849,Sheet1!A:X,24,0)</f>
        <v>2.5</v>
      </c>
      <c r="K849" s="19" t="str">
        <f>VLOOKUP(A849,Sheet1!A:AB,28,0)</f>
        <v>Yes</v>
      </c>
      <c r="L849" s="27">
        <f>VLOOKUP(A849,Sheet1!A:AD,30,0)</f>
        <v>60</v>
      </c>
    </row>
    <row r="850" spans="1:12" x14ac:dyDescent="0.3">
      <c r="A850" s="14" t="s">
        <v>1958</v>
      </c>
      <c r="B850" s="19" t="str">
        <f>VLOOKUP(A850,Sheet1!A:E,5,0)</f>
        <v>Kristina Miller</v>
      </c>
      <c r="C850" s="19" t="str">
        <f>VLOOKUP(A850,Sheet1!A:I,9,0)</f>
        <v>Female</v>
      </c>
      <c r="D850" s="19">
        <f>VLOOKUP(A850,Sheet1!A:K,11,0)</f>
        <v>26</v>
      </c>
      <c r="E850" s="19" t="str">
        <f>VLOOKUP(A850,Sheet1!A:M,13,0)</f>
        <v>Russia</v>
      </c>
      <c r="F850" s="19" t="str">
        <f>VLOOKUP(A850,Sheet1!A:N,14,0)</f>
        <v>Russian</v>
      </c>
      <c r="G850" s="19" t="str">
        <f>VLOOKUP(A850,Sheet1!A:O,15,0)</f>
        <v>DevOps</v>
      </c>
      <c r="H850" s="19">
        <f>VLOOKUP(A850,Sheet1!A:Q,17,0)</f>
        <v>8</v>
      </c>
      <c r="I850" s="20">
        <f>VLOOKUP(A850,Sheet1!A:V,22,0)</f>
        <v>20</v>
      </c>
      <c r="J850" s="21">
        <f>VLOOKUP(A850,Sheet1!A:X,24,0)</f>
        <v>4.0999999999999996</v>
      </c>
      <c r="K850" s="19" t="str">
        <f>VLOOKUP(A850,Sheet1!A:AB,28,0)</f>
        <v>Yes</v>
      </c>
      <c r="L850" s="27">
        <f>VLOOKUP(A850,Sheet1!A:AD,30,0)</f>
        <v>82</v>
      </c>
    </row>
    <row r="851" spans="1:12" x14ac:dyDescent="0.3">
      <c r="A851" s="14" t="s">
        <v>206</v>
      </c>
      <c r="B851" s="19" t="str">
        <f>VLOOKUP(A851,Sheet1!A:E,5,0)</f>
        <v>Laura Price</v>
      </c>
      <c r="C851" s="19" t="str">
        <f>VLOOKUP(A851,Sheet1!A:I,9,0)</f>
        <v>Female</v>
      </c>
      <c r="D851" s="19">
        <f>VLOOKUP(A851,Sheet1!A:K,11,0)</f>
        <v>26</v>
      </c>
      <c r="E851" s="19" t="str">
        <f>VLOOKUP(A851,Sheet1!A:M,13,0)</f>
        <v>United Kingdom</v>
      </c>
      <c r="F851" s="19" t="str">
        <f>VLOOKUP(A851,Sheet1!A:N,14,0)</f>
        <v>English</v>
      </c>
      <c r="G851" s="19" t="str">
        <f>VLOOKUP(A851,Sheet1!A:O,15,0)</f>
        <v>DevOps</v>
      </c>
      <c r="H851" s="19">
        <f>VLOOKUP(A851,Sheet1!A:Q,17,0)</f>
        <v>8</v>
      </c>
      <c r="I851" s="20">
        <f>VLOOKUP(A851,Sheet1!A:V,22,0)</f>
        <v>50</v>
      </c>
      <c r="J851" s="21">
        <f>VLOOKUP(A851,Sheet1!A:X,24,0)</f>
        <v>1.3</v>
      </c>
      <c r="K851" s="19" t="str">
        <f>VLOOKUP(A851,Sheet1!A:AB,28,0)</f>
        <v>No</v>
      </c>
      <c r="L851" s="27">
        <f>VLOOKUP(A851,Sheet1!A:AD,30,0)</f>
        <v>76</v>
      </c>
    </row>
    <row r="852" spans="1:12" x14ac:dyDescent="0.3">
      <c r="A852" s="14" t="s">
        <v>2024</v>
      </c>
      <c r="B852" s="19" t="str">
        <f>VLOOKUP(A852,Sheet1!A:E,5,0)</f>
        <v>Lisa Werner</v>
      </c>
      <c r="C852" s="19" t="str">
        <f>VLOOKUP(A852,Sheet1!A:I,9,0)</f>
        <v>Female</v>
      </c>
      <c r="D852" s="19">
        <f>VLOOKUP(A852,Sheet1!A:K,11,0)</f>
        <v>26</v>
      </c>
      <c r="E852" s="19" t="str">
        <f>VLOOKUP(A852,Sheet1!A:M,13,0)</f>
        <v>India</v>
      </c>
      <c r="F852" s="19" t="str">
        <f>VLOOKUP(A852,Sheet1!A:N,14,0)</f>
        <v>Hindi</v>
      </c>
      <c r="G852" s="19" t="str">
        <f>VLOOKUP(A852,Sheet1!A:O,15,0)</f>
        <v>Graphic Design</v>
      </c>
      <c r="H852" s="19">
        <f>VLOOKUP(A852,Sheet1!A:Q,17,0)</f>
        <v>1</v>
      </c>
      <c r="I852" s="20">
        <f>VLOOKUP(A852,Sheet1!A:V,22,0)</f>
        <v>75</v>
      </c>
      <c r="J852" s="21">
        <f>VLOOKUP(A852,Sheet1!A:X,24,0)</f>
        <v>3</v>
      </c>
      <c r="K852" s="19" t="str">
        <f>VLOOKUP(A852,Sheet1!A:AB,28,0)</f>
        <v>Yes</v>
      </c>
      <c r="L852" s="27">
        <f>VLOOKUP(A852,Sheet1!A:AD,30,0)</f>
        <v>77.65517241379311</v>
      </c>
    </row>
    <row r="853" spans="1:12" x14ac:dyDescent="0.3">
      <c r="A853" s="14" t="s">
        <v>1744</v>
      </c>
      <c r="B853" s="19" t="str">
        <f>VLOOKUP(A853,Sheet1!A:E,5,0)</f>
        <v>Lori Perez</v>
      </c>
      <c r="C853" s="19" t="str">
        <f>VLOOKUP(A853,Sheet1!A:I,9,0)</f>
        <v>Female</v>
      </c>
      <c r="D853" s="19">
        <f>VLOOKUP(A853,Sheet1!A:K,11,0)</f>
        <v>26</v>
      </c>
      <c r="E853" s="19" t="str">
        <f>VLOOKUP(A853,Sheet1!A:M,13,0)</f>
        <v>Russia</v>
      </c>
      <c r="F853" s="19" t="str">
        <f>VLOOKUP(A853,Sheet1!A:N,14,0)</f>
        <v>Russian</v>
      </c>
      <c r="G853" s="19" t="str">
        <f>VLOOKUP(A853,Sheet1!A:O,15,0)</f>
        <v>Machine Learning</v>
      </c>
      <c r="H853" s="19">
        <f>VLOOKUP(A853,Sheet1!A:Q,17,0)</f>
        <v>2</v>
      </c>
      <c r="I853" s="20">
        <f>VLOOKUP(A853,Sheet1!A:V,22,0)</f>
        <v>40</v>
      </c>
      <c r="J853" s="21">
        <f>VLOOKUP(A853,Sheet1!A:X,24,0)</f>
        <v>0</v>
      </c>
      <c r="K853" s="19" t="str">
        <f>VLOOKUP(A853,Sheet1!A:AB,28,0)</f>
        <v>Unknown</v>
      </c>
      <c r="L853" s="27">
        <f>VLOOKUP(A853,Sheet1!A:AD,30,0)</f>
        <v>66</v>
      </c>
    </row>
    <row r="854" spans="1:12" x14ac:dyDescent="0.3">
      <c r="A854" s="14" t="s">
        <v>1883</v>
      </c>
      <c r="B854" s="19" t="str">
        <f>VLOOKUP(A854,Sheet1!A:E,5,0)</f>
        <v>Randall Barrett</v>
      </c>
      <c r="C854" s="19" t="str">
        <f>VLOOKUP(A854,Sheet1!A:I,9,0)</f>
        <v>Male</v>
      </c>
      <c r="D854" s="19">
        <f>VLOOKUP(A854,Sheet1!A:K,11,0)</f>
        <v>26</v>
      </c>
      <c r="E854" s="19" t="str">
        <f>VLOOKUP(A854,Sheet1!A:M,13,0)</f>
        <v>Netherlands</v>
      </c>
      <c r="F854" s="19" t="str">
        <f>VLOOKUP(A854,Sheet1!A:N,14,0)</f>
        <v>Dutch</v>
      </c>
      <c r="G854" s="19" t="str">
        <f>VLOOKUP(A854,Sheet1!A:O,15,0)</f>
        <v>AI</v>
      </c>
      <c r="H854" s="19">
        <f>VLOOKUP(A854,Sheet1!A:Q,17,0)</f>
        <v>6</v>
      </c>
      <c r="I854" s="20">
        <f>VLOOKUP(A854,Sheet1!A:V,22,0)</f>
        <v>40</v>
      </c>
      <c r="J854" s="21">
        <f>VLOOKUP(A854,Sheet1!A:X,24,0)</f>
        <v>1.3</v>
      </c>
      <c r="K854" s="19" t="str">
        <f>VLOOKUP(A854,Sheet1!A:AB,28,0)</f>
        <v>No</v>
      </c>
      <c r="L854" s="27">
        <f>VLOOKUP(A854,Sheet1!A:AD,30,0)</f>
        <v>80.793103448275858</v>
      </c>
    </row>
    <row r="855" spans="1:12" x14ac:dyDescent="0.3">
      <c r="A855" s="14" t="s">
        <v>62</v>
      </c>
      <c r="B855" s="19" t="str">
        <f>VLOOKUP(A855,Sheet1!A:E,5,0)</f>
        <v>Sean Martin</v>
      </c>
      <c r="C855" s="19" t="str">
        <f>VLOOKUP(A855,Sheet1!A:I,9,0)</f>
        <v>Male</v>
      </c>
      <c r="D855" s="19">
        <f>VLOOKUP(A855,Sheet1!A:K,11,0)</f>
        <v>26</v>
      </c>
      <c r="E855" s="19" t="str">
        <f>VLOOKUP(A855,Sheet1!A:M,13,0)</f>
        <v>United States</v>
      </c>
      <c r="F855" s="19" t="str">
        <f>VLOOKUP(A855,Sheet1!A:N,14,0)</f>
        <v>English</v>
      </c>
      <c r="G855" s="19" t="str">
        <f>VLOOKUP(A855,Sheet1!A:O,15,0)</f>
        <v>Blockchain Development</v>
      </c>
      <c r="H855" s="19">
        <f>VLOOKUP(A855,Sheet1!A:Q,17,0)</f>
        <v>4</v>
      </c>
      <c r="I855" s="20">
        <f>VLOOKUP(A855,Sheet1!A:V,22,0)</f>
        <v>52.397107897664071</v>
      </c>
      <c r="J855" s="21">
        <f>VLOOKUP(A855,Sheet1!A:X,24,0)</f>
        <v>4</v>
      </c>
      <c r="K855" s="19" t="str">
        <f>VLOOKUP(A855,Sheet1!A:AB,28,0)</f>
        <v>Yes</v>
      </c>
      <c r="L855" s="27">
        <f>VLOOKUP(A855,Sheet1!A:AD,30,0)</f>
        <v>76</v>
      </c>
    </row>
    <row r="856" spans="1:12" x14ac:dyDescent="0.3">
      <c r="A856" s="14" t="s">
        <v>972</v>
      </c>
      <c r="B856" s="19" t="str">
        <f>VLOOKUP(A856,Sheet1!A:E,5,0)</f>
        <v>Stacy Hudson</v>
      </c>
      <c r="C856" s="19" t="str">
        <f>VLOOKUP(A856,Sheet1!A:I,9,0)</f>
        <v>Female</v>
      </c>
      <c r="D856" s="19">
        <f>VLOOKUP(A856,Sheet1!A:K,11,0)</f>
        <v>26</v>
      </c>
      <c r="E856" s="19" t="str">
        <f>VLOOKUP(A856,Sheet1!A:M,13,0)</f>
        <v>Italy</v>
      </c>
      <c r="F856" s="19" t="str">
        <f>VLOOKUP(A856,Sheet1!A:N,14,0)</f>
        <v>Italian</v>
      </c>
      <c r="G856" s="19" t="str">
        <f>VLOOKUP(A856,Sheet1!A:O,15,0)</f>
        <v>DevOps</v>
      </c>
      <c r="H856" s="19">
        <f>VLOOKUP(A856,Sheet1!A:Q,17,0)</f>
        <v>7</v>
      </c>
      <c r="I856" s="20">
        <f>VLOOKUP(A856,Sheet1!A:V,22,0)</f>
        <v>100</v>
      </c>
      <c r="J856" s="21">
        <f>VLOOKUP(A856,Sheet1!A:X,24,0)</f>
        <v>3.3</v>
      </c>
      <c r="K856" s="19" t="str">
        <f>VLOOKUP(A856,Sheet1!A:AB,28,0)</f>
        <v>Yes</v>
      </c>
      <c r="L856" s="27">
        <f>VLOOKUP(A856,Sheet1!A:AD,30,0)</f>
        <v>66</v>
      </c>
    </row>
    <row r="857" spans="1:12" x14ac:dyDescent="0.3">
      <c r="A857" s="14" t="s">
        <v>1600</v>
      </c>
      <c r="B857" s="19" t="str">
        <f>VLOOKUP(A857,Sheet1!A:E,5,0)</f>
        <v>Stuart Mckinney</v>
      </c>
      <c r="C857" s="19" t="str">
        <f>VLOOKUP(A857,Sheet1!A:I,9,0)</f>
        <v>Male</v>
      </c>
      <c r="D857" s="19">
        <f>VLOOKUP(A857,Sheet1!A:K,11,0)</f>
        <v>26</v>
      </c>
      <c r="E857" s="19" t="str">
        <f>VLOOKUP(A857,Sheet1!A:M,13,0)</f>
        <v>Japan</v>
      </c>
      <c r="F857" s="19" t="str">
        <f>VLOOKUP(A857,Sheet1!A:N,14,0)</f>
        <v>Japanese</v>
      </c>
      <c r="G857" s="19" t="str">
        <f>VLOOKUP(A857,Sheet1!A:O,15,0)</f>
        <v>Data Analysis</v>
      </c>
      <c r="H857" s="19">
        <f>VLOOKUP(A857,Sheet1!A:Q,17,0)</f>
        <v>7</v>
      </c>
      <c r="I857" s="20">
        <f>VLOOKUP(A857,Sheet1!A:V,22,0)</f>
        <v>75</v>
      </c>
      <c r="J857" s="21">
        <f>VLOOKUP(A857,Sheet1!A:X,24,0)</f>
        <v>2.9</v>
      </c>
      <c r="K857" s="19" t="str">
        <f>VLOOKUP(A857,Sheet1!A:AB,28,0)</f>
        <v>No</v>
      </c>
      <c r="L857" s="27">
        <f>VLOOKUP(A857,Sheet1!A:AD,30,0)</f>
        <v>78</v>
      </c>
    </row>
    <row r="858" spans="1:12" x14ac:dyDescent="0.3">
      <c r="A858" s="14" t="s">
        <v>1431</v>
      </c>
      <c r="B858" s="19" t="str">
        <f>VLOOKUP(A858,Sheet1!A:E,5,0)</f>
        <v>Amanda Mitchell</v>
      </c>
      <c r="C858" s="19" t="str">
        <f>VLOOKUP(A858,Sheet1!A:I,9,0)</f>
        <v>Female</v>
      </c>
      <c r="D858" s="19">
        <f>VLOOKUP(A858,Sheet1!A:K,11,0)</f>
        <v>25</v>
      </c>
      <c r="E858" s="19" t="str">
        <f>VLOOKUP(A858,Sheet1!A:M,13,0)</f>
        <v>Canada</v>
      </c>
      <c r="F858" s="19" t="str">
        <f>VLOOKUP(A858,Sheet1!A:N,14,0)</f>
        <v>English</v>
      </c>
      <c r="G858" s="19" t="str">
        <f>VLOOKUP(A858,Sheet1!A:O,15,0)</f>
        <v>DevOps</v>
      </c>
      <c r="H858" s="19">
        <f>VLOOKUP(A858,Sheet1!A:Q,17,0)</f>
        <v>1</v>
      </c>
      <c r="I858" s="20">
        <f>VLOOKUP(A858,Sheet1!A:V,22,0)</f>
        <v>30</v>
      </c>
      <c r="J858" s="21">
        <f>VLOOKUP(A858,Sheet1!A:X,24,0)</f>
        <v>3.2</v>
      </c>
      <c r="K858" s="19" t="str">
        <f>VLOOKUP(A858,Sheet1!A:AB,28,0)</f>
        <v>No</v>
      </c>
      <c r="L858" s="27">
        <f>VLOOKUP(A858,Sheet1!A:AD,30,0)</f>
        <v>87</v>
      </c>
    </row>
    <row r="859" spans="1:12" x14ac:dyDescent="0.3">
      <c r="A859" s="14" t="s">
        <v>819</v>
      </c>
      <c r="B859" s="19" t="str">
        <f>VLOOKUP(A859,Sheet1!A:E,5,0)</f>
        <v>Arthur Vasquez</v>
      </c>
      <c r="C859" s="19" t="str">
        <f>VLOOKUP(A859,Sheet1!A:I,9,0)</f>
        <v>Male</v>
      </c>
      <c r="D859" s="19">
        <f>VLOOKUP(A859,Sheet1!A:K,11,0)</f>
        <v>25</v>
      </c>
      <c r="E859" s="19" t="str">
        <f>VLOOKUP(A859,Sheet1!A:M,13,0)</f>
        <v>Argentina</v>
      </c>
      <c r="F859" s="19" t="str">
        <f>VLOOKUP(A859,Sheet1!A:N,14,0)</f>
        <v>Spanish</v>
      </c>
      <c r="G859" s="19" t="str">
        <f>VLOOKUP(A859,Sheet1!A:O,15,0)</f>
        <v>Blockchain Development</v>
      </c>
      <c r="H859" s="19">
        <f>VLOOKUP(A859,Sheet1!A:Q,17,0)</f>
        <v>5</v>
      </c>
      <c r="I859" s="20">
        <f>VLOOKUP(A859,Sheet1!A:V,22,0)</f>
        <v>30</v>
      </c>
      <c r="J859" s="21">
        <f>VLOOKUP(A859,Sheet1!A:X,24,0)</f>
        <v>2.2999999999999998</v>
      </c>
      <c r="K859" s="19" t="str">
        <f>VLOOKUP(A859,Sheet1!A:AB,28,0)</f>
        <v>No</v>
      </c>
      <c r="L859" s="27">
        <f>VLOOKUP(A859,Sheet1!A:AD,30,0)</f>
        <v>91</v>
      </c>
    </row>
    <row r="860" spans="1:12" x14ac:dyDescent="0.3">
      <c r="A860" s="14" t="s">
        <v>1399</v>
      </c>
      <c r="B860" s="19" t="str">
        <f>VLOOKUP(A860,Sheet1!A:E,5,0)</f>
        <v>Benjamin Stark</v>
      </c>
      <c r="C860" s="19" t="str">
        <f>VLOOKUP(A860,Sheet1!A:I,9,0)</f>
        <v>Male</v>
      </c>
      <c r="D860" s="19">
        <f>VLOOKUP(A860,Sheet1!A:K,11,0)</f>
        <v>25</v>
      </c>
      <c r="E860" s="19" t="str">
        <f>VLOOKUP(A860,Sheet1!A:M,13,0)</f>
        <v>Germany</v>
      </c>
      <c r="F860" s="19" t="str">
        <f>VLOOKUP(A860,Sheet1!A:N,14,0)</f>
        <v>German</v>
      </c>
      <c r="G860" s="19" t="str">
        <f>VLOOKUP(A860,Sheet1!A:O,15,0)</f>
        <v>UI/UX Design</v>
      </c>
      <c r="H860" s="19">
        <f>VLOOKUP(A860,Sheet1!A:Q,17,0)</f>
        <v>4</v>
      </c>
      <c r="I860" s="20">
        <f>VLOOKUP(A860,Sheet1!A:V,22,0)</f>
        <v>40</v>
      </c>
      <c r="J860" s="21">
        <f>VLOOKUP(A860,Sheet1!A:X,24,0)</f>
        <v>2.2999999999999998</v>
      </c>
      <c r="K860" s="19" t="str">
        <f>VLOOKUP(A860,Sheet1!A:AB,28,0)</f>
        <v>Yes</v>
      </c>
      <c r="L860" s="27">
        <f>VLOOKUP(A860,Sheet1!A:AD,30,0)</f>
        <v>73</v>
      </c>
    </row>
    <row r="861" spans="1:12" x14ac:dyDescent="0.3">
      <c r="A861" s="14" t="s">
        <v>184</v>
      </c>
      <c r="B861" s="19" t="str">
        <f>VLOOKUP(A861,Sheet1!A:E,5,0)</f>
        <v>Chase Mason</v>
      </c>
      <c r="C861" s="19" t="str">
        <f>VLOOKUP(A861,Sheet1!A:I,9,0)</f>
        <v>Male</v>
      </c>
      <c r="D861" s="19">
        <f>VLOOKUP(A861,Sheet1!A:K,11,0)</f>
        <v>25</v>
      </c>
      <c r="E861" s="19" t="str">
        <f>VLOOKUP(A861,Sheet1!A:M,13,0)</f>
        <v>China</v>
      </c>
      <c r="F861" s="19" t="str">
        <f>VLOOKUP(A861,Sheet1!A:N,14,0)</f>
        <v>Mandarin</v>
      </c>
      <c r="G861" s="19" t="str">
        <f>VLOOKUP(A861,Sheet1!A:O,15,0)</f>
        <v>Graphic Design</v>
      </c>
      <c r="H861" s="19">
        <f>VLOOKUP(A861,Sheet1!A:Q,17,0)</f>
        <v>4</v>
      </c>
      <c r="I861" s="20">
        <f>VLOOKUP(A861,Sheet1!A:V,22,0)</f>
        <v>50</v>
      </c>
      <c r="J861" s="21">
        <f>VLOOKUP(A861,Sheet1!A:X,24,0)</f>
        <v>2.7</v>
      </c>
      <c r="K861" s="19" t="str">
        <f>VLOOKUP(A861,Sheet1!A:AB,28,0)</f>
        <v>No</v>
      </c>
      <c r="L861" s="27">
        <f>VLOOKUP(A861,Sheet1!A:AD,30,0)</f>
        <v>77</v>
      </c>
    </row>
    <row r="862" spans="1:12" x14ac:dyDescent="0.3">
      <c r="A862" s="14" t="s">
        <v>1465</v>
      </c>
      <c r="B862" s="19" t="str">
        <f>VLOOKUP(A862,Sheet1!A:E,5,0)</f>
        <v>Danielle Nelson</v>
      </c>
      <c r="C862" s="19" t="str">
        <f>VLOOKUP(A862,Sheet1!A:I,9,0)</f>
        <v>Female</v>
      </c>
      <c r="D862" s="19">
        <f>VLOOKUP(A862,Sheet1!A:K,11,0)</f>
        <v>25</v>
      </c>
      <c r="E862" s="19" t="str">
        <f>VLOOKUP(A862,Sheet1!A:M,13,0)</f>
        <v>Germany</v>
      </c>
      <c r="F862" s="19" t="str">
        <f>VLOOKUP(A862,Sheet1!A:N,14,0)</f>
        <v>German</v>
      </c>
      <c r="G862" s="19" t="str">
        <f>VLOOKUP(A862,Sheet1!A:O,15,0)</f>
        <v>DevOps</v>
      </c>
      <c r="H862" s="19">
        <f>VLOOKUP(A862,Sheet1!A:Q,17,0)</f>
        <v>7</v>
      </c>
      <c r="I862" s="20">
        <f>VLOOKUP(A862,Sheet1!A:V,22,0)</f>
        <v>100</v>
      </c>
      <c r="J862" s="21">
        <f>VLOOKUP(A862,Sheet1!A:X,24,0)</f>
        <v>1.9</v>
      </c>
      <c r="K862" s="19" t="str">
        <f>VLOOKUP(A862,Sheet1!A:AB,28,0)</f>
        <v>No</v>
      </c>
      <c r="L862" s="27">
        <f>VLOOKUP(A862,Sheet1!A:AD,30,0)</f>
        <v>63</v>
      </c>
    </row>
    <row r="863" spans="1:12" x14ac:dyDescent="0.3">
      <c r="A863" s="14" t="s">
        <v>1229</v>
      </c>
      <c r="B863" s="19" t="str">
        <f>VLOOKUP(A863,Sheet1!A:E,5,0)</f>
        <v>Dawn Hardy</v>
      </c>
      <c r="C863" s="19" t="str">
        <f>VLOOKUP(A863,Sheet1!A:I,9,0)</f>
        <v>Female</v>
      </c>
      <c r="D863" s="19">
        <f>VLOOKUP(A863,Sheet1!A:K,11,0)</f>
        <v>25</v>
      </c>
      <c r="E863" s="19" t="str">
        <f>VLOOKUP(A863,Sheet1!A:M,13,0)</f>
        <v>Argentina</v>
      </c>
      <c r="F863" s="19" t="str">
        <f>VLOOKUP(A863,Sheet1!A:N,14,0)</f>
        <v>Spanish</v>
      </c>
      <c r="G863" s="19" t="str">
        <f>VLOOKUP(A863,Sheet1!A:O,15,0)</f>
        <v>Web Development</v>
      </c>
      <c r="H863" s="19">
        <f>VLOOKUP(A863,Sheet1!A:Q,17,0)</f>
        <v>5</v>
      </c>
      <c r="I863" s="20">
        <f>VLOOKUP(A863,Sheet1!A:V,22,0)</f>
        <v>40</v>
      </c>
      <c r="J863" s="21">
        <f>VLOOKUP(A863,Sheet1!A:X,24,0)</f>
        <v>2.5847769028871403</v>
      </c>
      <c r="K863" s="19" t="str">
        <f>VLOOKUP(A863,Sheet1!A:AB,28,0)</f>
        <v>Yes</v>
      </c>
      <c r="L863" s="27">
        <f>VLOOKUP(A863,Sheet1!A:AD,30,0)</f>
        <v>75</v>
      </c>
    </row>
    <row r="864" spans="1:12" x14ac:dyDescent="0.3">
      <c r="A864" s="14" t="s">
        <v>188</v>
      </c>
      <c r="B864" s="19" t="str">
        <f>VLOOKUP(A864,Sheet1!A:E,5,0)</f>
        <v>Dominique Ward</v>
      </c>
      <c r="C864" s="19" t="str">
        <f>VLOOKUP(A864,Sheet1!A:I,9,0)</f>
        <v>Female</v>
      </c>
      <c r="D864" s="19">
        <f>VLOOKUP(A864,Sheet1!A:K,11,0)</f>
        <v>25</v>
      </c>
      <c r="E864" s="19" t="str">
        <f>VLOOKUP(A864,Sheet1!A:M,13,0)</f>
        <v>Mexico</v>
      </c>
      <c r="F864" s="19" t="str">
        <f>VLOOKUP(A864,Sheet1!A:N,14,0)</f>
        <v>Spanish</v>
      </c>
      <c r="G864" s="19" t="str">
        <f>VLOOKUP(A864,Sheet1!A:O,15,0)</f>
        <v>Mobile Apps</v>
      </c>
      <c r="H864" s="19">
        <f>VLOOKUP(A864,Sheet1!A:Q,17,0)</f>
        <v>7</v>
      </c>
      <c r="I864" s="20">
        <f>VLOOKUP(A864,Sheet1!A:V,22,0)</f>
        <v>20</v>
      </c>
      <c r="J864" s="21">
        <f>VLOOKUP(A864,Sheet1!A:X,24,0)</f>
        <v>1.9</v>
      </c>
      <c r="K864" s="19" t="str">
        <f>VLOOKUP(A864,Sheet1!A:AB,28,0)</f>
        <v>No</v>
      </c>
      <c r="L864" s="27">
        <f>VLOOKUP(A864,Sheet1!A:AD,30,0)</f>
        <v>79.315521628498729</v>
      </c>
    </row>
    <row r="865" spans="1:12" x14ac:dyDescent="0.3">
      <c r="A865" s="14" t="s">
        <v>998</v>
      </c>
      <c r="B865" s="19" t="str">
        <f>VLOOKUP(A865,Sheet1!A:E,5,0)</f>
        <v>Dr. Jessica</v>
      </c>
      <c r="C865" s="19" t="str">
        <f>VLOOKUP(A865,Sheet1!A:I,9,0)</f>
        <v>Female</v>
      </c>
      <c r="D865" s="19">
        <f>VLOOKUP(A865,Sheet1!A:K,11,0)</f>
        <v>25</v>
      </c>
      <c r="E865" s="19" t="str">
        <f>VLOOKUP(A865,Sheet1!A:M,13,0)</f>
        <v>Argentina</v>
      </c>
      <c r="F865" s="19" t="str">
        <f>VLOOKUP(A865,Sheet1!A:N,14,0)</f>
        <v>Spanish</v>
      </c>
      <c r="G865" s="19" t="str">
        <f>VLOOKUP(A865,Sheet1!A:O,15,0)</f>
        <v>Web Development</v>
      </c>
      <c r="H865" s="19">
        <f>VLOOKUP(A865,Sheet1!A:Q,17,0)</f>
        <v>1</v>
      </c>
      <c r="I865" s="20">
        <f>VLOOKUP(A865,Sheet1!A:V,22,0)</f>
        <v>75</v>
      </c>
      <c r="J865" s="21">
        <f>VLOOKUP(A865,Sheet1!A:X,24,0)</f>
        <v>0</v>
      </c>
      <c r="K865" s="19" t="str">
        <f>VLOOKUP(A865,Sheet1!A:AB,28,0)</f>
        <v>Yes</v>
      </c>
      <c r="L865" s="27">
        <f>VLOOKUP(A865,Sheet1!A:AD,30,0)</f>
        <v>79.37665198237886</v>
      </c>
    </row>
    <row r="866" spans="1:12" x14ac:dyDescent="0.3">
      <c r="A866" s="14" t="s">
        <v>392</v>
      </c>
      <c r="B866" s="19" t="str">
        <f>VLOOKUP(A866,Sheet1!A:E,5,0)</f>
        <v>Gary Ballard</v>
      </c>
      <c r="C866" s="19" t="str">
        <f>VLOOKUP(A866,Sheet1!A:I,9,0)</f>
        <v>Male</v>
      </c>
      <c r="D866" s="19">
        <f>VLOOKUP(A866,Sheet1!A:K,11,0)</f>
        <v>25</v>
      </c>
      <c r="E866" s="19" t="str">
        <f>VLOOKUP(A866,Sheet1!A:M,13,0)</f>
        <v>Mexico</v>
      </c>
      <c r="F866" s="19" t="str">
        <f>VLOOKUP(A866,Sheet1!A:N,14,0)</f>
        <v>Spanish</v>
      </c>
      <c r="G866" s="19" t="str">
        <f>VLOOKUP(A866,Sheet1!A:O,15,0)</f>
        <v>Data Analysis</v>
      </c>
      <c r="H866" s="19">
        <f>VLOOKUP(A866,Sheet1!A:Q,17,0)</f>
        <v>0</v>
      </c>
      <c r="I866" s="20">
        <f>VLOOKUP(A866,Sheet1!A:V,22,0)</f>
        <v>40</v>
      </c>
      <c r="J866" s="21">
        <f>VLOOKUP(A866,Sheet1!A:X,24,0)</f>
        <v>0</v>
      </c>
      <c r="K866" s="19" t="str">
        <f>VLOOKUP(A866,Sheet1!A:AB,28,0)</f>
        <v>No</v>
      </c>
      <c r="L866" s="27">
        <f>VLOOKUP(A866,Sheet1!A:AD,30,0)</f>
        <v>90</v>
      </c>
    </row>
    <row r="867" spans="1:12" x14ac:dyDescent="0.3">
      <c r="A867" s="14" t="s">
        <v>633</v>
      </c>
      <c r="B867" s="19" t="str">
        <f>VLOOKUP(A867,Sheet1!A:E,5,0)</f>
        <v>Heather Camacho</v>
      </c>
      <c r="C867" s="19" t="str">
        <f>VLOOKUP(A867,Sheet1!A:I,9,0)</f>
        <v>Female</v>
      </c>
      <c r="D867" s="19">
        <f>VLOOKUP(A867,Sheet1!A:K,11,0)</f>
        <v>25</v>
      </c>
      <c r="E867" s="19" t="str">
        <f>VLOOKUP(A867,Sheet1!A:M,13,0)</f>
        <v>Japan</v>
      </c>
      <c r="F867" s="19" t="str">
        <f>VLOOKUP(A867,Sheet1!A:N,14,0)</f>
        <v>Japanese</v>
      </c>
      <c r="G867" s="19" t="str">
        <f>VLOOKUP(A867,Sheet1!A:O,15,0)</f>
        <v>Machine Learning</v>
      </c>
      <c r="H867" s="19">
        <f>VLOOKUP(A867,Sheet1!A:Q,17,0)</f>
        <v>3</v>
      </c>
      <c r="I867" s="20">
        <f>VLOOKUP(A867,Sheet1!A:V,22,0)</f>
        <v>50</v>
      </c>
      <c r="J867" s="21">
        <f>VLOOKUP(A867,Sheet1!A:X,24,0)</f>
        <v>2.8</v>
      </c>
      <c r="K867" s="19" t="str">
        <f>VLOOKUP(A867,Sheet1!A:AB,28,0)</f>
        <v>Yes</v>
      </c>
      <c r="L867" s="27">
        <f>VLOOKUP(A867,Sheet1!A:AD,30,0)</f>
        <v>86</v>
      </c>
    </row>
    <row r="868" spans="1:12" x14ac:dyDescent="0.3">
      <c r="A868" s="14" t="s">
        <v>1848</v>
      </c>
      <c r="B868" s="19" t="str">
        <f>VLOOKUP(A868,Sheet1!A:E,5,0)</f>
        <v>Jessica Williams</v>
      </c>
      <c r="C868" s="19" t="str">
        <f>VLOOKUP(A868,Sheet1!A:I,9,0)</f>
        <v>Female</v>
      </c>
      <c r="D868" s="19">
        <f>VLOOKUP(A868,Sheet1!A:K,11,0)</f>
        <v>25</v>
      </c>
      <c r="E868" s="19" t="str">
        <f>VLOOKUP(A868,Sheet1!A:M,13,0)</f>
        <v>South Korea</v>
      </c>
      <c r="F868" s="19" t="str">
        <f>VLOOKUP(A868,Sheet1!A:N,14,0)</f>
        <v>Korean</v>
      </c>
      <c r="G868" s="19" t="str">
        <f>VLOOKUP(A868,Sheet1!A:O,15,0)</f>
        <v>AI</v>
      </c>
      <c r="H868" s="19">
        <f>VLOOKUP(A868,Sheet1!A:Q,17,0)</f>
        <v>6</v>
      </c>
      <c r="I868" s="20">
        <f>VLOOKUP(A868,Sheet1!A:V,22,0)</f>
        <v>20</v>
      </c>
      <c r="J868" s="21">
        <f>VLOOKUP(A868,Sheet1!A:X,24,0)</f>
        <v>2.1</v>
      </c>
      <c r="K868" s="19" t="str">
        <f>VLOOKUP(A868,Sheet1!A:AB,28,0)</f>
        <v>No</v>
      </c>
      <c r="L868" s="27">
        <f>VLOOKUP(A868,Sheet1!A:AD,30,0)</f>
        <v>80.715686274509807</v>
      </c>
    </row>
    <row r="869" spans="1:12" x14ac:dyDescent="0.3">
      <c r="A869" s="14" t="s">
        <v>495</v>
      </c>
      <c r="B869" s="19" t="str">
        <f>VLOOKUP(A869,Sheet1!A:E,5,0)</f>
        <v>Jill Stephens</v>
      </c>
      <c r="C869" s="19" t="str">
        <f>VLOOKUP(A869,Sheet1!A:I,9,0)</f>
        <v>Female</v>
      </c>
      <c r="D869" s="19">
        <f>VLOOKUP(A869,Sheet1!A:K,11,0)</f>
        <v>25</v>
      </c>
      <c r="E869" s="19" t="str">
        <f>VLOOKUP(A869,Sheet1!A:M,13,0)</f>
        <v>Spain</v>
      </c>
      <c r="F869" s="19" t="str">
        <f>VLOOKUP(A869,Sheet1!A:N,14,0)</f>
        <v>Spanish</v>
      </c>
      <c r="G869" s="19" t="str">
        <f>VLOOKUP(A869,Sheet1!A:O,15,0)</f>
        <v>AI</v>
      </c>
      <c r="H869" s="19">
        <f>VLOOKUP(A869,Sheet1!A:Q,17,0)</f>
        <v>2</v>
      </c>
      <c r="I869" s="20">
        <f>VLOOKUP(A869,Sheet1!A:V,22,0)</f>
        <v>100</v>
      </c>
      <c r="J869" s="21">
        <f>VLOOKUP(A869,Sheet1!A:X,24,0)</f>
        <v>2.5</v>
      </c>
      <c r="K869" s="19" t="str">
        <f>VLOOKUP(A869,Sheet1!A:AB,28,0)</f>
        <v>No</v>
      </c>
      <c r="L869" s="27">
        <f>VLOOKUP(A869,Sheet1!A:AD,30,0)</f>
        <v>87</v>
      </c>
    </row>
    <row r="870" spans="1:12" x14ac:dyDescent="0.3">
      <c r="A870" s="14" t="s">
        <v>1986</v>
      </c>
      <c r="B870" s="19" t="str">
        <f>VLOOKUP(A870,Sheet1!A:E,5,0)</f>
        <v>John Weaver</v>
      </c>
      <c r="C870" s="19" t="str">
        <f>VLOOKUP(A870,Sheet1!A:I,9,0)</f>
        <v>Male</v>
      </c>
      <c r="D870" s="19">
        <f>VLOOKUP(A870,Sheet1!A:K,11,0)</f>
        <v>25</v>
      </c>
      <c r="E870" s="19" t="str">
        <f>VLOOKUP(A870,Sheet1!A:M,13,0)</f>
        <v>Brazil</v>
      </c>
      <c r="F870" s="19" t="str">
        <f>VLOOKUP(A870,Sheet1!A:N,14,0)</f>
        <v>Portuguese</v>
      </c>
      <c r="G870" s="19" t="str">
        <f>VLOOKUP(A870,Sheet1!A:O,15,0)</f>
        <v>DevOps</v>
      </c>
      <c r="H870" s="19">
        <f>VLOOKUP(A870,Sheet1!A:Q,17,0)</f>
        <v>7</v>
      </c>
      <c r="I870" s="20">
        <f>VLOOKUP(A870,Sheet1!A:V,22,0)</f>
        <v>20</v>
      </c>
      <c r="J870" s="21">
        <f>VLOOKUP(A870,Sheet1!A:X,24,0)</f>
        <v>3.8</v>
      </c>
      <c r="K870" s="19" t="str">
        <f>VLOOKUP(A870,Sheet1!A:AB,28,0)</f>
        <v>Unknown</v>
      </c>
      <c r="L870" s="27">
        <f>VLOOKUP(A870,Sheet1!A:AD,30,0)</f>
        <v>97</v>
      </c>
    </row>
    <row r="871" spans="1:12" x14ac:dyDescent="0.3">
      <c r="A871" s="14" t="s">
        <v>1060</v>
      </c>
      <c r="B871" s="19" t="str">
        <f>VLOOKUP(A871,Sheet1!A:E,5,0)</f>
        <v>Keith Trujillo</v>
      </c>
      <c r="C871" s="19" t="str">
        <f>VLOOKUP(A871,Sheet1!A:I,9,0)</f>
        <v>Male</v>
      </c>
      <c r="D871" s="19">
        <f>VLOOKUP(A871,Sheet1!A:K,11,0)</f>
        <v>25</v>
      </c>
      <c r="E871" s="19" t="str">
        <f>VLOOKUP(A871,Sheet1!A:M,13,0)</f>
        <v>Netherlands</v>
      </c>
      <c r="F871" s="19" t="str">
        <f>VLOOKUP(A871,Sheet1!A:N,14,0)</f>
        <v>Dutch</v>
      </c>
      <c r="G871" s="19" t="str">
        <f>VLOOKUP(A871,Sheet1!A:O,15,0)</f>
        <v>Mobile Apps</v>
      </c>
      <c r="H871" s="19">
        <f>VLOOKUP(A871,Sheet1!A:Q,17,0)</f>
        <v>0</v>
      </c>
      <c r="I871" s="20">
        <f>VLOOKUP(A871,Sheet1!A:V,22,0)</f>
        <v>50</v>
      </c>
      <c r="J871" s="21">
        <f>VLOOKUP(A871,Sheet1!A:X,24,0)</f>
        <v>2.9</v>
      </c>
      <c r="K871" s="19" t="str">
        <f>VLOOKUP(A871,Sheet1!A:AB,28,0)</f>
        <v>Yes</v>
      </c>
      <c r="L871" s="27">
        <f>VLOOKUP(A871,Sheet1!A:AD,30,0)</f>
        <v>65</v>
      </c>
    </row>
    <row r="872" spans="1:12" x14ac:dyDescent="0.3">
      <c r="A872" s="14" t="s">
        <v>1996</v>
      </c>
      <c r="B872" s="19" t="str">
        <f>VLOOKUP(A872,Sheet1!A:E,5,0)</f>
        <v>Laura Thompson</v>
      </c>
      <c r="C872" s="19" t="str">
        <f>VLOOKUP(A872,Sheet1!A:I,9,0)</f>
        <v>Female</v>
      </c>
      <c r="D872" s="19">
        <f>VLOOKUP(A872,Sheet1!A:K,11,0)</f>
        <v>25</v>
      </c>
      <c r="E872" s="19" t="str">
        <f>VLOOKUP(A872,Sheet1!A:M,13,0)</f>
        <v>Canada</v>
      </c>
      <c r="F872" s="19" t="str">
        <f>VLOOKUP(A872,Sheet1!A:N,14,0)</f>
        <v>English</v>
      </c>
      <c r="G872" s="19" t="str">
        <f>VLOOKUP(A872,Sheet1!A:O,15,0)</f>
        <v>Blockchain Development</v>
      </c>
      <c r="H872" s="19">
        <f>VLOOKUP(A872,Sheet1!A:Q,17,0)</f>
        <v>6</v>
      </c>
      <c r="I872" s="20">
        <f>VLOOKUP(A872,Sheet1!A:V,22,0)</f>
        <v>100</v>
      </c>
      <c r="J872" s="21">
        <f>VLOOKUP(A872,Sheet1!A:X,24,0)</f>
        <v>2.3150000000000004</v>
      </c>
      <c r="K872" s="19" t="str">
        <f>VLOOKUP(A872,Sheet1!A:AB,28,0)</f>
        <v>Yes</v>
      </c>
      <c r="L872" s="27">
        <f>VLOOKUP(A872,Sheet1!A:AD,30,0)</f>
        <v>78</v>
      </c>
    </row>
    <row r="873" spans="1:12" x14ac:dyDescent="0.3">
      <c r="A873" s="14" t="s">
        <v>1776</v>
      </c>
      <c r="B873" s="19" t="str">
        <f>VLOOKUP(A873,Sheet1!A:E,5,0)</f>
        <v>Maxwell Johnson</v>
      </c>
      <c r="C873" s="19" t="str">
        <f>VLOOKUP(A873,Sheet1!A:I,9,0)</f>
        <v>Male</v>
      </c>
      <c r="D873" s="19">
        <f>VLOOKUP(A873,Sheet1!A:K,11,0)</f>
        <v>25</v>
      </c>
      <c r="E873" s="19" t="str">
        <f>VLOOKUP(A873,Sheet1!A:M,13,0)</f>
        <v>Indonesia</v>
      </c>
      <c r="F873" s="19" t="str">
        <f>VLOOKUP(A873,Sheet1!A:N,14,0)</f>
        <v>Indonesian</v>
      </c>
      <c r="G873" s="19" t="str">
        <f>VLOOKUP(A873,Sheet1!A:O,15,0)</f>
        <v>Cybersecurity</v>
      </c>
      <c r="H873" s="19">
        <f>VLOOKUP(A873,Sheet1!A:Q,17,0)</f>
        <v>3</v>
      </c>
      <c r="I873" s="20">
        <f>VLOOKUP(A873,Sheet1!A:V,22,0)</f>
        <v>75</v>
      </c>
      <c r="J873" s="21">
        <f>VLOOKUP(A873,Sheet1!A:X,24,0)</f>
        <v>2.4218309859154932</v>
      </c>
      <c r="K873" s="19" t="str">
        <f>VLOOKUP(A873,Sheet1!A:AB,28,0)</f>
        <v>No</v>
      </c>
      <c r="L873" s="27">
        <f>VLOOKUP(A873,Sheet1!A:AD,30,0)</f>
        <v>83</v>
      </c>
    </row>
    <row r="874" spans="1:12" x14ac:dyDescent="0.3">
      <c r="A874" s="14" t="s">
        <v>1662</v>
      </c>
      <c r="B874" s="19" t="str">
        <f>VLOOKUP(A874,Sheet1!A:E,5,0)</f>
        <v>Michelle Gregory</v>
      </c>
      <c r="C874" s="19" t="str">
        <f>VLOOKUP(A874,Sheet1!A:I,9,0)</f>
        <v>Female</v>
      </c>
      <c r="D874" s="19">
        <f>VLOOKUP(A874,Sheet1!A:K,11,0)</f>
        <v>25</v>
      </c>
      <c r="E874" s="19" t="str">
        <f>VLOOKUP(A874,Sheet1!A:M,13,0)</f>
        <v>Brazil</v>
      </c>
      <c r="F874" s="19" t="str">
        <f>VLOOKUP(A874,Sheet1!A:N,14,0)</f>
        <v>Portuguese</v>
      </c>
      <c r="G874" s="19" t="str">
        <f>VLOOKUP(A874,Sheet1!A:O,15,0)</f>
        <v>Machine Learning</v>
      </c>
      <c r="H874" s="19">
        <f>VLOOKUP(A874,Sheet1!A:Q,17,0)</f>
        <v>3</v>
      </c>
      <c r="I874" s="20">
        <f>VLOOKUP(A874,Sheet1!A:V,22,0)</f>
        <v>50</v>
      </c>
      <c r="J874" s="21">
        <f>VLOOKUP(A874,Sheet1!A:X,24,0)</f>
        <v>3.2</v>
      </c>
      <c r="K874" s="19" t="str">
        <f>VLOOKUP(A874,Sheet1!A:AB,28,0)</f>
        <v>Yes</v>
      </c>
      <c r="L874" s="27">
        <f>VLOOKUP(A874,Sheet1!A:AD,30,0)</f>
        <v>74</v>
      </c>
    </row>
    <row r="875" spans="1:12" x14ac:dyDescent="0.3">
      <c r="A875" s="14" t="s">
        <v>267</v>
      </c>
      <c r="B875" s="19" t="str">
        <f>VLOOKUP(A875,Sheet1!A:E,5,0)</f>
        <v>Samuel Pierce</v>
      </c>
      <c r="C875" s="19" t="str">
        <f>VLOOKUP(A875,Sheet1!A:I,9,0)</f>
        <v>Male</v>
      </c>
      <c r="D875" s="19">
        <f>VLOOKUP(A875,Sheet1!A:K,11,0)</f>
        <v>25</v>
      </c>
      <c r="E875" s="19" t="str">
        <f>VLOOKUP(A875,Sheet1!A:M,13,0)</f>
        <v>United States</v>
      </c>
      <c r="F875" s="19" t="str">
        <f>VLOOKUP(A875,Sheet1!A:N,14,0)</f>
        <v>English</v>
      </c>
      <c r="G875" s="19" t="str">
        <f>VLOOKUP(A875,Sheet1!A:O,15,0)</f>
        <v>Mobile Apps</v>
      </c>
      <c r="H875" s="19">
        <f>VLOOKUP(A875,Sheet1!A:Q,17,0)</f>
        <v>2</v>
      </c>
      <c r="I875" s="20">
        <f>VLOOKUP(A875,Sheet1!A:V,22,0)</f>
        <v>75</v>
      </c>
      <c r="J875" s="21">
        <f>VLOOKUP(A875,Sheet1!A:X,24,0)</f>
        <v>3.7</v>
      </c>
      <c r="K875" s="19" t="str">
        <f>VLOOKUP(A875,Sheet1!A:AB,28,0)</f>
        <v>No</v>
      </c>
      <c r="L875" s="27">
        <f>VLOOKUP(A875,Sheet1!A:AD,30,0)</f>
        <v>79.387351778656125</v>
      </c>
    </row>
    <row r="876" spans="1:12" x14ac:dyDescent="0.3">
      <c r="A876" s="14" t="s">
        <v>303</v>
      </c>
      <c r="B876" s="19" t="str">
        <f>VLOOKUP(A876,Sheet1!A:E,5,0)</f>
        <v>Travis Richardson</v>
      </c>
      <c r="C876" s="19" t="str">
        <f>VLOOKUP(A876,Sheet1!A:I,9,0)</f>
        <v>Male</v>
      </c>
      <c r="D876" s="19">
        <f>VLOOKUP(A876,Sheet1!A:K,11,0)</f>
        <v>25</v>
      </c>
      <c r="E876" s="19" t="str">
        <f>VLOOKUP(A876,Sheet1!A:M,13,0)</f>
        <v>United States</v>
      </c>
      <c r="F876" s="19" t="str">
        <f>VLOOKUP(A876,Sheet1!A:N,14,0)</f>
        <v>English</v>
      </c>
      <c r="G876" s="19" t="str">
        <f>VLOOKUP(A876,Sheet1!A:O,15,0)</f>
        <v>Graphic Design</v>
      </c>
      <c r="H876" s="19">
        <f>VLOOKUP(A876,Sheet1!A:Q,17,0)</f>
        <v>3</v>
      </c>
      <c r="I876" s="20">
        <f>VLOOKUP(A876,Sheet1!A:V,22,0)</f>
        <v>30</v>
      </c>
      <c r="J876" s="21">
        <f>VLOOKUP(A876,Sheet1!A:X,24,0)</f>
        <v>2.515691158156911</v>
      </c>
      <c r="K876" s="19" t="str">
        <f>VLOOKUP(A876,Sheet1!A:AB,28,0)</f>
        <v>No</v>
      </c>
      <c r="L876" s="27">
        <f>VLOOKUP(A876,Sheet1!A:AD,30,0)</f>
        <v>88</v>
      </c>
    </row>
    <row r="877" spans="1:12" x14ac:dyDescent="0.3">
      <c r="A877" s="14" t="s">
        <v>257</v>
      </c>
      <c r="B877" s="19" t="str">
        <f>VLOOKUP(A877,Sheet1!A:E,5,0)</f>
        <v>Veronica Baker</v>
      </c>
      <c r="C877" s="19" t="str">
        <f>VLOOKUP(A877,Sheet1!A:I,9,0)</f>
        <v>Female</v>
      </c>
      <c r="D877" s="19">
        <f>VLOOKUP(A877,Sheet1!A:K,11,0)</f>
        <v>25</v>
      </c>
      <c r="E877" s="19" t="str">
        <f>VLOOKUP(A877,Sheet1!A:M,13,0)</f>
        <v>Egypt</v>
      </c>
      <c r="F877" s="19" t="str">
        <f>VLOOKUP(A877,Sheet1!A:N,14,0)</f>
        <v>Arabic</v>
      </c>
      <c r="G877" s="19" t="str">
        <f>VLOOKUP(A877,Sheet1!A:O,15,0)</f>
        <v>Web Development</v>
      </c>
      <c r="H877" s="19">
        <f>VLOOKUP(A877,Sheet1!A:Q,17,0)</f>
        <v>7</v>
      </c>
      <c r="I877" s="20">
        <f>VLOOKUP(A877,Sheet1!A:V,22,0)</f>
        <v>40</v>
      </c>
      <c r="J877" s="21">
        <f>VLOOKUP(A877,Sheet1!A:X,24,0)</f>
        <v>4.4000000000000004</v>
      </c>
      <c r="K877" s="19" t="str">
        <f>VLOOKUP(A877,Sheet1!A:AB,28,0)</f>
        <v>Unknown</v>
      </c>
      <c r="L877" s="27">
        <f>VLOOKUP(A877,Sheet1!A:AD,30,0)</f>
        <v>81</v>
      </c>
    </row>
    <row r="878" spans="1:12" x14ac:dyDescent="0.3">
      <c r="A878" s="14" t="s">
        <v>1928</v>
      </c>
      <c r="B878" s="19" t="str">
        <f>VLOOKUP(A878,Sheet1!A:E,5,0)</f>
        <v>Amy Fitzgerald</v>
      </c>
      <c r="C878" s="19" t="str">
        <f>VLOOKUP(A878,Sheet1!A:I,9,0)</f>
        <v>Female</v>
      </c>
      <c r="D878" s="19">
        <f>VLOOKUP(A878,Sheet1!A:K,11,0)</f>
        <v>24</v>
      </c>
      <c r="E878" s="19" t="str">
        <f>VLOOKUP(A878,Sheet1!A:M,13,0)</f>
        <v>United States</v>
      </c>
      <c r="F878" s="19" t="str">
        <f>VLOOKUP(A878,Sheet1!A:N,14,0)</f>
        <v>English</v>
      </c>
      <c r="G878" s="19" t="str">
        <f>VLOOKUP(A878,Sheet1!A:O,15,0)</f>
        <v>Web Development</v>
      </c>
      <c r="H878" s="19">
        <f>VLOOKUP(A878,Sheet1!A:Q,17,0)</f>
        <v>2</v>
      </c>
      <c r="I878" s="20">
        <f>VLOOKUP(A878,Sheet1!A:V,22,0)</f>
        <v>30</v>
      </c>
      <c r="J878" s="21">
        <f>VLOOKUP(A878,Sheet1!A:X,24,0)</f>
        <v>3.6</v>
      </c>
      <c r="K878" s="19" t="str">
        <f>VLOOKUP(A878,Sheet1!A:AB,28,0)</f>
        <v>Unknown</v>
      </c>
      <c r="L878" s="27">
        <f>VLOOKUP(A878,Sheet1!A:AD,30,0)</f>
        <v>92</v>
      </c>
    </row>
    <row r="879" spans="1:12" x14ac:dyDescent="0.3">
      <c r="A879" s="14" t="s">
        <v>601</v>
      </c>
      <c r="B879" s="19" t="str">
        <f>VLOOKUP(A879,Sheet1!A:E,5,0)</f>
        <v>Anthony Nichols</v>
      </c>
      <c r="C879" s="19" t="str">
        <f>VLOOKUP(A879,Sheet1!A:I,9,0)</f>
        <v>Male</v>
      </c>
      <c r="D879" s="19">
        <f>VLOOKUP(A879,Sheet1!A:K,11,0)</f>
        <v>24</v>
      </c>
      <c r="E879" s="19" t="str">
        <f>VLOOKUP(A879,Sheet1!A:M,13,0)</f>
        <v>Spain</v>
      </c>
      <c r="F879" s="19" t="str">
        <f>VLOOKUP(A879,Sheet1!A:N,14,0)</f>
        <v>Spanish</v>
      </c>
      <c r="G879" s="19" t="str">
        <f>VLOOKUP(A879,Sheet1!A:O,15,0)</f>
        <v>Mobile Apps</v>
      </c>
      <c r="H879" s="19">
        <f>VLOOKUP(A879,Sheet1!A:Q,17,0)</f>
        <v>3</v>
      </c>
      <c r="I879" s="20">
        <f>VLOOKUP(A879,Sheet1!A:V,22,0)</f>
        <v>75</v>
      </c>
      <c r="J879" s="21">
        <f>VLOOKUP(A879,Sheet1!A:X,24,0)</f>
        <v>2</v>
      </c>
      <c r="K879" s="19" t="str">
        <f>VLOOKUP(A879,Sheet1!A:AB,28,0)</f>
        <v>No</v>
      </c>
      <c r="L879" s="27">
        <f>VLOOKUP(A879,Sheet1!A:AD,30,0)</f>
        <v>79.733118971061089</v>
      </c>
    </row>
    <row r="880" spans="1:12" x14ac:dyDescent="0.3">
      <c r="A880" s="14" t="s">
        <v>1277</v>
      </c>
      <c r="B880" s="19" t="str">
        <f>VLOOKUP(A880,Sheet1!A:E,5,0)</f>
        <v>Brianna Pittman</v>
      </c>
      <c r="C880" s="19" t="str">
        <f>VLOOKUP(A880,Sheet1!A:I,9,0)</f>
        <v>Female</v>
      </c>
      <c r="D880" s="19">
        <f>VLOOKUP(A880,Sheet1!A:K,11,0)</f>
        <v>24</v>
      </c>
      <c r="E880" s="19" t="str">
        <f>VLOOKUP(A880,Sheet1!A:M,13,0)</f>
        <v>China</v>
      </c>
      <c r="F880" s="19" t="str">
        <f>VLOOKUP(A880,Sheet1!A:N,14,0)</f>
        <v>Mandarin</v>
      </c>
      <c r="G880" s="19" t="str">
        <f>VLOOKUP(A880,Sheet1!A:O,15,0)</f>
        <v>Blockchain Development</v>
      </c>
      <c r="H880" s="19">
        <f>VLOOKUP(A880,Sheet1!A:Q,17,0)</f>
        <v>5</v>
      </c>
      <c r="I880" s="20">
        <f>VLOOKUP(A880,Sheet1!A:V,22,0)</f>
        <v>40</v>
      </c>
      <c r="J880" s="21">
        <f>VLOOKUP(A880,Sheet1!A:X,24,0)</f>
        <v>1.8</v>
      </c>
      <c r="K880" s="19" t="str">
        <f>VLOOKUP(A880,Sheet1!A:AB,28,0)</f>
        <v>Yes</v>
      </c>
      <c r="L880" s="27">
        <f>VLOOKUP(A880,Sheet1!A:AD,30,0)</f>
        <v>86</v>
      </c>
    </row>
    <row r="881" spans="1:12" x14ac:dyDescent="0.3">
      <c r="A881" s="14" t="s">
        <v>1050</v>
      </c>
      <c r="B881" s="19" t="str">
        <f>VLOOKUP(A881,Sheet1!A:E,5,0)</f>
        <v>Cheryl Freeman</v>
      </c>
      <c r="C881" s="19" t="str">
        <f>VLOOKUP(A881,Sheet1!A:I,9,0)</f>
        <v>Female</v>
      </c>
      <c r="D881" s="19">
        <f>VLOOKUP(A881,Sheet1!A:K,11,0)</f>
        <v>24</v>
      </c>
      <c r="E881" s="19" t="str">
        <f>VLOOKUP(A881,Sheet1!A:M,13,0)</f>
        <v>Netherlands</v>
      </c>
      <c r="F881" s="19" t="str">
        <f>VLOOKUP(A881,Sheet1!A:N,14,0)</f>
        <v>Dutch</v>
      </c>
      <c r="G881" s="19" t="str">
        <f>VLOOKUP(A881,Sheet1!A:O,15,0)</f>
        <v>DevOps</v>
      </c>
      <c r="H881" s="19">
        <f>VLOOKUP(A881,Sheet1!A:Q,17,0)</f>
        <v>6</v>
      </c>
      <c r="I881" s="20">
        <f>VLOOKUP(A881,Sheet1!A:V,22,0)</f>
        <v>30</v>
      </c>
      <c r="J881" s="21">
        <f>VLOOKUP(A881,Sheet1!A:X,24,0)</f>
        <v>0</v>
      </c>
      <c r="K881" s="19" t="str">
        <f>VLOOKUP(A881,Sheet1!A:AB,28,0)</f>
        <v>Yes</v>
      </c>
      <c r="L881" s="27">
        <f>VLOOKUP(A881,Sheet1!A:AD,30,0)</f>
        <v>84</v>
      </c>
    </row>
    <row r="882" spans="1:12" x14ac:dyDescent="0.3">
      <c r="A882" s="14" t="s">
        <v>1357</v>
      </c>
      <c r="B882" s="19" t="str">
        <f>VLOOKUP(A882,Sheet1!A:E,5,0)</f>
        <v>Christian Lane</v>
      </c>
      <c r="C882" s="19" t="str">
        <f>VLOOKUP(A882,Sheet1!A:I,9,0)</f>
        <v>Male</v>
      </c>
      <c r="D882" s="19">
        <f>VLOOKUP(A882,Sheet1!A:K,11,0)</f>
        <v>24</v>
      </c>
      <c r="E882" s="19" t="str">
        <f>VLOOKUP(A882,Sheet1!A:M,13,0)</f>
        <v>France</v>
      </c>
      <c r="F882" s="19" t="str">
        <f>VLOOKUP(A882,Sheet1!A:N,14,0)</f>
        <v>French</v>
      </c>
      <c r="G882" s="19" t="str">
        <f>VLOOKUP(A882,Sheet1!A:O,15,0)</f>
        <v>Mobile Apps</v>
      </c>
      <c r="H882" s="19">
        <f>VLOOKUP(A882,Sheet1!A:Q,17,0)</f>
        <v>0</v>
      </c>
      <c r="I882" s="20">
        <f>VLOOKUP(A882,Sheet1!A:V,22,0)</f>
        <v>100</v>
      </c>
      <c r="J882" s="21">
        <f>VLOOKUP(A882,Sheet1!A:X,24,0)</f>
        <v>2.6043613707165125</v>
      </c>
      <c r="K882" s="19" t="str">
        <f>VLOOKUP(A882,Sheet1!A:AB,28,0)</f>
        <v>No</v>
      </c>
      <c r="L882" s="27">
        <f>VLOOKUP(A882,Sheet1!A:AD,30,0)</f>
        <v>79.857605177993534</v>
      </c>
    </row>
    <row r="883" spans="1:12" x14ac:dyDescent="0.3">
      <c r="A883" s="14" t="s">
        <v>984</v>
      </c>
      <c r="B883" s="19" t="str">
        <f>VLOOKUP(A883,Sheet1!A:E,5,0)</f>
        <v>Daniel Terry</v>
      </c>
      <c r="C883" s="19" t="str">
        <f>VLOOKUP(A883,Sheet1!A:I,9,0)</f>
        <v>Male</v>
      </c>
      <c r="D883" s="19">
        <f>VLOOKUP(A883,Sheet1!A:K,11,0)</f>
        <v>24</v>
      </c>
      <c r="E883" s="19" t="str">
        <f>VLOOKUP(A883,Sheet1!A:M,13,0)</f>
        <v>Egypt</v>
      </c>
      <c r="F883" s="19" t="str">
        <f>VLOOKUP(A883,Sheet1!A:N,14,0)</f>
        <v>Arabic</v>
      </c>
      <c r="G883" s="19" t="str">
        <f>VLOOKUP(A883,Sheet1!A:O,15,0)</f>
        <v>DevOps</v>
      </c>
      <c r="H883" s="19">
        <f>VLOOKUP(A883,Sheet1!A:Q,17,0)</f>
        <v>6</v>
      </c>
      <c r="I883" s="20">
        <f>VLOOKUP(A883,Sheet1!A:V,22,0)</f>
        <v>75</v>
      </c>
      <c r="J883" s="21">
        <f>VLOOKUP(A883,Sheet1!A:X,24,0)</f>
        <v>4.3</v>
      </c>
      <c r="K883" s="19" t="str">
        <f>VLOOKUP(A883,Sheet1!A:AB,28,0)</f>
        <v>Yes</v>
      </c>
      <c r="L883" s="27">
        <f>VLOOKUP(A883,Sheet1!A:AD,30,0)</f>
        <v>79.3</v>
      </c>
    </row>
    <row r="884" spans="1:12" x14ac:dyDescent="0.3">
      <c r="A884" s="14" t="s">
        <v>1772</v>
      </c>
      <c r="B884" s="19" t="str">
        <f>VLOOKUP(A884,Sheet1!A:E,5,0)</f>
        <v>David Brown</v>
      </c>
      <c r="C884" s="19" t="str">
        <f>VLOOKUP(A884,Sheet1!A:I,9,0)</f>
        <v>Male</v>
      </c>
      <c r="D884" s="19">
        <f>VLOOKUP(A884,Sheet1!A:K,11,0)</f>
        <v>24</v>
      </c>
      <c r="E884" s="19" t="str">
        <f>VLOOKUP(A884,Sheet1!A:M,13,0)</f>
        <v>United States</v>
      </c>
      <c r="F884" s="19" t="str">
        <f>VLOOKUP(A884,Sheet1!A:N,14,0)</f>
        <v>English</v>
      </c>
      <c r="G884" s="19" t="str">
        <f>VLOOKUP(A884,Sheet1!A:O,15,0)</f>
        <v>UI/UX Design</v>
      </c>
      <c r="H884" s="19">
        <f>VLOOKUP(A884,Sheet1!A:Q,17,0)</f>
        <v>6</v>
      </c>
      <c r="I884" s="20">
        <f>VLOOKUP(A884,Sheet1!A:V,22,0)</f>
        <v>30</v>
      </c>
      <c r="J884" s="21">
        <f>VLOOKUP(A884,Sheet1!A:X,24,0)</f>
        <v>4.5999999999999996</v>
      </c>
      <c r="K884" s="19" t="str">
        <f>VLOOKUP(A884,Sheet1!A:AB,28,0)</f>
        <v>Yes</v>
      </c>
      <c r="L884" s="27">
        <f>VLOOKUP(A884,Sheet1!A:AD,30,0)</f>
        <v>93</v>
      </c>
    </row>
    <row r="885" spans="1:12" x14ac:dyDescent="0.3">
      <c r="A885" s="14" t="s">
        <v>1365</v>
      </c>
      <c r="B885" s="19" t="str">
        <f>VLOOKUP(A885,Sheet1!A:E,5,0)</f>
        <v>Emma Hicks</v>
      </c>
      <c r="C885" s="19" t="str">
        <f>VLOOKUP(A885,Sheet1!A:I,9,0)</f>
        <v>Female</v>
      </c>
      <c r="D885" s="19">
        <f>VLOOKUP(A885,Sheet1!A:K,11,0)</f>
        <v>24</v>
      </c>
      <c r="E885" s="19" t="str">
        <f>VLOOKUP(A885,Sheet1!A:M,13,0)</f>
        <v>Netherlands</v>
      </c>
      <c r="F885" s="19" t="str">
        <f>VLOOKUP(A885,Sheet1!A:N,14,0)</f>
        <v>Dutch</v>
      </c>
      <c r="G885" s="19" t="str">
        <f>VLOOKUP(A885,Sheet1!A:O,15,0)</f>
        <v>DevOps</v>
      </c>
      <c r="H885" s="19">
        <f>VLOOKUP(A885,Sheet1!A:Q,17,0)</f>
        <v>2</v>
      </c>
      <c r="I885" s="20">
        <f>VLOOKUP(A885,Sheet1!A:V,22,0)</f>
        <v>50</v>
      </c>
      <c r="J885" s="21">
        <f>VLOOKUP(A885,Sheet1!A:X,24,0)</f>
        <v>2.6062893081761027</v>
      </c>
      <c r="K885" s="19" t="str">
        <f>VLOOKUP(A885,Sheet1!A:AB,28,0)</f>
        <v>No</v>
      </c>
      <c r="L885" s="27">
        <f>VLOOKUP(A885,Sheet1!A:AD,30,0)</f>
        <v>64</v>
      </c>
    </row>
    <row r="886" spans="1:12" x14ac:dyDescent="0.3">
      <c r="A886" s="14" t="s">
        <v>1978</v>
      </c>
      <c r="B886" s="19" t="str">
        <f>VLOOKUP(A886,Sheet1!A:E,5,0)</f>
        <v>Hector Greer</v>
      </c>
      <c r="C886" s="19" t="str">
        <f>VLOOKUP(A886,Sheet1!A:I,9,0)</f>
        <v>Male</v>
      </c>
      <c r="D886" s="19">
        <f>VLOOKUP(A886,Sheet1!A:K,11,0)</f>
        <v>24</v>
      </c>
      <c r="E886" s="19" t="str">
        <f>VLOOKUP(A886,Sheet1!A:M,13,0)</f>
        <v>Turkey</v>
      </c>
      <c r="F886" s="19" t="str">
        <f>VLOOKUP(A886,Sheet1!A:N,14,0)</f>
        <v>Turkish</v>
      </c>
      <c r="G886" s="19" t="str">
        <f>VLOOKUP(A886,Sheet1!A:O,15,0)</f>
        <v>Graphic Design</v>
      </c>
      <c r="H886" s="19">
        <f>VLOOKUP(A886,Sheet1!A:Q,17,0)</f>
        <v>2</v>
      </c>
      <c r="I886" s="20">
        <f>VLOOKUP(A886,Sheet1!A:V,22,0)</f>
        <v>57.264150943396224</v>
      </c>
      <c r="J886" s="21">
        <f>VLOOKUP(A886,Sheet1!A:X,24,0)</f>
        <v>1.6</v>
      </c>
      <c r="K886" s="19" t="str">
        <f>VLOOKUP(A886,Sheet1!A:AB,28,0)</f>
        <v>No</v>
      </c>
      <c r="L886" s="27">
        <f>VLOOKUP(A886,Sheet1!A:AD,30,0)</f>
        <v>100</v>
      </c>
    </row>
    <row r="887" spans="1:12" x14ac:dyDescent="0.3">
      <c r="A887" s="14" t="s">
        <v>966</v>
      </c>
      <c r="B887" s="19" t="str">
        <f>VLOOKUP(A887,Sheet1!A:E,5,0)</f>
        <v>Jack Ortega</v>
      </c>
      <c r="C887" s="19" t="str">
        <f>VLOOKUP(A887,Sheet1!A:I,9,0)</f>
        <v>Male</v>
      </c>
      <c r="D887" s="19">
        <f>VLOOKUP(A887,Sheet1!A:K,11,0)</f>
        <v>24</v>
      </c>
      <c r="E887" s="19" t="str">
        <f>VLOOKUP(A887,Sheet1!A:M,13,0)</f>
        <v>India</v>
      </c>
      <c r="F887" s="19" t="str">
        <f>VLOOKUP(A887,Sheet1!A:N,14,0)</f>
        <v>Hindi</v>
      </c>
      <c r="G887" s="19" t="str">
        <f>VLOOKUP(A887,Sheet1!A:O,15,0)</f>
        <v>Cybersecurity</v>
      </c>
      <c r="H887" s="19">
        <f>VLOOKUP(A887,Sheet1!A:Q,17,0)</f>
        <v>2</v>
      </c>
      <c r="I887" s="20">
        <f>VLOOKUP(A887,Sheet1!A:V,22,0)</f>
        <v>75</v>
      </c>
      <c r="J887" s="21">
        <f>VLOOKUP(A887,Sheet1!A:X,24,0)</f>
        <v>4.7</v>
      </c>
      <c r="K887" s="19" t="str">
        <f>VLOOKUP(A887,Sheet1!A:AB,28,0)</f>
        <v>No</v>
      </c>
      <c r="L887" s="27">
        <f>VLOOKUP(A887,Sheet1!A:AD,30,0)</f>
        <v>68</v>
      </c>
    </row>
    <row r="888" spans="1:12" x14ac:dyDescent="0.3">
      <c r="A888" s="14" t="s">
        <v>1067</v>
      </c>
      <c r="B888" s="19" t="str">
        <f>VLOOKUP(A888,Sheet1!A:E,5,0)</f>
        <v>Jennifer Rogers</v>
      </c>
      <c r="C888" s="19" t="str">
        <f>VLOOKUP(A888,Sheet1!A:I,9,0)</f>
        <v>Female</v>
      </c>
      <c r="D888" s="19">
        <f>VLOOKUP(A888,Sheet1!A:K,11,0)</f>
        <v>24</v>
      </c>
      <c r="E888" s="19" t="str">
        <f>VLOOKUP(A888,Sheet1!A:M,13,0)</f>
        <v>South Africa</v>
      </c>
      <c r="F888" s="19" t="str">
        <f>VLOOKUP(A888,Sheet1!A:N,14,0)</f>
        <v>Afrikaans</v>
      </c>
      <c r="G888" s="19" t="str">
        <f>VLOOKUP(A888,Sheet1!A:O,15,0)</f>
        <v>Mobile Apps</v>
      </c>
      <c r="H888" s="19">
        <f>VLOOKUP(A888,Sheet1!A:Q,17,0)</f>
        <v>6</v>
      </c>
      <c r="I888" s="20">
        <f>VLOOKUP(A888,Sheet1!A:V,22,0)</f>
        <v>30</v>
      </c>
      <c r="J888" s="21">
        <f>VLOOKUP(A888,Sheet1!A:X,24,0)</f>
        <v>1.1000000000000001</v>
      </c>
      <c r="K888" s="19" t="str">
        <f>VLOOKUP(A888,Sheet1!A:AB,28,0)</f>
        <v>Yes</v>
      </c>
      <c r="L888" s="27">
        <f>VLOOKUP(A888,Sheet1!A:AD,30,0)</f>
        <v>79.651162790697668</v>
      </c>
    </row>
    <row r="889" spans="1:12" x14ac:dyDescent="0.3">
      <c r="A889" s="14" t="s">
        <v>1670</v>
      </c>
      <c r="B889" s="19" t="str">
        <f>VLOOKUP(A889,Sheet1!A:E,5,0)</f>
        <v>Jonathan Jones</v>
      </c>
      <c r="C889" s="19" t="str">
        <f>VLOOKUP(A889,Sheet1!A:I,9,0)</f>
        <v>Male</v>
      </c>
      <c r="D889" s="19">
        <f>VLOOKUP(A889,Sheet1!A:K,11,0)</f>
        <v>24</v>
      </c>
      <c r="E889" s="19" t="str">
        <f>VLOOKUP(A889,Sheet1!A:M,13,0)</f>
        <v>United States</v>
      </c>
      <c r="F889" s="19" t="str">
        <f>VLOOKUP(A889,Sheet1!A:N,14,0)</f>
        <v>English</v>
      </c>
      <c r="G889" s="19" t="str">
        <f>VLOOKUP(A889,Sheet1!A:O,15,0)</f>
        <v>Cybersecurity</v>
      </c>
      <c r="H889" s="19">
        <f>VLOOKUP(A889,Sheet1!A:Q,17,0)</f>
        <v>4</v>
      </c>
      <c r="I889" s="20">
        <f>VLOOKUP(A889,Sheet1!A:V,22,0)</f>
        <v>50</v>
      </c>
      <c r="J889" s="21">
        <f>VLOOKUP(A889,Sheet1!A:X,24,0)</f>
        <v>3.1</v>
      </c>
      <c r="K889" s="19" t="str">
        <f>VLOOKUP(A889,Sheet1!A:AB,28,0)</f>
        <v>No</v>
      </c>
      <c r="L889" s="27">
        <f>VLOOKUP(A889,Sheet1!A:AD,30,0)</f>
        <v>95</v>
      </c>
    </row>
    <row r="890" spans="1:12" x14ac:dyDescent="0.3">
      <c r="A890" s="14" t="s">
        <v>1383</v>
      </c>
      <c r="B890" s="19" t="str">
        <f>VLOOKUP(A890,Sheet1!A:E,5,0)</f>
        <v>Kenneth Evans</v>
      </c>
      <c r="C890" s="19" t="str">
        <f>VLOOKUP(A890,Sheet1!A:I,9,0)</f>
        <v>Male</v>
      </c>
      <c r="D890" s="19">
        <f>VLOOKUP(A890,Sheet1!A:K,11,0)</f>
        <v>24</v>
      </c>
      <c r="E890" s="19" t="str">
        <f>VLOOKUP(A890,Sheet1!A:M,13,0)</f>
        <v>South Africa</v>
      </c>
      <c r="F890" s="19" t="str">
        <f>VLOOKUP(A890,Sheet1!A:N,14,0)</f>
        <v>Afrikaans</v>
      </c>
      <c r="G890" s="19" t="str">
        <f>VLOOKUP(A890,Sheet1!A:O,15,0)</f>
        <v>Data Analysis</v>
      </c>
      <c r="H890" s="19">
        <f>VLOOKUP(A890,Sheet1!A:Q,17,0)</f>
        <v>2</v>
      </c>
      <c r="I890" s="20">
        <f>VLOOKUP(A890,Sheet1!A:V,22,0)</f>
        <v>100</v>
      </c>
      <c r="J890" s="21">
        <f>VLOOKUP(A890,Sheet1!A:X,24,0)</f>
        <v>3.8</v>
      </c>
      <c r="K890" s="19" t="str">
        <f>VLOOKUP(A890,Sheet1!A:AB,28,0)</f>
        <v>Yes</v>
      </c>
      <c r="L890" s="27">
        <f>VLOOKUP(A890,Sheet1!A:AD,30,0)</f>
        <v>71</v>
      </c>
    </row>
    <row r="891" spans="1:12" x14ac:dyDescent="0.3">
      <c r="A891" s="14" t="s">
        <v>845</v>
      </c>
      <c r="B891" s="19" t="str">
        <f>VLOOKUP(A891,Sheet1!A:E,5,0)</f>
        <v>Kevin Ellis</v>
      </c>
      <c r="C891" s="19" t="str">
        <f>VLOOKUP(A891,Sheet1!A:I,9,0)</f>
        <v>Male</v>
      </c>
      <c r="D891" s="19">
        <f>VLOOKUP(A891,Sheet1!A:K,11,0)</f>
        <v>24</v>
      </c>
      <c r="E891" s="19" t="str">
        <f>VLOOKUP(A891,Sheet1!A:M,13,0)</f>
        <v>Germany</v>
      </c>
      <c r="F891" s="19" t="str">
        <f>VLOOKUP(A891,Sheet1!A:N,14,0)</f>
        <v>German</v>
      </c>
      <c r="G891" s="19" t="str">
        <f>VLOOKUP(A891,Sheet1!A:O,15,0)</f>
        <v>Cybersecurity</v>
      </c>
      <c r="H891" s="19">
        <f>VLOOKUP(A891,Sheet1!A:Q,17,0)</f>
        <v>3</v>
      </c>
      <c r="I891" s="20">
        <f>VLOOKUP(A891,Sheet1!A:V,22,0)</f>
        <v>30</v>
      </c>
      <c r="J891" s="21">
        <f>VLOOKUP(A891,Sheet1!A:X,24,0)</f>
        <v>2.2999999999999998</v>
      </c>
      <c r="K891" s="19" t="str">
        <f>VLOOKUP(A891,Sheet1!A:AB,28,0)</f>
        <v>No</v>
      </c>
      <c r="L891" s="27">
        <f>VLOOKUP(A891,Sheet1!A:AD,30,0)</f>
        <v>66</v>
      </c>
    </row>
    <row r="892" spans="1:12" x14ac:dyDescent="0.3">
      <c r="A892" s="14" t="s">
        <v>454</v>
      </c>
      <c r="B892" s="19" t="str">
        <f>VLOOKUP(A892,Sheet1!A:E,5,0)</f>
        <v>Marc Joseph</v>
      </c>
      <c r="C892" s="19" t="str">
        <f>VLOOKUP(A892,Sheet1!A:I,9,0)</f>
        <v>Male</v>
      </c>
      <c r="D892" s="19">
        <f>VLOOKUP(A892,Sheet1!A:K,11,0)</f>
        <v>24</v>
      </c>
      <c r="E892" s="19" t="str">
        <f>VLOOKUP(A892,Sheet1!A:M,13,0)</f>
        <v>Turkey</v>
      </c>
      <c r="F892" s="19" t="str">
        <f>VLOOKUP(A892,Sheet1!A:N,14,0)</f>
        <v>Turkish</v>
      </c>
      <c r="G892" s="19" t="str">
        <f>VLOOKUP(A892,Sheet1!A:O,15,0)</f>
        <v>Machine Learning</v>
      </c>
      <c r="H892" s="19">
        <f>VLOOKUP(A892,Sheet1!A:Q,17,0)</f>
        <v>1</v>
      </c>
      <c r="I892" s="20">
        <f>VLOOKUP(A892,Sheet1!A:V,22,0)</f>
        <v>30</v>
      </c>
      <c r="J892" s="21">
        <f>VLOOKUP(A892,Sheet1!A:X,24,0)</f>
        <v>3.7</v>
      </c>
      <c r="K892" s="19" t="str">
        <f>VLOOKUP(A892,Sheet1!A:AB,28,0)</f>
        <v>No</v>
      </c>
      <c r="L892" s="27">
        <f>VLOOKUP(A892,Sheet1!A:AD,30,0)</f>
        <v>95</v>
      </c>
    </row>
    <row r="893" spans="1:12" x14ac:dyDescent="0.3">
      <c r="A893" s="14" t="s">
        <v>1863</v>
      </c>
      <c r="B893" s="19" t="str">
        <f>VLOOKUP(A893,Sheet1!A:E,5,0)</f>
        <v>Margaret Schwartz</v>
      </c>
      <c r="C893" s="19" t="str">
        <f>VLOOKUP(A893,Sheet1!A:I,9,0)</f>
        <v>Female</v>
      </c>
      <c r="D893" s="19">
        <f>VLOOKUP(A893,Sheet1!A:K,11,0)</f>
        <v>24</v>
      </c>
      <c r="E893" s="19" t="str">
        <f>VLOOKUP(A893,Sheet1!A:M,13,0)</f>
        <v>Indonesia</v>
      </c>
      <c r="F893" s="19" t="str">
        <f>VLOOKUP(A893,Sheet1!A:N,14,0)</f>
        <v>Indonesian</v>
      </c>
      <c r="G893" s="19" t="str">
        <f>VLOOKUP(A893,Sheet1!A:O,15,0)</f>
        <v>Data Analysis</v>
      </c>
      <c r="H893" s="19">
        <f>VLOOKUP(A893,Sheet1!A:Q,17,0)</f>
        <v>3</v>
      </c>
      <c r="I893" s="20">
        <f>VLOOKUP(A893,Sheet1!A:V,22,0)</f>
        <v>20</v>
      </c>
      <c r="J893" s="21">
        <f>VLOOKUP(A893,Sheet1!A:X,24,0)</f>
        <v>0</v>
      </c>
      <c r="K893" s="19" t="str">
        <f>VLOOKUP(A893,Sheet1!A:AB,28,0)</f>
        <v>No</v>
      </c>
      <c r="L893" s="27">
        <f>VLOOKUP(A893,Sheet1!A:AD,30,0)</f>
        <v>76</v>
      </c>
    </row>
    <row r="894" spans="1:12" x14ac:dyDescent="0.3">
      <c r="A894" s="14" t="s">
        <v>2032</v>
      </c>
      <c r="B894" s="19" t="str">
        <f>VLOOKUP(A894,Sheet1!A:E,5,0)</f>
        <v>Matthew Strong</v>
      </c>
      <c r="C894" s="19" t="str">
        <f>VLOOKUP(A894,Sheet1!A:I,9,0)</f>
        <v>Male</v>
      </c>
      <c r="D894" s="19">
        <f>VLOOKUP(A894,Sheet1!A:K,11,0)</f>
        <v>24</v>
      </c>
      <c r="E894" s="19" t="str">
        <f>VLOOKUP(A894,Sheet1!A:M,13,0)</f>
        <v>Indonesia</v>
      </c>
      <c r="F894" s="19" t="str">
        <f>VLOOKUP(A894,Sheet1!A:N,14,0)</f>
        <v>Indonesian</v>
      </c>
      <c r="G894" s="19" t="str">
        <f>VLOOKUP(A894,Sheet1!A:O,15,0)</f>
        <v>Blockchain Development</v>
      </c>
      <c r="H894" s="19">
        <f>VLOOKUP(A894,Sheet1!A:Q,17,0)</f>
        <v>3</v>
      </c>
      <c r="I894" s="20">
        <f>VLOOKUP(A894,Sheet1!A:V,22,0)</f>
        <v>30</v>
      </c>
      <c r="J894" s="21">
        <f>VLOOKUP(A894,Sheet1!A:X,24,0)</f>
        <v>3.9</v>
      </c>
      <c r="K894" s="19" t="str">
        <f>VLOOKUP(A894,Sheet1!A:AB,28,0)</f>
        <v>No</v>
      </c>
      <c r="L894" s="27">
        <f>VLOOKUP(A894,Sheet1!A:AD,30,0)</f>
        <v>90</v>
      </c>
    </row>
    <row r="895" spans="1:12" x14ac:dyDescent="0.3">
      <c r="A895" s="14" t="s">
        <v>1215</v>
      </c>
      <c r="B895" s="19" t="str">
        <f>VLOOKUP(A895,Sheet1!A:E,5,0)</f>
        <v>Nicole Davis</v>
      </c>
      <c r="C895" s="19" t="str">
        <f>VLOOKUP(A895,Sheet1!A:I,9,0)</f>
        <v>Female</v>
      </c>
      <c r="D895" s="19">
        <f>VLOOKUP(A895,Sheet1!A:K,11,0)</f>
        <v>24</v>
      </c>
      <c r="E895" s="19" t="str">
        <f>VLOOKUP(A895,Sheet1!A:M,13,0)</f>
        <v>France</v>
      </c>
      <c r="F895" s="19" t="str">
        <f>VLOOKUP(A895,Sheet1!A:N,14,0)</f>
        <v>French</v>
      </c>
      <c r="G895" s="19" t="str">
        <f>VLOOKUP(A895,Sheet1!A:O,15,0)</f>
        <v>Cybersecurity</v>
      </c>
      <c r="H895" s="19">
        <f>VLOOKUP(A895,Sheet1!A:Q,17,0)</f>
        <v>5</v>
      </c>
      <c r="I895" s="20">
        <f>VLOOKUP(A895,Sheet1!A:V,22,0)</f>
        <v>40</v>
      </c>
      <c r="J895" s="21">
        <f>VLOOKUP(A895,Sheet1!A:X,24,0)</f>
        <v>3</v>
      </c>
      <c r="K895" s="19" t="str">
        <f>VLOOKUP(A895,Sheet1!A:AB,28,0)</f>
        <v>No</v>
      </c>
      <c r="L895" s="27">
        <f>VLOOKUP(A895,Sheet1!A:AD,30,0)</f>
        <v>86</v>
      </c>
    </row>
    <row r="896" spans="1:12" x14ac:dyDescent="0.3">
      <c r="A896" s="14" t="s">
        <v>942</v>
      </c>
      <c r="B896" s="19" t="str">
        <f>VLOOKUP(A896,Sheet1!A:E,5,0)</f>
        <v>Regina Daniel</v>
      </c>
      <c r="C896" s="19" t="str">
        <f>VLOOKUP(A896,Sheet1!A:I,9,0)</f>
        <v>Female</v>
      </c>
      <c r="D896" s="19">
        <f>VLOOKUP(A896,Sheet1!A:K,11,0)</f>
        <v>24</v>
      </c>
      <c r="E896" s="19" t="str">
        <f>VLOOKUP(A896,Sheet1!A:M,13,0)</f>
        <v>India</v>
      </c>
      <c r="F896" s="19" t="str">
        <f>VLOOKUP(A896,Sheet1!A:N,14,0)</f>
        <v>Hindi</v>
      </c>
      <c r="G896" s="19" t="str">
        <f>VLOOKUP(A896,Sheet1!A:O,15,0)</f>
        <v>AI</v>
      </c>
      <c r="H896" s="19">
        <f>VLOOKUP(A896,Sheet1!A:Q,17,0)</f>
        <v>3</v>
      </c>
      <c r="I896" s="20">
        <f>VLOOKUP(A896,Sheet1!A:V,22,0)</f>
        <v>20</v>
      </c>
      <c r="J896" s="21">
        <f>VLOOKUP(A896,Sheet1!A:X,24,0)</f>
        <v>0</v>
      </c>
      <c r="K896" s="19" t="str">
        <f>VLOOKUP(A896,Sheet1!A:AB,28,0)</f>
        <v>Yes</v>
      </c>
      <c r="L896" s="27">
        <f>VLOOKUP(A896,Sheet1!A:AD,30,0)</f>
        <v>79.471816283924838</v>
      </c>
    </row>
    <row r="897" spans="1:12" x14ac:dyDescent="0.3">
      <c r="A897" s="14" t="s">
        <v>1790</v>
      </c>
      <c r="B897" s="19" t="str">
        <f>VLOOKUP(A897,Sheet1!A:E,5,0)</f>
        <v>Roy Wilson</v>
      </c>
      <c r="C897" s="19" t="str">
        <f>VLOOKUP(A897,Sheet1!A:I,9,0)</f>
        <v>Male</v>
      </c>
      <c r="D897" s="19">
        <f>VLOOKUP(A897,Sheet1!A:K,11,0)</f>
        <v>24</v>
      </c>
      <c r="E897" s="19" t="str">
        <f>VLOOKUP(A897,Sheet1!A:M,13,0)</f>
        <v>France</v>
      </c>
      <c r="F897" s="19" t="str">
        <f>VLOOKUP(A897,Sheet1!A:N,14,0)</f>
        <v>French</v>
      </c>
      <c r="G897" s="19" t="str">
        <f>VLOOKUP(A897,Sheet1!A:O,15,0)</f>
        <v>Web Development</v>
      </c>
      <c r="H897" s="19">
        <f>VLOOKUP(A897,Sheet1!A:Q,17,0)</f>
        <v>6</v>
      </c>
      <c r="I897" s="20">
        <f>VLOOKUP(A897,Sheet1!A:V,22,0)</f>
        <v>50</v>
      </c>
      <c r="J897" s="21">
        <f>VLOOKUP(A897,Sheet1!A:X,24,0)</f>
        <v>1.4</v>
      </c>
      <c r="K897" s="19" t="str">
        <f>VLOOKUP(A897,Sheet1!A:AB,28,0)</f>
        <v>Yes</v>
      </c>
      <c r="L897" s="27">
        <f>VLOOKUP(A897,Sheet1!A:AD,30,0)</f>
        <v>63</v>
      </c>
    </row>
    <row r="898" spans="1:12" x14ac:dyDescent="0.3">
      <c r="A898" s="14" t="s">
        <v>1786</v>
      </c>
      <c r="B898" s="19" t="str">
        <f>VLOOKUP(A898,Sheet1!A:E,5,0)</f>
        <v>Anna Fleming</v>
      </c>
      <c r="C898" s="19" t="str">
        <f>VLOOKUP(A898,Sheet1!A:I,9,0)</f>
        <v>Female</v>
      </c>
      <c r="D898" s="19">
        <f>VLOOKUP(A898,Sheet1!A:K,11,0)</f>
        <v>23</v>
      </c>
      <c r="E898" s="19" t="str">
        <f>VLOOKUP(A898,Sheet1!A:M,13,0)</f>
        <v>Mexico</v>
      </c>
      <c r="F898" s="19" t="str">
        <f>VLOOKUP(A898,Sheet1!A:N,14,0)</f>
        <v>Spanish</v>
      </c>
      <c r="G898" s="19" t="str">
        <f>VLOOKUP(A898,Sheet1!A:O,15,0)</f>
        <v>Data Analysis</v>
      </c>
      <c r="H898" s="19">
        <f>VLOOKUP(A898,Sheet1!A:Q,17,0)</f>
        <v>2</v>
      </c>
      <c r="I898" s="20">
        <f>VLOOKUP(A898,Sheet1!A:V,22,0)</f>
        <v>20</v>
      </c>
      <c r="J898" s="21">
        <f>VLOOKUP(A898,Sheet1!A:X,24,0)</f>
        <v>1.3</v>
      </c>
      <c r="K898" s="19" t="str">
        <f>VLOOKUP(A898,Sheet1!A:AB,28,0)</f>
        <v>No</v>
      </c>
      <c r="L898" s="27">
        <f>VLOOKUP(A898,Sheet1!A:AD,30,0)</f>
        <v>80.079365079365076</v>
      </c>
    </row>
    <row r="899" spans="1:12" x14ac:dyDescent="0.3">
      <c r="A899" s="14" t="s">
        <v>311</v>
      </c>
      <c r="B899" s="19" t="str">
        <f>VLOOKUP(A899,Sheet1!A:E,5,0)</f>
        <v>Elizabeth Lester</v>
      </c>
      <c r="C899" s="19" t="str">
        <f>VLOOKUP(A899,Sheet1!A:I,9,0)</f>
        <v>Female</v>
      </c>
      <c r="D899" s="19">
        <f>VLOOKUP(A899,Sheet1!A:K,11,0)</f>
        <v>23</v>
      </c>
      <c r="E899" s="19" t="str">
        <f>VLOOKUP(A899,Sheet1!A:M,13,0)</f>
        <v>United States</v>
      </c>
      <c r="F899" s="19" t="str">
        <f>VLOOKUP(A899,Sheet1!A:N,14,0)</f>
        <v>English</v>
      </c>
      <c r="G899" s="19" t="str">
        <f>VLOOKUP(A899,Sheet1!A:O,15,0)</f>
        <v>Web Development</v>
      </c>
      <c r="H899" s="19">
        <f>VLOOKUP(A899,Sheet1!A:Q,17,0)</f>
        <v>0</v>
      </c>
      <c r="I899" s="20">
        <f>VLOOKUP(A899,Sheet1!A:V,22,0)</f>
        <v>20</v>
      </c>
      <c r="J899" s="21">
        <f>VLOOKUP(A899,Sheet1!A:X,24,0)</f>
        <v>4.7</v>
      </c>
      <c r="K899" s="19" t="str">
        <f>VLOOKUP(A899,Sheet1!A:AB,28,0)</f>
        <v>Yes</v>
      </c>
      <c r="L899" s="27">
        <f>VLOOKUP(A899,Sheet1!A:AD,30,0)</f>
        <v>60</v>
      </c>
    </row>
    <row r="900" spans="1:12" x14ac:dyDescent="0.3">
      <c r="A900" s="14" t="s">
        <v>1594</v>
      </c>
      <c r="B900" s="19" t="str">
        <f>VLOOKUP(A900,Sheet1!A:E,5,0)</f>
        <v>Erin Jimenez</v>
      </c>
      <c r="C900" s="19" t="str">
        <f>VLOOKUP(A900,Sheet1!A:I,9,0)</f>
        <v>Female</v>
      </c>
      <c r="D900" s="19">
        <f>VLOOKUP(A900,Sheet1!A:K,11,0)</f>
        <v>23</v>
      </c>
      <c r="E900" s="19" t="str">
        <f>VLOOKUP(A900,Sheet1!A:M,13,0)</f>
        <v>Canada</v>
      </c>
      <c r="F900" s="19" t="str">
        <f>VLOOKUP(A900,Sheet1!A:N,14,0)</f>
        <v>English</v>
      </c>
      <c r="G900" s="19" t="str">
        <f>VLOOKUP(A900,Sheet1!A:O,15,0)</f>
        <v>Blockchain Development</v>
      </c>
      <c r="H900" s="19">
        <f>VLOOKUP(A900,Sheet1!A:Q,17,0)</f>
        <v>0</v>
      </c>
      <c r="I900" s="20">
        <f>VLOOKUP(A900,Sheet1!A:V,22,0)</f>
        <v>30</v>
      </c>
      <c r="J900" s="21">
        <f>VLOOKUP(A900,Sheet1!A:X,24,0)</f>
        <v>1.1000000000000001</v>
      </c>
      <c r="K900" s="19" t="str">
        <f>VLOOKUP(A900,Sheet1!A:AB,28,0)</f>
        <v>Yes</v>
      </c>
      <c r="L900" s="27">
        <f>VLOOKUP(A900,Sheet1!A:AD,30,0)</f>
        <v>86</v>
      </c>
    </row>
    <row r="901" spans="1:12" x14ac:dyDescent="0.3">
      <c r="A901" s="14" t="s">
        <v>1638</v>
      </c>
      <c r="B901" s="19" t="str">
        <f>VLOOKUP(A901,Sheet1!A:E,5,0)</f>
        <v>James Campbell</v>
      </c>
      <c r="C901" s="19" t="str">
        <f>VLOOKUP(A901,Sheet1!A:I,9,0)</f>
        <v>Male</v>
      </c>
      <c r="D901" s="19">
        <f>VLOOKUP(A901,Sheet1!A:K,11,0)</f>
        <v>23</v>
      </c>
      <c r="E901" s="19" t="str">
        <f>VLOOKUP(A901,Sheet1!A:M,13,0)</f>
        <v>Spain</v>
      </c>
      <c r="F901" s="19" t="str">
        <f>VLOOKUP(A901,Sheet1!A:N,14,0)</f>
        <v>Spanish</v>
      </c>
      <c r="G901" s="19" t="str">
        <f>VLOOKUP(A901,Sheet1!A:O,15,0)</f>
        <v>DevOps</v>
      </c>
      <c r="H901" s="19">
        <f>VLOOKUP(A901,Sheet1!A:Q,17,0)</f>
        <v>3</v>
      </c>
      <c r="I901" s="20">
        <f>VLOOKUP(A901,Sheet1!A:V,22,0)</f>
        <v>30</v>
      </c>
      <c r="J901" s="21">
        <f>VLOOKUP(A901,Sheet1!A:X,24,0)</f>
        <v>1.6</v>
      </c>
      <c r="K901" s="19" t="str">
        <f>VLOOKUP(A901,Sheet1!A:AB,28,0)</f>
        <v>Yes</v>
      </c>
      <c r="L901" s="27">
        <f>VLOOKUP(A901,Sheet1!A:AD,30,0)</f>
        <v>72</v>
      </c>
    </row>
    <row r="902" spans="1:12" x14ac:dyDescent="0.3">
      <c r="A902" s="14" t="s">
        <v>1562</v>
      </c>
      <c r="B902" s="19" t="str">
        <f>VLOOKUP(A902,Sheet1!A:E,5,0)</f>
        <v>Jessica Garza</v>
      </c>
      <c r="C902" s="19" t="str">
        <f>VLOOKUP(A902,Sheet1!A:I,9,0)</f>
        <v>Female</v>
      </c>
      <c r="D902" s="19">
        <f>VLOOKUP(A902,Sheet1!A:K,11,0)</f>
        <v>23</v>
      </c>
      <c r="E902" s="19" t="str">
        <f>VLOOKUP(A902,Sheet1!A:M,13,0)</f>
        <v>Argentina</v>
      </c>
      <c r="F902" s="19" t="str">
        <f>VLOOKUP(A902,Sheet1!A:N,14,0)</f>
        <v>Spanish</v>
      </c>
      <c r="G902" s="19" t="str">
        <f>VLOOKUP(A902,Sheet1!A:O,15,0)</f>
        <v>UI/UX Design</v>
      </c>
      <c r="H902" s="19">
        <f>VLOOKUP(A902,Sheet1!A:Q,17,0)</f>
        <v>0</v>
      </c>
      <c r="I902" s="20">
        <f>VLOOKUP(A902,Sheet1!A:V,22,0)</f>
        <v>75</v>
      </c>
      <c r="J902" s="21">
        <f>VLOOKUP(A902,Sheet1!A:X,24,0)</f>
        <v>0</v>
      </c>
      <c r="K902" s="19" t="str">
        <f>VLOOKUP(A902,Sheet1!A:AB,28,0)</f>
        <v>No</v>
      </c>
      <c r="L902" s="27">
        <f>VLOOKUP(A902,Sheet1!A:AD,30,0)</f>
        <v>92</v>
      </c>
    </row>
    <row r="903" spans="1:12" x14ac:dyDescent="0.3">
      <c r="A903" s="14" t="s">
        <v>563</v>
      </c>
      <c r="B903" s="19" t="str">
        <f>VLOOKUP(A903,Sheet1!A:E,5,0)</f>
        <v>Julia Murphy</v>
      </c>
      <c r="C903" s="19" t="str">
        <f>VLOOKUP(A903,Sheet1!A:I,9,0)</f>
        <v>Female</v>
      </c>
      <c r="D903" s="19">
        <f>VLOOKUP(A903,Sheet1!A:K,11,0)</f>
        <v>23</v>
      </c>
      <c r="E903" s="19" t="str">
        <f>VLOOKUP(A903,Sheet1!A:M,13,0)</f>
        <v>South Korea</v>
      </c>
      <c r="F903" s="19" t="str">
        <f>VLOOKUP(A903,Sheet1!A:N,14,0)</f>
        <v>Korean</v>
      </c>
      <c r="G903" s="19" t="str">
        <f>VLOOKUP(A903,Sheet1!A:O,15,0)</f>
        <v>Graphic Design</v>
      </c>
      <c r="H903" s="19">
        <f>VLOOKUP(A903,Sheet1!A:Q,17,0)</f>
        <v>2</v>
      </c>
      <c r="I903" s="20">
        <f>VLOOKUP(A903,Sheet1!A:V,22,0)</f>
        <v>50</v>
      </c>
      <c r="J903" s="21">
        <f>VLOOKUP(A903,Sheet1!A:X,24,0)</f>
        <v>3.2</v>
      </c>
      <c r="K903" s="19" t="str">
        <f>VLOOKUP(A903,Sheet1!A:AB,28,0)</f>
        <v>Yes</v>
      </c>
      <c r="L903" s="27">
        <f>VLOOKUP(A903,Sheet1!A:AD,30,0)</f>
        <v>79.631496062992127</v>
      </c>
    </row>
    <row r="904" spans="1:12" x14ac:dyDescent="0.3">
      <c r="A904" s="14" t="s">
        <v>193</v>
      </c>
      <c r="B904" s="19" t="str">
        <f>VLOOKUP(A904,Sheet1!A:E,5,0)</f>
        <v>Julie Burgess</v>
      </c>
      <c r="C904" s="19" t="str">
        <f>VLOOKUP(A904,Sheet1!A:I,9,0)</f>
        <v>Female</v>
      </c>
      <c r="D904" s="19">
        <f>VLOOKUP(A904,Sheet1!A:K,11,0)</f>
        <v>23</v>
      </c>
      <c r="E904" s="19" t="str">
        <f>VLOOKUP(A904,Sheet1!A:M,13,0)</f>
        <v>Argentina</v>
      </c>
      <c r="F904" s="19" t="str">
        <f>VLOOKUP(A904,Sheet1!A:N,14,0)</f>
        <v>Spanish</v>
      </c>
      <c r="G904" s="19" t="str">
        <f>VLOOKUP(A904,Sheet1!A:O,15,0)</f>
        <v>Cybersecurity</v>
      </c>
      <c r="H904" s="19">
        <f>VLOOKUP(A904,Sheet1!A:Q,17,0)</f>
        <v>0</v>
      </c>
      <c r="I904" s="20">
        <f>VLOOKUP(A904,Sheet1!A:V,22,0)</f>
        <v>75</v>
      </c>
      <c r="J904" s="21">
        <f>VLOOKUP(A904,Sheet1!A:X,24,0)</f>
        <v>1.9</v>
      </c>
      <c r="K904" s="19" t="str">
        <f>VLOOKUP(A904,Sheet1!A:AB,28,0)</f>
        <v>Yes</v>
      </c>
      <c r="L904" s="27">
        <f>VLOOKUP(A904,Sheet1!A:AD,30,0)</f>
        <v>79</v>
      </c>
    </row>
    <row r="905" spans="1:12" x14ac:dyDescent="0.3">
      <c r="A905" s="14" t="s">
        <v>789</v>
      </c>
      <c r="B905" s="19" t="str">
        <f>VLOOKUP(A905,Sheet1!A:E,5,0)</f>
        <v>Kurt Wilson</v>
      </c>
      <c r="C905" s="19" t="str">
        <f>VLOOKUP(A905,Sheet1!A:I,9,0)</f>
        <v>Male</v>
      </c>
      <c r="D905" s="19">
        <f>VLOOKUP(A905,Sheet1!A:K,11,0)</f>
        <v>23</v>
      </c>
      <c r="E905" s="19" t="str">
        <f>VLOOKUP(A905,Sheet1!A:M,13,0)</f>
        <v>Australia</v>
      </c>
      <c r="F905" s="19" t="str">
        <f>VLOOKUP(A905,Sheet1!A:N,14,0)</f>
        <v>English</v>
      </c>
      <c r="G905" s="19" t="str">
        <f>VLOOKUP(A905,Sheet1!A:O,15,0)</f>
        <v>DevOps</v>
      </c>
      <c r="H905" s="19">
        <f>VLOOKUP(A905,Sheet1!A:Q,17,0)</f>
        <v>1</v>
      </c>
      <c r="I905" s="20">
        <f>VLOOKUP(A905,Sheet1!A:V,22,0)</f>
        <v>20</v>
      </c>
      <c r="J905" s="21">
        <f>VLOOKUP(A905,Sheet1!A:X,24,0)</f>
        <v>4</v>
      </c>
      <c r="K905" s="19" t="str">
        <f>VLOOKUP(A905,Sheet1!A:AB,28,0)</f>
        <v>Yes</v>
      </c>
      <c r="L905" s="27">
        <f>VLOOKUP(A905,Sheet1!A:AD,30,0)</f>
        <v>100</v>
      </c>
    </row>
    <row r="906" spans="1:12" x14ac:dyDescent="0.3">
      <c r="A906" s="14" t="s">
        <v>1698</v>
      </c>
      <c r="B906" s="19" t="str">
        <f>VLOOKUP(A906,Sheet1!A:E,5,0)</f>
        <v>Mark Ward</v>
      </c>
      <c r="C906" s="19" t="str">
        <f>VLOOKUP(A906,Sheet1!A:I,9,0)</f>
        <v>Male</v>
      </c>
      <c r="D906" s="19">
        <f>VLOOKUP(A906,Sheet1!A:K,11,0)</f>
        <v>23</v>
      </c>
      <c r="E906" s="19" t="str">
        <f>VLOOKUP(A906,Sheet1!A:M,13,0)</f>
        <v>Germany</v>
      </c>
      <c r="F906" s="19" t="str">
        <f>VLOOKUP(A906,Sheet1!A:N,14,0)</f>
        <v>German</v>
      </c>
      <c r="G906" s="19" t="str">
        <f>VLOOKUP(A906,Sheet1!A:O,15,0)</f>
        <v>AI</v>
      </c>
      <c r="H906" s="19">
        <f>VLOOKUP(A906,Sheet1!A:Q,17,0)</f>
        <v>4</v>
      </c>
      <c r="I906" s="20">
        <f>VLOOKUP(A906,Sheet1!A:V,22,0)</f>
        <v>50</v>
      </c>
      <c r="J906" s="21">
        <f>VLOOKUP(A906,Sheet1!A:X,24,0)</f>
        <v>4.5</v>
      </c>
      <c r="K906" s="19" t="str">
        <f>VLOOKUP(A906,Sheet1!A:AB,28,0)</f>
        <v>No</v>
      </c>
      <c r="L906" s="27">
        <f>VLOOKUP(A906,Sheet1!A:AD,30,0)</f>
        <v>98</v>
      </c>
    </row>
    <row r="907" spans="1:12" x14ac:dyDescent="0.3">
      <c r="A907" s="14" t="s">
        <v>849</v>
      </c>
      <c r="B907" s="19" t="str">
        <f>VLOOKUP(A907,Sheet1!A:E,5,0)</f>
        <v>Mary Brown</v>
      </c>
      <c r="C907" s="19" t="str">
        <f>VLOOKUP(A907,Sheet1!A:I,9,0)</f>
        <v>Female</v>
      </c>
      <c r="D907" s="19">
        <f>VLOOKUP(A907,Sheet1!A:K,11,0)</f>
        <v>23</v>
      </c>
      <c r="E907" s="19" t="str">
        <f>VLOOKUP(A907,Sheet1!A:M,13,0)</f>
        <v>Germany</v>
      </c>
      <c r="F907" s="19" t="str">
        <f>VLOOKUP(A907,Sheet1!A:N,14,0)</f>
        <v>German</v>
      </c>
      <c r="G907" s="19" t="str">
        <f>VLOOKUP(A907,Sheet1!A:O,15,0)</f>
        <v>Machine Learning</v>
      </c>
      <c r="H907" s="19">
        <f>VLOOKUP(A907,Sheet1!A:Q,17,0)</f>
        <v>4</v>
      </c>
      <c r="I907" s="20">
        <f>VLOOKUP(A907,Sheet1!A:V,22,0)</f>
        <v>20</v>
      </c>
      <c r="J907" s="21">
        <f>VLOOKUP(A907,Sheet1!A:X,24,0)</f>
        <v>4.7</v>
      </c>
      <c r="K907" s="19" t="str">
        <f>VLOOKUP(A907,Sheet1!A:AB,28,0)</f>
        <v>Yes</v>
      </c>
      <c r="L907" s="27">
        <f>VLOOKUP(A907,Sheet1!A:AD,30,0)</f>
        <v>84</v>
      </c>
    </row>
    <row r="908" spans="1:12" x14ac:dyDescent="0.3">
      <c r="A908" s="14" t="s">
        <v>653</v>
      </c>
      <c r="B908" s="19" t="str">
        <f>VLOOKUP(A908,Sheet1!A:E,5,0)</f>
        <v>Meagan Walters</v>
      </c>
      <c r="C908" s="19" t="str">
        <f>VLOOKUP(A908,Sheet1!A:I,9,0)</f>
        <v>Female</v>
      </c>
      <c r="D908" s="19">
        <f>VLOOKUP(A908,Sheet1!A:K,11,0)</f>
        <v>23</v>
      </c>
      <c r="E908" s="19" t="str">
        <f>VLOOKUP(A908,Sheet1!A:M,13,0)</f>
        <v>United Kingdom</v>
      </c>
      <c r="F908" s="19" t="str">
        <f>VLOOKUP(A908,Sheet1!A:N,14,0)</f>
        <v>English</v>
      </c>
      <c r="G908" s="19" t="str">
        <f>VLOOKUP(A908,Sheet1!A:O,15,0)</f>
        <v>Blockchain Development</v>
      </c>
      <c r="H908" s="19">
        <f>VLOOKUP(A908,Sheet1!A:Q,17,0)</f>
        <v>4</v>
      </c>
      <c r="I908" s="20">
        <f>VLOOKUP(A908,Sheet1!A:V,22,0)</f>
        <v>20</v>
      </c>
      <c r="J908" s="21">
        <f>VLOOKUP(A908,Sheet1!A:X,24,0)</f>
        <v>2.5547286821705404</v>
      </c>
      <c r="K908" s="19" t="str">
        <f>VLOOKUP(A908,Sheet1!A:AB,28,0)</f>
        <v>No</v>
      </c>
      <c r="L908" s="27">
        <f>VLOOKUP(A908,Sheet1!A:AD,30,0)</f>
        <v>71</v>
      </c>
    </row>
    <row r="909" spans="1:12" x14ac:dyDescent="0.3">
      <c r="A909" s="14" t="s">
        <v>1664</v>
      </c>
      <c r="B909" s="19" t="str">
        <f>VLOOKUP(A909,Sheet1!A:E,5,0)</f>
        <v>Melanie Gay</v>
      </c>
      <c r="C909" s="19" t="str">
        <f>VLOOKUP(A909,Sheet1!A:I,9,0)</f>
        <v>Female</v>
      </c>
      <c r="D909" s="19">
        <f>VLOOKUP(A909,Sheet1!A:K,11,0)</f>
        <v>23</v>
      </c>
      <c r="E909" s="19" t="str">
        <f>VLOOKUP(A909,Sheet1!A:M,13,0)</f>
        <v>Italy</v>
      </c>
      <c r="F909" s="19" t="str">
        <f>VLOOKUP(A909,Sheet1!A:N,14,0)</f>
        <v>Italian</v>
      </c>
      <c r="G909" s="19" t="str">
        <f>VLOOKUP(A909,Sheet1!A:O,15,0)</f>
        <v>UI/UX Design</v>
      </c>
      <c r="H909" s="19">
        <f>VLOOKUP(A909,Sheet1!A:Q,17,0)</f>
        <v>1</v>
      </c>
      <c r="I909" s="20">
        <f>VLOOKUP(A909,Sheet1!A:V,22,0)</f>
        <v>30</v>
      </c>
      <c r="J909" s="21">
        <f>VLOOKUP(A909,Sheet1!A:X,24,0)</f>
        <v>5</v>
      </c>
      <c r="K909" s="19" t="str">
        <f>VLOOKUP(A909,Sheet1!A:AB,28,0)</f>
        <v>No</v>
      </c>
      <c r="L909" s="27">
        <f>VLOOKUP(A909,Sheet1!A:AD,30,0)</f>
        <v>97</v>
      </c>
    </row>
    <row r="910" spans="1:12" x14ac:dyDescent="0.3">
      <c r="A910" s="14" t="s">
        <v>797</v>
      </c>
      <c r="B910" s="19" t="str">
        <f>VLOOKUP(A910,Sheet1!A:E,5,0)</f>
        <v>Michael Andersen</v>
      </c>
      <c r="C910" s="19" t="str">
        <f>VLOOKUP(A910,Sheet1!A:I,9,0)</f>
        <v>Male</v>
      </c>
      <c r="D910" s="19">
        <f>VLOOKUP(A910,Sheet1!A:K,11,0)</f>
        <v>23</v>
      </c>
      <c r="E910" s="19" t="str">
        <f>VLOOKUP(A910,Sheet1!A:M,13,0)</f>
        <v>Netherlands</v>
      </c>
      <c r="F910" s="19" t="str">
        <f>VLOOKUP(A910,Sheet1!A:N,14,0)</f>
        <v>Dutch</v>
      </c>
      <c r="G910" s="19" t="str">
        <f>VLOOKUP(A910,Sheet1!A:O,15,0)</f>
        <v>DevOps</v>
      </c>
      <c r="H910" s="19">
        <f>VLOOKUP(A910,Sheet1!A:Q,17,0)</f>
        <v>1</v>
      </c>
      <c r="I910" s="20">
        <f>VLOOKUP(A910,Sheet1!A:V,22,0)</f>
        <v>40</v>
      </c>
      <c r="J910" s="21">
        <f>VLOOKUP(A910,Sheet1!A:X,24,0)</f>
        <v>4.9000000000000004</v>
      </c>
      <c r="K910" s="19" t="str">
        <f>VLOOKUP(A910,Sheet1!A:AB,28,0)</f>
        <v>Yes</v>
      </c>
      <c r="L910" s="27">
        <f>VLOOKUP(A910,Sheet1!A:AD,30,0)</f>
        <v>78</v>
      </c>
    </row>
    <row r="911" spans="1:12" x14ac:dyDescent="0.3">
      <c r="A911" s="14" t="s">
        <v>1099</v>
      </c>
      <c r="B911" s="19" t="str">
        <f>VLOOKUP(A911,Sheet1!A:E,5,0)</f>
        <v>Michael Stein</v>
      </c>
      <c r="C911" s="19" t="str">
        <f>VLOOKUP(A911,Sheet1!A:I,9,0)</f>
        <v>Male</v>
      </c>
      <c r="D911" s="19">
        <f>VLOOKUP(A911,Sheet1!A:K,11,0)</f>
        <v>23</v>
      </c>
      <c r="E911" s="19" t="str">
        <f>VLOOKUP(A911,Sheet1!A:M,13,0)</f>
        <v>South Korea</v>
      </c>
      <c r="F911" s="19" t="str">
        <f>VLOOKUP(A911,Sheet1!A:N,14,0)</f>
        <v>Korean</v>
      </c>
      <c r="G911" s="19" t="str">
        <f>VLOOKUP(A911,Sheet1!A:O,15,0)</f>
        <v>Blockchain Development</v>
      </c>
      <c r="H911" s="19">
        <f>VLOOKUP(A911,Sheet1!A:Q,17,0)</f>
        <v>1</v>
      </c>
      <c r="I911" s="20">
        <f>VLOOKUP(A911,Sheet1!A:V,22,0)</f>
        <v>40</v>
      </c>
      <c r="J911" s="21">
        <f>VLOOKUP(A911,Sheet1!A:X,24,0)</f>
        <v>0</v>
      </c>
      <c r="K911" s="19" t="str">
        <f>VLOOKUP(A911,Sheet1!A:AB,28,0)</f>
        <v>No</v>
      </c>
      <c r="L911" s="27">
        <f>VLOOKUP(A911,Sheet1!A:AD,30,0)</f>
        <v>64</v>
      </c>
    </row>
    <row r="912" spans="1:12" x14ac:dyDescent="0.3">
      <c r="A912" s="14" t="s">
        <v>210</v>
      </c>
      <c r="B912" s="19" t="str">
        <f>VLOOKUP(A912,Sheet1!A:E,5,0)</f>
        <v>Samantha Mcdaniel</v>
      </c>
      <c r="C912" s="19" t="str">
        <f>VLOOKUP(A912,Sheet1!A:I,9,0)</f>
        <v>Female</v>
      </c>
      <c r="D912" s="19">
        <f>VLOOKUP(A912,Sheet1!A:K,11,0)</f>
        <v>23</v>
      </c>
      <c r="E912" s="19" t="str">
        <f>VLOOKUP(A912,Sheet1!A:M,13,0)</f>
        <v>India</v>
      </c>
      <c r="F912" s="19" t="str">
        <f>VLOOKUP(A912,Sheet1!A:N,14,0)</f>
        <v>Hindi</v>
      </c>
      <c r="G912" s="19" t="str">
        <f>VLOOKUP(A912,Sheet1!A:O,15,0)</f>
        <v>Mobile Apps</v>
      </c>
      <c r="H912" s="19">
        <f>VLOOKUP(A912,Sheet1!A:Q,17,0)</f>
        <v>3</v>
      </c>
      <c r="I912" s="20">
        <f>VLOOKUP(A912,Sheet1!A:V,22,0)</f>
        <v>75</v>
      </c>
      <c r="J912" s="21">
        <f>VLOOKUP(A912,Sheet1!A:X,24,0)</f>
        <v>3.6</v>
      </c>
      <c r="K912" s="19" t="str">
        <f>VLOOKUP(A912,Sheet1!A:AB,28,0)</f>
        <v>Yes</v>
      </c>
      <c r="L912" s="27">
        <f>VLOOKUP(A912,Sheet1!A:AD,30,0)</f>
        <v>65</v>
      </c>
    </row>
    <row r="913" spans="1:12" x14ac:dyDescent="0.3">
      <c r="A913" s="14" t="s">
        <v>869</v>
      </c>
      <c r="B913" s="19" t="str">
        <f>VLOOKUP(A913,Sheet1!A:E,5,0)</f>
        <v>Sarah Proctor</v>
      </c>
      <c r="C913" s="19" t="str">
        <f>VLOOKUP(A913,Sheet1!A:I,9,0)</f>
        <v>Female</v>
      </c>
      <c r="D913" s="19">
        <f>VLOOKUP(A913,Sheet1!A:K,11,0)</f>
        <v>23</v>
      </c>
      <c r="E913" s="19" t="str">
        <f>VLOOKUP(A913,Sheet1!A:M,13,0)</f>
        <v>Canada</v>
      </c>
      <c r="F913" s="19" t="str">
        <f>VLOOKUP(A913,Sheet1!A:N,14,0)</f>
        <v>English</v>
      </c>
      <c r="G913" s="19" t="str">
        <f>VLOOKUP(A913,Sheet1!A:O,15,0)</f>
        <v>DevOps</v>
      </c>
      <c r="H913" s="19">
        <f>VLOOKUP(A913,Sheet1!A:Q,17,0)</f>
        <v>5</v>
      </c>
      <c r="I913" s="20">
        <f>VLOOKUP(A913,Sheet1!A:V,22,0)</f>
        <v>100</v>
      </c>
      <c r="J913" s="21">
        <f>VLOOKUP(A913,Sheet1!A:X,24,0)</f>
        <v>3.2</v>
      </c>
      <c r="K913" s="19" t="str">
        <f>VLOOKUP(A913,Sheet1!A:AB,28,0)</f>
        <v>Yes</v>
      </c>
      <c r="L913" s="27">
        <f>VLOOKUP(A913,Sheet1!A:AD,30,0)</f>
        <v>79.485265225933205</v>
      </c>
    </row>
    <row r="914" spans="1:12" x14ac:dyDescent="0.3">
      <c r="A914" s="14" t="s">
        <v>2064</v>
      </c>
      <c r="B914" s="19" t="str">
        <f>VLOOKUP(A914,Sheet1!A:E,5,0)</f>
        <v>Seth Thomas</v>
      </c>
      <c r="C914" s="19" t="str">
        <f>VLOOKUP(A914,Sheet1!A:I,9,0)</f>
        <v>Male</v>
      </c>
      <c r="D914" s="19">
        <f>VLOOKUP(A914,Sheet1!A:K,11,0)</f>
        <v>23</v>
      </c>
      <c r="E914" s="19" t="str">
        <f>VLOOKUP(A914,Sheet1!A:M,13,0)</f>
        <v>United States</v>
      </c>
      <c r="F914" s="19" t="str">
        <f>VLOOKUP(A914,Sheet1!A:N,14,0)</f>
        <v>English</v>
      </c>
      <c r="G914" s="19" t="str">
        <f>VLOOKUP(A914,Sheet1!A:O,15,0)</f>
        <v>Blockchain Development</v>
      </c>
      <c r="H914" s="19">
        <f>VLOOKUP(A914,Sheet1!A:Q,17,0)</f>
        <v>4</v>
      </c>
      <c r="I914" s="20">
        <f>VLOOKUP(A914,Sheet1!A:V,22,0)</f>
        <v>100</v>
      </c>
      <c r="J914" s="21">
        <f>VLOOKUP(A914,Sheet1!A:X,24,0)</f>
        <v>2.2000000000000002</v>
      </c>
      <c r="K914" s="19" t="str">
        <f>VLOOKUP(A914,Sheet1!A:AB,28,0)</f>
        <v>Yes</v>
      </c>
      <c r="L914" s="27">
        <f>VLOOKUP(A914,Sheet1!A:AD,30,0)</f>
        <v>64</v>
      </c>
    </row>
    <row r="915" spans="1:12" x14ac:dyDescent="0.3">
      <c r="A915" s="14" t="s">
        <v>1349</v>
      </c>
      <c r="B915" s="19" t="str">
        <f>VLOOKUP(A915,Sheet1!A:E,5,0)</f>
        <v>Summer Williams</v>
      </c>
      <c r="C915" s="19" t="str">
        <f>VLOOKUP(A915,Sheet1!A:I,9,0)</f>
        <v>Female</v>
      </c>
      <c r="D915" s="19">
        <f>VLOOKUP(A915,Sheet1!A:K,11,0)</f>
        <v>23</v>
      </c>
      <c r="E915" s="19" t="str">
        <f>VLOOKUP(A915,Sheet1!A:M,13,0)</f>
        <v>South Africa</v>
      </c>
      <c r="F915" s="19" t="str">
        <f>VLOOKUP(A915,Sheet1!A:N,14,0)</f>
        <v>Afrikaans</v>
      </c>
      <c r="G915" s="19" t="str">
        <f>VLOOKUP(A915,Sheet1!A:O,15,0)</f>
        <v>AI</v>
      </c>
      <c r="H915" s="19">
        <f>VLOOKUP(A915,Sheet1!A:Q,17,0)</f>
        <v>0</v>
      </c>
      <c r="I915" s="20">
        <f>VLOOKUP(A915,Sheet1!A:V,22,0)</f>
        <v>75</v>
      </c>
      <c r="J915" s="21">
        <f>VLOOKUP(A915,Sheet1!A:X,24,0)</f>
        <v>2.2999999999999998</v>
      </c>
      <c r="K915" s="19" t="str">
        <f>VLOOKUP(A915,Sheet1!A:AB,28,0)</f>
        <v>Unknown</v>
      </c>
      <c r="L915" s="27">
        <f>VLOOKUP(A915,Sheet1!A:AD,30,0)</f>
        <v>60</v>
      </c>
    </row>
    <row r="916" spans="1:12" x14ac:dyDescent="0.3">
      <c r="A916" s="14" t="s">
        <v>1718</v>
      </c>
      <c r="B916" s="19" t="str">
        <f>VLOOKUP(A916,Sheet1!A:E,5,0)</f>
        <v>Alan Williams</v>
      </c>
      <c r="C916" s="19" t="str">
        <f>VLOOKUP(A916,Sheet1!A:I,9,0)</f>
        <v>Male</v>
      </c>
      <c r="D916" s="19">
        <f>VLOOKUP(A916,Sheet1!A:K,11,0)</f>
        <v>22</v>
      </c>
      <c r="E916" s="19" t="str">
        <f>VLOOKUP(A916,Sheet1!A:M,13,0)</f>
        <v>South Korea</v>
      </c>
      <c r="F916" s="19" t="str">
        <f>VLOOKUP(A916,Sheet1!A:N,14,0)</f>
        <v>Korean</v>
      </c>
      <c r="G916" s="19" t="str">
        <f>VLOOKUP(A916,Sheet1!A:O,15,0)</f>
        <v>UI/UX Design</v>
      </c>
      <c r="H916" s="19">
        <f>VLOOKUP(A916,Sheet1!A:Q,17,0)</f>
        <v>4</v>
      </c>
      <c r="I916" s="20">
        <f>VLOOKUP(A916,Sheet1!A:V,22,0)</f>
        <v>40</v>
      </c>
      <c r="J916" s="21">
        <f>VLOOKUP(A916,Sheet1!A:X,24,0)</f>
        <v>3.8</v>
      </c>
      <c r="K916" s="19" t="str">
        <f>VLOOKUP(A916,Sheet1!A:AB,28,0)</f>
        <v>Yes</v>
      </c>
      <c r="L916" s="27">
        <f>VLOOKUP(A916,Sheet1!A:AD,30,0)</f>
        <v>100</v>
      </c>
    </row>
    <row r="917" spans="1:12" x14ac:dyDescent="0.3">
      <c r="A917" s="14" t="s">
        <v>127</v>
      </c>
      <c r="B917" s="19" t="str">
        <f>VLOOKUP(A917,Sheet1!A:E,5,0)</f>
        <v>Anna Mccann</v>
      </c>
      <c r="C917" s="19" t="str">
        <f>VLOOKUP(A917,Sheet1!A:I,9,0)</f>
        <v>Female</v>
      </c>
      <c r="D917" s="19">
        <f>VLOOKUP(A917,Sheet1!A:K,11,0)</f>
        <v>22</v>
      </c>
      <c r="E917" s="19" t="str">
        <f>VLOOKUP(A917,Sheet1!A:M,13,0)</f>
        <v>South Korea</v>
      </c>
      <c r="F917" s="19" t="str">
        <f>VLOOKUP(A917,Sheet1!A:N,14,0)</f>
        <v>Korean</v>
      </c>
      <c r="G917" s="19" t="str">
        <f>VLOOKUP(A917,Sheet1!A:O,15,0)</f>
        <v>DevOps</v>
      </c>
      <c r="H917" s="19">
        <f>VLOOKUP(A917,Sheet1!A:Q,17,0)</f>
        <v>0</v>
      </c>
      <c r="I917" s="20">
        <f>VLOOKUP(A917,Sheet1!A:V,22,0)</f>
        <v>30</v>
      </c>
      <c r="J917" s="21">
        <f>VLOOKUP(A917,Sheet1!A:X,24,0)</f>
        <v>1.2</v>
      </c>
      <c r="K917" s="19" t="str">
        <f>VLOOKUP(A917,Sheet1!A:AB,28,0)</f>
        <v>Yes</v>
      </c>
      <c r="L917" s="27">
        <f>VLOOKUP(A917,Sheet1!A:AD,30,0)</f>
        <v>70</v>
      </c>
    </row>
    <row r="918" spans="1:12" x14ac:dyDescent="0.3">
      <c r="A918" s="14" t="s">
        <v>1333</v>
      </c>
      <c r="B918" s="19" t="str">
        <f>VLOOKUP(A918,Sheet1!A:E,5,0)</f>
        <v>Casey Bush</v>
      </c>
      <c r="C918" s="19" t="str">
        <f>VLOOKUP(A918,Sheet1!A:I,9,0)</f>
        <v>Male</v>
      </c>
      <c r="D918" s="19">
        <f>VLOOKUP(A918,Sheet1!A:K,11,0)</f>
        <v>22</v>
      </c>
      <c r="E918" s="19" t="str">
        <f>VLOOKUP(A918,Sheet1!A:M,13,0)</f>
        <v>Egypt</v>
      </c>
      <c r="F918" s="19" t="str">
        <f>VLOOKUP(A918,Sheet1!A:N,14,0)</f>
        <v>Arabic</v>
      </c>
      <c r="G918" s="19" t="str">
        <f>VLOOKUP(A918,Sheet1!A:O,15,0)</f>
        <v>UI/UX Design</v>
      </c>
      <c r="H918" s="19">
        <f>VLOOKUP(A918,Sheet1!A:Q,17,0)</f>
        <v>2</v>
      </c>
      <c r="I918" s="20">
        <f>VLOOKUP(A918,Sheet1!A:V,22,0)</f>
        <v>75</v>
      </c>
      <c r="J918" s="21">
        <f>VLOOKUP(A918,Sheet1!A:X,24,0)</f>
        <v>1.7</v>
      </c>
      <c r="K918" s="19" t="str">
        <f>VLOOKUP(A918,Sheet1!A:AB,28,0)</f>
        <v>No</v>
      </c>
      <c r="L918" s="27">
        <f>VLOOKUP(A918,Sheet1!A:AD,30,0)</f>
        <v>91</v>
      </c>
    </row>
    <row r="919" spans="1:12" x14ac:dyDescent="0.3">
      <c r="A919" s="14" t="s">
        <v>1726</v>
      </c>
      <c r="B919" s="19" t="str">
        <f>VLOOKUP(A919,Sheet1!A:E,5,0)</f>
        <v>Curtis Lambert</v>
      </c>
      <c r="C919" s="19" t="str">
        <f>VLOOKUP(A919,Sheet1!A:I,9,0)</f>
        <v>Male</v>
      </c>
      <c r="D919" s="19">
        <f>VLOOKUP(A919,Sheet1!A:K,11,0)</f>
        <v>22</v>
      </c>
      <c r="E919" s="19" t="str">
        <f>VLOOKUP(A919,Sheet1!A:M,13,0)</f>
        <v>China</v>
      </c>
      <c r="F919" s="19" t="str">
        <f>VLOOKUP(A919,Sheet1!A:N,14,0)</f>
        <v>Mandarin</v>
      </c>
      <c r="G919" s="19" t="str">
        <f>VLOOKUP(A919,Sheet1!A:O,15,0)</f>
        <v>Data Analysis</v>
      </c>
      <c r="H919" s="19">
        <f>VLOOKUP(A919,Sheet1!A:Q,17,0)</f>
        <v>2</v>
      </c>
      <c r="I919" s="20">
        <f>VLOOKUP(A919,Sheet1!A:V,22,0)</f>
        <v>20</v>
      </c>
      <c r="J919" s="21">
        <f>VLOOKUP(A919,Sheet1!A:X,24,0)</f>
        <v>2.4086419753086425</v>
      </c>
      <c r="K919" s="19" t="str">
        <f>VLOOKUP(A919,Sheet1!A:AB,28,0)</f>
        <v>No</v>
      </c>
      <c r="L919" s="27">
        <f>VLOOKUP(A919,Sheet1!A:AD,30,0)</f>
        <v>79.728476821192046</v>
      </c>
    </row>
    <row r="920" spans="1:12" x14ac:dyDescent="0.3">
      <c r="A920" s="14" t="s">
        <v>779</v>
      </c>
      <c r="B920" s="19" t="str">
        <f>VLOOKUP(A920,Sheet1!A:E,5,0)</f>
        <v>Deborah Day</v>
      </c>
      <c r="C920" s="19" t="str">
        <f>VLOOKUP(A920,Sheet1!A:I,9,0)</f>
        <v>Female</v>
      </c>
      <c r="D920" s="19">
        <f>VLOOKUP(A920,Sheet1!A:K,11,0)</f>
        <v>22</v>
      </c>
      <c r="E920" s="19" t="str">
        <f>VLOOKUP(A920,Sheet1!A:M,13,0)</f>
        <v>Italy</v>
      </c>
      <c r="F920" s="19" t="str">
        <f>VLOOKUP(A920,Sheet1!A:N,14,0)</f>
        <v>Italian</v>
      </c>
      <c r="G920" s="19" t="str">
        <f>VLOOKUP(A920,Sheet1!A:O,15,0)</f>
        <v>Blockchain Development</v>
      </c>
      <c r="H920" s="19">
        <f>VLOOKUP(A920,Sheet1!A:Q,17,0)</f>
        <v>3</v>
      </c>
      <c r="I920" s="20">
        <f>VLOOKUP(A920,Sheet1!A:V,22,0)</f>
        <v>40</v>
      </c>
      <c r="J920" s="21">
        <f>VLOOKUP(A920,Sheet1!A:X,24,0)</f>
        <v>2.1</v>
      </c>
      <c r="K920" s="19" t="str">
        <f>VLOOKUP(A920,Sheet1!A:AB,28,0)</f>
        <v>No</v>
      </c>
      <c r="L920" s="27">
        <f>VLOOKUP(A920,Sheet1!A:AD,30,0)</f>
        <v>79.386861313868607</v>
      </c>
    </row>
    <row r="921" spans="1:12" x14ac:dyDescent="0.3">
      <c r="A921" s="14" t="s">
        <v>988</v>
      </c>
      <c r="B921" s="19" t="str">
        <f>VLOOKUP(A921,Sheet1!A:E,5,0)</f>
        <v>Denise Neal</v>
      </c>
      <c r="C921" s="19" t="str">
        <f>VLOOKUP(A921,Sheet1!A:I,9,0)</f>
        <v>Female</v>
      </c>
      <c r="D921" s="19">
        <f>VLOOKUP(A921,Sheet1!A:K,11,0)</f>
        <v>22</v>
      </c>
      <c r="E921" s="19" t="str">
        <f>VLOOKUP(A921,Sheet1!A:M,13,0)</f>
        <v>Australia</v>
      </c>
      <c r="F921" s="19" t="str">
        <f>VLOOKUP(A921,Sheet1!A:N,14,0)</f>
        <v>English</v>
      </c>
      <c r="G921" s="19" t="str">
        <f>VLOOKUP(A921,Sheet1!A:O,15,0)</f>
        <v>Mobile Apps</v>
      </c>
      <c r="H921" s="19">
        <f>VLOOKUP(A921,Sheet1!A:Q,17,0)</f>
        <v>4</v>
      </c>
      <c r="I921" s="20">
        <f>VLOOKUP(A921,Sheet1!A:V,22,0)</f>
        <v>20</v>
      </c>
      <c r="J921" s="21">
        <f>VLOOKUP(A921,Sheet1!A:X,24,0)</f>
        <v>2.5439271255060723</v>
      </c>
      <c r="K921" s="19" t="str">
        <f>VLOOKUP(A921,Sheet1!A:AB,28,0)</f>
        <v>No</v>
      </c>
      <c r="L921" s="27">
        <f>VLOOKUP(A921,Sheet1!A:AD,30,0)</f>
        <v>73</v>
      </c>
    </row>
    <row r="922" spans="1:12" x14ac:dyDescent="0.3">
      <c r="A922" s="14" t="s">
        <v>783</v>
      </c>
      <c r="B922" s="19" t="str">
        <f>VLOOKUP(A922,Sheet1!A:E,5,0)</f>
        <v>Elijah Green</v>
      </c>
      <c r="C922" s="19" t="str">
        <f>VLOOKUP(A922,Sheet1!A:I,9,0)</f>
        <v>Male</v>
      </c>
      <c r="D922" s="19">
        <f>VLOOKUP(A922,Sheet1!A:K,11,0)</f>
        <v>22</v>
      </c>
      <c r="E922" s="19" t="str">
        <f>VLOOKUP(A922,Sheet1!A:M,13,0)</f>
        <v>Australia</v>
      </c>
      <c r="F922" s="19" t="str">
        <f>VLOOKUP(A922,Sheet1!A:N,14,0)</f>
        <v>English</v>
      </c>
      <c r="G922" s="19" t="str">
        <f>VLOOKUP(A922,Sheet1!A:O,15,0)</f>
        <v>Cybersecurity</v>
      </c>
      <c r="H922" s="19">
        <f>VLOOKUP(A922,Sheet1!A:Q,17,0)</f>
        <v>1</v>
      </c>
      <c r="I922" s="20">
        <f>VLOOKUP(A922,Sheet1!A:V,22,0)</f>
        <v>52.701342281879192</v>
      </c>
      <c r="J922" s="21">
        <f>VLOOKUP(A922,Sheet1!A:X,24,0)</f>
        <v>2.6</v>
      </c>
      <c r="K922" s="19" t="str">
        <f>VLOOKUP(A922,Sheet1!A:AB,28,0)</f>
        <v>No</v>
      </c>
      <c r="L922" s="27">
        <f>VLOOKUP(A922,Sheet1!A:AD,30,0)</f>
        <v>72</v>
      </c>
    </row>
    <row r="923" spans="1:12" x14ac:dyDescent="0.3">
      <c r="A923" s="14" t="s">
        <v>141</v>
      </c>
      <c r="B923" s="19" t="str">
        <f>VLOOKUP(A923,Sheet1!A:E,5,0)</f>
        <v>Eric Carpenter</v>
      </c>
      <c r="C923" s="19" t="str">
        <f>VLOOKUP(A923,Sheet1!A:I,9,0)</f>
        <v>Male</v>
      </c>
      <c r="D923" s="19">
        <f>VLOOKUP(A923,Sheet1!A:K,11,0)</f>
        <v>22</v>
      </c>
      <c r="E923" s="19" t="str">
        <f>VLOOKUP(A923,Sheet1!A:M,13,0)</f>
        <v>Netherlands</v>
      </c>
      <c r="F923" s="19" t="str">
        <f>VLOOKUP(A923,Sheet1!A:N,14,0)</f>
        <v>Dutch</v>
      </c>
      <c r="G923" s="19" t="str">
        <f>VLOOKUP(A923,Sheet1!A:O,15,0)</f>
        <v>DevOps</v>
      </c>
      <c r="H923" s="19">
        <f>VLOOKUP(A923,Sheet1!A:Q,17,0)</f>
        <v>4</v>
      </c>
      <c r="I923" s="20">
        <f>VLOOKUP(A923,Sheet1!A:V,22,0)</f>
        <v>52.468856172140427</v>
      </c>
      <c r="J923" s="21">
        <f>VLOOKUP(A923,Sheet1!A:X,24,0)</f>
        <v>1</v>
      </c>
      <c r="K923" s="19" t="str">
        <f>VLOOKUP(A923,Sheet1!A:AB,28,0)</f>
        <v>Yes</v>
      </c>
      <c r="L923" s="27">
        <f>VLOOKUP(A923,Sheet1!A:AD,30,0)</f>
        <v>79.251564455569465</v>
      </c>
    </row>
    <row r="924" spans="1:12" x14ac:dyDescent="0.3">
      <c r="A924" s="14" t="s">
        <v>895</v>
      </c>
      <c r="B924" s="19" t="str">
        <f>VLOOKUP(A924,Sheet1!A:E,5,0)</f>
        <v>Ethan Adams</v>
      </c>
      <c r="C924" s="19" t="str">
        <f>VLOOKUP(A924,Sheet1!A:I,9,0)</f>
        <v>Male</v>
      </c>
      <c r="D924" s="19">
        <f>VLOOKUP(A924,Sheet1!A:K,11,0)</f>
        <v>22</v>
      </c>
      <c r="E924" s="19" t="str">
        <f>VLOOKUP(A924,Sheet1!A:M,13,0)</f>
        <v>Russia</v>
      </c>
      <c r="F924" s="19" t="str">
        <f>VLOOKUP(A924,Sheet1!A:N,14,0)</f>
        <v>Russian</v>
      </c>
      <c r="G924" s="19" t="str">
        <f>VLOOKUP(A924,Sheet1!A:O,15,0)</f>
        <v>Data Analysis</v>
      </c>
      <c r="H924" s="19">
        <f>VLOOKUP(A924,Sheet1!A:Q,17,0)</f>
        <v>1</v>
      </c>
      <c r="I924" s="20">
        <f>VLOOKUP(A924,Sheet1!A:V,22,0)</f>
        <v>20</v>
      </c>
      <c r="J924" s="21">
        <f>VLOOKUP(A924,Sheet1!A:X,24,0)</f>
        <v>1.7</v>
      </c>
      <c r="K924" s="19" t="str">
        <f>VLOOKUP(A924,Sheet1!A:AB,28,0)</f>
        <v>No</v>
      </c>
      <c r="L924" s="27">
        <f>VLOOKUP(A924,Sheet1!A:AD,30,0)</f>
        <v>78</v>
      </c>
    </row>
    <row r="925" spans="1:12" x14ac:dyDescent="0.3">
      <c r="A925" s="14" t="s">
        <v>1034</v>
      </c>
      <c r="B925" s="19" t="str">
        <f>VLOOKUP(A925,Sheet1!A:E,5,0)</f>
        <v>Jesse Moran</v>
      </c>
      <c r="C925" s="19" t="str">
        <f>VLOOKUP(A925,Sheet1!A:I,9,0)</f>
        <v>Male</v>
      </c>
      <c r="D925" s="19">
        <f>VLOOKUP(A925,Sheet1!A:K,11,0)</f>
        <v>22</v>
      </c>
      <c r="E925" s="19" t="str">
        <f>VLOOKUP(A925,Sheet1!A:M,13,0)</f>
        <v>Indonesia</v>
      </c>
      <c r="F925" s="19" t="str">
        <f>VLOOKUP(A925,Sheet1!A:N,14,0)</f>
        <v>Indonesian</v>
      </c>
      <c r="G925" s="19" t="str">
        <f>VLOOKUP(A925,Sheet1!A:O,15,0)</f>
        <v>Cybersecurity</v>
      </c>
      <c r="H925" s="19">
        <f>VLOOKUP(A925,Sheet1!A:Q,17,0)</f>
        <v>0</v>
      </c>
      <c r="I925" s="20">
        <f>VLOOKUP(A925,Sheet1!A:V,22,0)</f>
        <v>40</v>
      </c>
      <c r="J925" s="21">
        <f>VLOOKUP(A925,Sheet1!A:X,24,0)</f>
        <v>1.3</v>
      </c>
      <c r="K925" s="19" t="str">
        <f>VLOOKUP(A925,Sheet1!A:AB,28,0)</f>
        <v>Yes</v>
      </c>
      <c r="L925" s="27">
        <f>VLOOKUP(A925,Sheet1!A:AD,30,0)</f>
        <v>78</v>
      </c>
    </row>
    <row r="926" spans="1:12" x14ac:dyDescent="0.3">
      <c r="A926" s="14" t="s">
        <v>1189</v>
      </c>
      <c r="B926" s="19" t="str">
        <f>VLOOKUP(A926,Sheet1!A:E,5,0)</f>
        <v>John Christian</v>
      </c>
      <c r="C926" s="19" t="str">
        <f>VLOOKUP(A926,Sheet1!A:I,9,0)</f>
        <v>Male</v>
      </c>
      <c r="D926" s="19">
        <f>VLOOKUP(A926,Sheet1!A:K,11,0)</f>
        <v>22</v>
      </c>
      <c r="E926" s="19" t="str">
        <f>VLOOKUP(A926,Sheet1!A:M,13,0)</f>
        <v>Netherlands</v>
      </c>
      <c r="F926" s="19" t="str">
        <f>VLOOKUP(A926,Sheet1!A:N,14,0)</f>
        <v>Dutch</v>
      </c>
      <c r="G926" s="19" t="str">
        <f>VLOOKUP(A926,Sheet1!A:O,15,0)</f>
        <v>Cybersecurity</v>
      </c>
      <c r="H926" s="19">
        <f>VLOOKUP(A926,Sheet1!A:Q,17,0)</f>
        <v>1</v>
      </c>
      <c r="I926" s="20">
        <f>VLOOKUP(A926,Sheet1!A:V,22,0)</f>
        <v>40</v>
      </c>
      <c r="J926" s="21">
        <f>VLOOKUP(A926,Sheet1!A:X,24,0)</f>
        <v>0</v>
      </c>
      <c r="K926" s="19" t="str">
        <f>VLOOKUP(A926,Sheet1!A:AB,28,0)</f>
        <v>No</v>
      </c>
      <c r="L926" s="27">
        <f>VLOOKUP(A926,Sheet1!A:AD,30,0)</f>
        <v>63</v>
      </c>
    </row>
    <row r="927" spans="1:12" x14ac:dyDescent="0.3">
      <c r="A927" s="14" t="s">
        <v>1375</v>
      </c>
      <c r="B927" s="19" t="str">
        <f>VLOOKUP(A927,Sheet1!A:E,5,0)</f>
        <v>John Davis</v>
      </c>
      <c r="C927" s="19" t="str">
        <f>VLOOKUP(A927,Sheet1!A:I,9,0)</f>
        <v>Male</v>
      </c>
      <c r="D927" s="19">
        <f>VLOOKUP(A927,Sheet1!A:K,11,0)</f>
        <v>22</v>
      </c>
      <c r="E927" s="19" t="str">
        <f>VLOOKUP(A927,Sheet1!A:M,13,0)</f>
        <v>Mexico</v>
      </c>
      <c r="F927" s="19" t="str">
        <f>VLOOKUP(A927,Sheet1!A:N,14,0)</f>
        <v>Spanish</v>
      </c>
      <c r="G927" s="19" t="str">
        <f>VLOOKUP(A927,Sheet1!A:O,15,0)</f>
        <v>Machine Learning</v>
      </c>
      <c r="H927" s="19">
        <f>VLOOKUP(A927,Sheet1!A:Q,17,0)</f>
        <v>1</v>
      </c>
      <c r="I927" s="20">
        <f>VLOOKUP(A927,Sheet1!A:V,22,0)</f>
        <v>20</v>
      </c>
      <c r="J927" s="21">
        <f>VLOOKUP(A927,Sheet1!A:X,24,0)</f>
        <v>2.6261146496815306</v>
      </c>
      <c r="K927" s="19" t="str">
        <f>VLOOKUP(A927,Sheet1!A:AB,28,0)</f>
        <v>Yes</v>
      </c>
      <c r="L927" s="27">
        <f>VLOOKUP(A927,Sheet1!A:AD,30,0)</f>
        <v>75</v>
      </c>
    </row>
    <row r="928" spans="1:12" x14ac:dyDescent="0.3">
      <c r="A928" s="14" t="s">
        <v>1784</v>
      </c>
      <c r="B928" s="19" t="str">
        <f>VLOOKUP(A928,Sheet1!A:E,5,0)</f>
        <v>John Nguyen</v>
      </c>
      <c r="C928" s="19" t="str">
        <f>VLOOKUP(A928,Sheet1!A:I,9,0)</f>
        <v>Male</v>
      </c>
      <c r="D928" s="19">
        <f>VLOOKUP(A928,Sheet1!A:K,11,0)</f>
        <v>22</v>
      </c>
      <c r="E928" s="19" t="str">
        <f>VLOOKUP(A928,Sheet1!A:M,13,0)</f>
        <v>Russia</v>
      </c>
      <c r="F928" s="19" t="str">
        <f>VLOOKUP(A928,Sheet1!A:N,14,0)</f>
        <v>Russian</v>
      </c>
      <c r="G928" s="19" t="str">
        <f>VLOOKUP(A928,Sheet1!A:O,15,0)</f>
        <v>AI</v>
      </c>
      <c r="H928" s="19">
        <f>VLOOKUP(A928,Sheet1!A:Q,17,0)</f>
        <v>3</v>
      </c>
      <c r="I928" s="20">
        <f>VLOOKUP(A928,Sheet1!A:V,22,0)</f>
        <v>75</v>
      </c>
      <c r="J928" s="21">
        <f>VLOOKUP(A928,Sheet1!A:X,24,0)</f>
        <v>3.4</v>
      </c>
      <c r="K928" s="19" t="str">
        <f>VLOOKUP(A928,Sheet1!A:AB,28,0)</f>
        <v>Yes</v>
      </c>
      <c r="L928" s="27">
        <f>VLOOKUP(A928,Sheet1!A:AD,30,0)</f>
        <v>65</v>
      </c>
    </row>
    <row r="929" spans="1:12" x14ac:dyDescent="0.3">
      <c r="A929" s="14" t="s">
        <v>1181</v>
      </c>
      <c r="B929" s="19" t="str">
        <f>VLOOKUP(A929,Sheet1!A:E,5,0)</f>
        <v>Judith Poole</v>
      </c>
      <c r="C929" s="19" t="str">
        <f>VLOOKUP(A929,Sheet1!A:I,9,0)</f>
        <v>Female</v>
      </c>
      <c r="D929" s="19">
        <f>VLOOKUP(A929,Sheet1!A:K,11,0)</f>
        <v>22</v>
      </c>
      <c r="E929" s="19" t="str">
        <f>VLOOKUP(A929,Sheet1!A:M,13,0)</f>
        <v>Australia</v>
      </c>
      <c r="F929" s="19" t="str">
        <f>VLOOKUP(A929,Sheet1!A:N,14,0)</f>
        <v>English</v>
      </c>
      <c r="G929" s="19" t="str">
        <f>VLOOKUP(A929,Sheet1!A:O,15,0)</f>
        <v>Data Analysis</v>
      </c>
      <c r="H929" s="19">
        <f>VLOOKUP(A929,Sheet1!A:Q,17,0)</f>
        <v>2</v>
      </c>
      <c r="I929" s="20">
        <f>VLOOKUP(A929,Sheet1!A:V,22,0)</f>
        <v>40</v>
      </c>
      <c r="J929" s="21">
        <f>VLOOKUP(A929,Sheet1!A:X,24,0)</f>
        <v>1.1000000000000001</v>
      </c>
      <c r="K929" s="19" t="str">
        <f>VLOOKUP(A929,Sheet1!A:AB,28,0)</f>
        <v>No</v>
      </c>
      <c r="L929" s="27">
        <f>VLOOKUP(A929,Sheet1!A:AD,30,0)</f>
        <v>76</v>
      </c>
    </row>
    <row r="930" spans="1:12" x14ac:dyDescent="0.3">
      <c r="A930" s="14" t="s">
        <v>629</v>
      </c>
      <c r="B930" s="19" t="str">
        <f>VLOOKUP(A930,Sheet1!A:E,5,0)</f>
        <v>Julie White</v>
      </c>
      <c r="C930" s="19" t="str">
        <f>VLOOKUP(A930,Sheet1!A:I,9,0)</f>
        <v>Female</v>
      </c>
      <c r="D930" s="19">
        <f>VLOOKUP(A930,Sheet1!A:K,11,0)</f>
        <v>22</v>
      </c>
      <c r="E930" s="19" t="str">
        <f>VLOOKUP(A930,Sheet1!A:M,13,0)</f>
        <v>Argentina</v>
      </c>
      <c r="F930" s="19" t="str">
        <f>VLOOKUP(A930,Sheet1!A:N,14,0)</f>
        <v>Spanish</v>
      </c>
      <c r="G930" s="19" t="str">
        <f>VLOOKUP(A930,Sheet1!A:O,15,0)</f>
        <v>AI</v>
      </c>
      <c r="H930" s="19">
        <f>VLOOKUP(A930,Sheet1!A:Q,17,0)</f>
        <v>2</v>
      </c>
      <c r="I930" s="20">
        <f>VLOOKUP(A930,Sheet1!A:V,22,0)</f>
        <v>30</v>
      </c>
      <c r="J930" s="21">
        <f>VLOOKUP(A930,Sheet1!A:X,24,0)</f>
        <v>2.1</v>
      </c>
      <c r="K930" s="19" t="str">
        <f>VLOOKUP(A930,Sheet1!A:AB,28,0)</f>
        <v>Unknown</v>
      </c>
      <c r="L930" s="27">
        <f>VLOOKUP(A930,Sheet1!A:AD,30,0)</f>
        <v>79.623973727421998</v>
      </c>
    </row>
    <row r="931" spans="1:12" x14ac:dyDescent="0.3">
      <c r="A931" s="14" t="s">
        <v>811</v>
      </c>
      <c r="B931" s="19" t="str">
        <f>VLOOKUP(A931,Sheet1!A:E,5,0)</f>
        <v>Laura Kelly</v>
      </c>
      <c r="C931" s="19" t="str">
        <f>VLOOKUP(A931,Sheet1!A:I,9,0)</f>
        <v>Female</v>
      </c>
      <c r="D931" s="19">
        <f>VLOOKUP(A931,Sheet1!A:K,11,0)</f>
        <v>22</v>
      </c>
      <c r="E931" s="19" t="str">
        <f>VLOOKUP(A931,Sheet1!A:M,13,0)</f>
        <v>China</v>
      </c>
      <c r="F931" s="19" t="str">
        <f>VLOOKUP(A931,Sheet1!A:N,14,0)</f>
        <v>Mandarin</v>
      </c>
      <c r="G931" s="19" t="str">
        <f>VLOOKUP(A931,Sheet1!A:O,15,0)</f>
        <v>Data Analysis</v>
      </c>
      <c r="H931" s="19">
        <f>VLOOKUP(A931,Sheet1!A:Q,17,0)</f>
        <v>1</v>
      </c>
      <c r="I931" s="20">
        <f>VLOOKUP(A931,Sheet1!A:V,22,0)</f>
        <v>50</v>
      </c>
      <c r="J931" s="21">
        <f>VLOOKUP(A931,Sheet1!A:X,24,0)</f>
        <v>0</v>
      </c>
      <c r="K931" s="19" t="str">
        <f>VLOOKUP(A931,Sheet1!A:AB,28,0)</f>
        <v>Unknown</v>
      </c>
      <c r="L931" s="27">
        <f>VLOOKUP(A931,Sheet1!A:AD,30,0)</f>
        <v>98</v>
      </c>
    </row>
    <row r="932" spans="1:12" x14ac:dyDescent="0.3">
      <c r="A932" s="14" t="s">
        <v>561</v>
      </c>
      <c r="B932" s="19" t="str">
        <f>VLOOKUP(A932,Sheet1!A:E,5,0)</f>
        <v>Matthew Martin</v>
      </c>
      <c r="C932" s="19" t="str">
        <f>VLOOKUP(A932,Sheet1!A:I,9,0)</f>
        <v>Male</v>
      </c>
      <c r="D932" s="19">
        <f>VLOOKUP(A932,Sheet1!A:K,11,0)</f>
        <v>22</v>
      </c>
      <c r="E932" s="19" t="str">
        <f>VLOOKUP(A932,Sheet1!A:M,13,0)</f>
        <v>Mexico</v>
      </c>
      <c r="F932" s="19" t="str">
        <f>VLOOKUP(A932,Sheet1!A:N,14,0)</f>
        <v>Spanish</v>
      </c>
      <c r="G932" s="19" t="str">
        <f>VLOOKUP(A932,Sheet1!A:O,15,0)</f>
        <v>UI/UX Design</v>
      </c>
      <c r="H932" s="19">
        <f>VLOOKUP(A932,Sheet1!A:Q,17,0)</f>
        <v>2</v>
      </c>
      <c r="I932" s="20">
        <f>VLOOKUP(A932,Sheet1!A:V,22,0)</f>
        <v>52.744252873563219</v>
      </c>
      <c r="J932" s="21">
        <f>VLOOKUP(A932,Sheet1!A:X,24,0)</f>
        <v>0</v>
      </c>
      <c r="K932" s="19" t="str">
        <f>VLOOKUP(A932,Sheet1!A:AB,28,0)</f>
        <v>Yes</v>
      </c>
      <c r="L932" s="27">
        <f>VLOOKUP(A932,Sheet1!A:AD,30,0)</f>
        <v>79.631496062992127</v>
      </c>
    </row>
    <row r="933" spans="1:12" x14ac:dyDescent="0.3">
      <c r="A933" s="14" t="s">
        <v>523</v>
      </c>
      <c r="B933" s="19" t="str">
        <f>VLOOKUP(A933,Sheet1!A:E,5,0)</f>
        <v>Monica Roberts</v>
      </c>
      <c r="C933" s="19" t="str">
        <f>VLOOKUP(A933,Sheet1!A:I,9,0)</f>
        <v>Female</v>
      </c>
      <c r="D933" s="19">
        <f>VLOOKUP(A933,Sheet1!A:K,11,0)</f>
        <v>22</v>
      </c>
      <c r="E933" s="19" t="str">
        <f>VLOOKUP(A933,Sheet1!A:M,13,0)</f>
        <v>Indonesia</v>
      </c>
      <c r="F933" s="19" t="str">
        <f>VLOOKUP(A933,Sheet1!A:N,14,0)</f>
        <v>Indonesian</v>
      </c>
      <c r="G933" s="19" t="str">
        <f>VLOOKUP(A933,Sheet1!A:O,15,0)</f>
        <v>Machine Learning</v>
      </c>
      <c r="H933" s="19">
        <f>VLOOKUP(A933,Sheet1!A:Q,17,0)</f>
        <v>0</v>
      </c>
      <c r="I933" s="20">
        <f>VLOOKUP(A933,Sheet1!A:V,22,0)</f>
        <v>100</v>
      </c>
      <c r="J933" s="21">
        <f>VLOOKUP(A933,Sheet1!A:X,24,0)</f>
        <v>2.7</v>
      </c>
      <c r="K933" s="19" t="str">
        <f>VLOOKUP(A933,Sheet1!A:AB,28,0)</f>
        <v>Yes</v>
      </c>
      <c r="L933" s="27">
        <f>VLOOKUP(A933,Sheet1!A:AD,30,0)</f>
        <v>64</v>
      </c>
    </row>
    <row r="934" spans="1:12" x14ac:dyDescent="0.3">
      <c r="A934" s="14" t="s">
        <v>1455</v>
      </c>
      <c r="B934" s="19" t="str">
        <f>VLOOKUP(A934,Sheet1!A:E,5,0)</f>
        <v>Nancy Moore</v>
      </c>
      <c r="C934" s="19" t="str">
        <f>VLOOKUP(A934,Sheet1!A:I,9,0)</f>
        <v>Female</v>
      </c>
      <c r="D934" s="19">
        <f>VLOOKUP(A934,Sheet1!A:K,11,0)</f>
        <v>22</v>
      </c>
      <c r="E934" s="19" t="str">
        <f>VLOOKUP(A934,Sheet1!A:M,13,0)</f>
        <v>China</v>
      </c>
      <c r="F934" s="19" t="str">
        <f>VLOOKUP(A934,Sheet1!A:N,14,0)</f>
        <v>Mandarin</v>
      </c>
      <c r="G934" s="19" t="str">
        <f>VLOOKUP(A934,Sheet1!A:O,15,0)</f>
        <v>Blockchain Development</v>
      </c>
      <c r="H934" s="19">
        <f>VLOOKUP(A934,Sheet1!A:Q,17,0)</f>
        <v>1</v>
      </c>
      <c r="I934" s="20">
        <f>VLOOKUP(A934,Sheet1!A:V,22,0)</f>
        <v>100</v>
      </c>
      <c r="J934" s="21">
        <f>VLOOKUP(A934,Sheet1!A:X,24,0)</f>
        <v>4.8</v>
      </c>
      <c r="K934" s="19" t="str">
        <f>VLOOKUP(A934,Sheet1!A:AB,28,0)</f>
        <v>Yes</v>
      </c>
      <c r="L934" s="27">
        <f>VLOOKUP(A934,Sheet1!A:AD,30,0)</f>
        <v>75</v>
      </c>
    </row>
    <row r="935" spans="1:12" x14ac:dyDescent="0.3">
      <c r="A935" s="14" t="s">
        <v>1347</v>
      </c>
      <c r="B935" s="19" t="str">
        <f>VLOOKUP(A935,Sheet1!A:E,5,0)</f>
        <v>Nicole Austin</v>
      </c>
      <c r="C935" s="19" t="str">
        <f>VLOOKUP(A935,Sheet1!A:I,9,0)</f>
        <v>Female</v>
      </c>
      <c r="D935" s="19">
        <f>VLOOKUP(A935,Sheet1!A:K,11,0)</f>
        <v>22</v>
      </c>
      <c r="E935" s="19" t="str">
        <f>VLOOKUP(A935,Sheet1!A:M,13,0)</f>
        <v>France</v>
      </c>
      <c r="F935" s="19" t="str">
        <f>VLOOKUP(A935,Sheet1!A:N,14,0)</f>
        <v>French</v>
      </c>
      <c r="G935" s="19" t="str">
        <f>VLOOKUP(A935,Sheet1!A:O,15,0)</f>
        <v>Blockchain Development</v>
      </c>
      <c r="H935" s="19">
        <f>VLOOKUP(A935,Sheet1!A:Q,17,0)</f>
        <v>0</v>
      </c>
      <c r="I935" s="20">
        <f>VLOOKUP(A935,Sheet1!A:V,22,0)</f>
        <v>30</v>
      </c>
      <c r="J935" s="21">
        <f>VLOOKUP(A935,Sheet1!A:X,24,0)</f>
        <v>4.9000000000000004</v>
      </c>
      <c r="K935" s="19" t="str">
        <f>VLOOKUP(A935,Sheet1!A:AB,28,0)</f>
        <v>No</v>
      </c>
      <c r="L935" s="27">
        <f>VLOOKUP(A935,Sheet1!A:AD,30,0)</f>
        <v>73</v>
      </c>
    </row>
    <row r="936" spans="1:12" x14ac:dyDescent="0.3">
      <c r="A936" s="14" t="s">
        <v>1946</v>
      </c>
      <c r="B936" s="19" t="str">
        <f>VLOOKUP(A936,Sheet1!A:E,5,0)</f>
        <v>Nicole Bennett</v>
      </c>
      <c r="C936" s="19" t="str">
        <f>VLOOKUP(A936,Sheet1!A:I,9,0)</f>
        <v>Female</v>
      </c>
      <c r="D936" s="19">
        <f>VLOOKUP(A936,Sheet1!A:K,11,0)</f>
        <v>22</v>
      </c>
      <c r="E936" s="19" t="str">
        <f>VLOOKUP(A936,Sheet1!A:M,13,0)</f>
        <v>France</v>
      </c>
      <c r="F936" s="19" t="str">
        <f>VLOOKUP(A936,Sheet1!A:N,14,0)</f>
        <v>French</v>
      </c>
      <c r="G936" s="19" t="str">
        <f>VLOOKUP(A936,Sheet1!A:O,15,0)</f>
        <v>Machine Learning</v>
      </c>
      <c r="H936" s="19">
        <f>VLOOKUP(A936,Sheet1!A:Q,17,0)</f>
        <v>2</v>
      </c>
      <c r="I936" s="20">
        <f>VLOOKUP(A936,Sheet1!A:V,22,0)</f>
        <v>30</v>
      </c>
      <c r="J936" s="21">
        <f>VLOOKUP(A936,Sheet1!A:X,24,0)</f>
        <v>2</v>
      </c>
      <c r="K936" s="19" t="str">
        <f>VLOOKUP(A936,Sheet1!A:AB,28,0)</f>
        <v>No</v>
      </c>
      <c r="L936" s="27">
        <f>VLOOKUP(A936,Sheet1!A:AD,30,0)</f>
        <v>96</v>
      </c>
    </row>
    <row r="937" spans="1:12" x14ac:dyDescent="0.3">
      <c r="A937" s="14" t="s">
        <v>1089</v>
      </c>
      <c r="B937" s="19" t="str">
        <f>VLOOKUP(A937,Sheet1!A:E,5,0)</f>
        <v>Robin Moore</v>
      </c>
      <c r="C937" s="19" t="str">
        <f>VLOOKUP(A937,Sheet1!A:I,9,0)</f>
        <v>Female</v>
      </c>
      <c r="D937" s="19">
        <f>VLOOKUP(A937,Sheet1!A:K,11,0)</f>
        <v>22</v>
      </c>
      <c r="E937" s="19" t="str">
        <f>VLOOKUP(A937,Sheet1!A:M,13,0)</f>
        <v>Russia</v>
      </c>
      <c r="F937" s="19" t="str">
        <f>VLOOKUP(A937,Sheet1!A:N,14,0)</f>
        <v>Russian</v>
      </c>
      <c r="G937" s="19" t="str">
        <f>VLOOKUP(A937,Sheet1!A:O,15,0)</f>
        <v>UI/UX Design</v>
      </c>
      <c r="H937" s="19">
        <f>VLOOKUP(A937,Sheet1!A:Q,17,0)</f>
        <v>3</v>
      </c>
      <c r="I937" s="20">
        <f>VLOOKUP(A937,Sheet1!A:V,22,0)</f>
        <v>100</v>
      </c>
      <c r="J937" s="21">
        <f>VLOOKUP(A937,Sheet1!A:X,24,0)</f>
        <v>3.6</v>
      </c>
      <c r="K937" s="19" t="str">
        <f>VLOOKUP(A937,Sheet1!A:AB,28,0)</f>
        <v>Yes</v>
      </c>
      <c r="L937" s="27">
        <f>VLOOKUP(A937,Sheet1!A:AD,30,0)</f>
        <v>78</v>
      </c>
    </row>
    <row r="938" spans="1:12" x14ac:dyDescent="0.3">
      <c r="A938" s="14" t="s">
        <v>1225</v>
      </c>
      <c r="B938" s="19" t="str">
        <f>VLOOKUP(A938,Sheet1!A:E,5,0)</f>
        <v>Stephanie Burton</v>
      </c>
      <c r="C938" s="19" t="str">
        <f>VLOOKUP(A938,Sheet1!A:I,9,0)</f>
        <v>Female</v>
      </c>
      <c r="D938" s="19">
        <f>VLOOKUP(A938,Sheet1!A:K,11,0)</f>
        <v>22</v>
      </c>
      <c r="E938" s="19" t="str">
        <f>VLOOKUP(A938,Sheet1!A:M,13,0)</f>
        <v>Turkey</v>
      </c>
      <c r="F938" s="19" t="str">
        <f>VLOOKUP(A938,Sheet1!A:N,14,0)</f>
        <v>Turkish</v>
      </c>
      <c r="G938" s="19" t="str">
        <f>VLOOKUP(A938,Sheet1!A:O,15,0)</f>
        <v>UI/UX Design</v>
      </c>
      <c r="H938" s="19">
        <f>VLOOKUP(A938,Sheet1!A:Q,17,0)</f>
        <v>3</v>
      </c>
      <c r="I938" s="20">
        <f>VLOOKUP(A938,Sheet1!A:V,22,0)</f>
        <v>53.75</v>
      </c>
      <c r="J938" s="21">
        <f>VLOOKUP(A938,Sheet1!A:X,24,0)</f>
        <v>3</v>
      </c>
      <c r="K938" s="19" t="str">
        <f>VLOOKUP(A938,Sheet1!A:AB,28,0)</f>
        <v>Yes</v>
      </c>
      <c r="L938" s="27">
        <f>VLOOKUP(A938,Sheet1!A:AD,30,0)</f>
        <v>96</v>
      </c>
    </row>
    <row r="939" spans="1:12" x14ac:dyDescent="0.3">
      <c r="A939" s="14" t="s">
        <v>1622</v>
      </c>
      <c r="B939" s="19" t="str">
        <f>VLOOKUP(A939,Sheet1!A:E,5,0)</f>
        <v>Tammy Gomez</v>
      </c>
      <c r="C939" s="19" t="str">
        <f>VLOOKUP(A939,Sheet1!A:I,9,0)</f>
        <v>Female</v>
      </c>
      <c r="D939" s="19">
        <f>VLOOKUP(A939,Sheet1!A:K,11,0)</f>
        <v>22</v>
      </c>
      <c r="E939" s="19" t="str">
        <f>VLOOKUP(A939,Sheet1!A:M,13,0)</f>
        <v>Japan</v>
      </c>
      <c r="F939" s="19" t="str">
        <f>VLOOKUP(A939,Sheet1!A:N,14,0)</f>
        <v>Japanese</v>
      </c>
      <c r="G939" s="19" t="str">
        <f>VLOOKUP(A939,Sheet1!A:O,15,0)</f>
        <v>Data Analysis</v>
      </c>
      <c r="H939" s="19">
        <f>VLOOKUP(A939,Sheet1!A:Q,17,0)</f>
        <v>1</v>
      </c>
      <c r="I939" s="20">
        <f>VLOOKUP(A939,Sheet1!A:V,22,0)</f>
        <v>30</v>
      </c>
      <c r="J939" s="21">
        <f>VLOOKUP(A939,Sheet1!A:X,24,0)</f>
        <v>3.3</v>
      </c>
      <c r="K939" s="19" t="str">
        <f>VLOOKUP(A939,Sheet1!A:AB,28,0)</f>
        <v>Yes</v>
      </c>
      <c r="L939" s="27">
        <f>VLOOKUP(A939,Sheet1!A:AD,30,0)</f>
        <v>61</v>
      </c>
    </row>
    <row r="940" spans="1:12" x14ac:dyDescent="0.3">
      <c r="A940" s="14" t="s">
        <v>1157</v>
      </c>
      <c r="B940" s="19" t="str">
        <f>VLOOKUP(A940,Sheet1!A:E,5,0)</f>
        <v>Thomas Dixon</v>
      </c>
      <c r="C940" s="19" t="str">
        <f>VLOOKUP(A940,Sheet1!A:I,9,0)</f>
        <v>Male</v>
      </c>
      <c r="D940" s="19">
        <f>VLOOKUP(A940,Sheet1!A:K,11,0)</f>
        <v>22</v>
      </c>
      <c r="E940" s="19" t="str">
        <f>VLOOKUP(A940,Sheet1!A:M,13,0)</f>
        <v>India</v>
      </c>
      <c r="F940" s="19" t="str">
        <f>VLOOKUP(A940,Sheet1!A:N,14,0)</f>
        <v>Hindi</v>
      </c>
      <c r="G940" s="19" t="str">
        <f>VLOOKUP(A940,Sheet1!A:O,15,0)</f>
        <v>AI</v>
      </c>
      <c r="H940" s="19">
        <f>VLOOKUP(A940,Sheet1!A:Q,17,0)</f>
        <v>0</v>
      </c>
      <c r="I940" s="20">
        <f>VLOOKUP(A940,Sheet1!A:V,22,0)</f>
        <v>53.188235294117646</v>
      </c>
      <c r="J940" s="21">
        <f>VLOOKUP(A940,Sheet1!A:X,24,0)</f>
        <v>4.5999999999999996</v>
      </c>
      <c r="K940" s="19" t="str">
        <f>VLOOKUP(A940,Sheet1!A:AB,28,0)</f>
        <v>No</v>
      </c>
      <c r="L940" s="27">
        <f>VLOOKUP(A940,Sheet1!A:AD,30,0)</f>
        <v>79.782608695652172</v>
      </c>
    </row>
    <row r="941" spans="1:12" x14ac:dyDescent="0.3">
      <c r="A941" s="14" t="s">
        <v>1177</v>
      </c>
      <c r="B941" s="19" t="str">
        <f>VLOOKUP(A941,Sheet1!A:E,5,0)</f>
        <v>Thomas Kim</v>
      </c>
      <c r="C941" s="19" t="str">
        <f>VLOOKUP(A941,Sheet1!A:I,9,0)</f>
        <v>Male</v>
      </c>
      <c r="D941" s="19">
        <f>VLOOKUP(A941,Sheet1!A:K,11,0)</f>
        <v>22</v>
      </c>
      <c r="E941" s="19" t="str">
        <f>VLOOKUP(A941,Sheet1!A:M,13,0)</f>
        <v>Spain</v>
      </c>
      <c r="F941" s="19" t="str">
        <f>VLOOKUP(A941,Sheet1!A:N,14,0)</f>
        <v>Spanish</v>
      </c>
      <c r="G941" s="19" t="str">
        <f>VLOOKUP(A941,Sheet1!A:O,15,0)</f>
        <v>Blockchain Development</v>
      </c>
      <c r="H941" s="19">
        <f>VLOOKUP(A941,Sheet1!A:Q,17,0)</f>
        <v>0</v>
      </c>
      <c r="I941" s="20">
        <f>VLOOKUP(A941,Sheet1!A:V,22,0)</f>
        <v>30</v>
      </c>
      <c r="J941" s="21">
        <f>VLOOKUP(A941,Sheet1!A:X,24,0)</f>
        <v>0</v>
      </c>
      <c r="K941" s="19" t="str">
        <f>VLOOKUP(A941,Sheet1!A:AB,28,0)</f>
        <v>No</v>
      </c>
      <c r="L941" s="27">
        <f>VLOOKUP(A941,Sheet1!A:AD,30,0)</f>
        <v>87</v>
      </c>
    </row>
    <row r="942" spans="1:12" x14ac:dyDescent="0.3">
      <c r="A942" s="14" t="s">
        <v>1634</v>
      </c>
      <c r="B942" s="19" t="str">
        <f>VLOOKUP(A942,Sheet1!A:E,5,0)</f>
        <v>Tiffany Moses</v>
      </c>
      <c r="C942" s="19" t="str">
        <f>VLOOKUP(A942,Sheet1!A:I,9,0)</f>
        <v>Female</v>
      </c>
      <c r="D942" s="19">
        <f>VLOOKUP(A942,Sheet1!A:K,11,0)</f>
        <v>22</v>
      </c>
      <c r="E942" s="19" t="str">
        <f>VLOOKUP(A942,Sheet1!A:M,13,0)</f>
        <v>United States</v>
      </c>
      <c r="F942" s="19" t="str">
        <f>VLOOKUP(A942,Sheet1!A:N,14,0)</f>
        <v>English</v>
      </c>
      <c r="G942" s="19" t="str">
        <f>VLOOKUP(A942,Sheet1!A:O,15,0)</f>
        <v>Cybersecurity</v>
      </c>
      <c r="H942" s="19">
        <f>VLOOKUP(A942,Sheet1!A:Q,17,0)</f>
        <v>1</v>
      </c>
      <c r="I942" s="20">
        <f>VLOOKUP(A942,Sheet1!A:V,22,0)</f>
        <v>20</v>
      </c>
      <c r="J942" s="21">
        <f>VLOOKUP(A942,Sheet1!A:X,24,0)</f>
        <v>4.8</v>
      </c>
      <c r="K942" s="19" t="str">
        <f>VLOOKUP(A942,Sheet1!A:AB,28,0)</f>
        <v>No</v>
      </c>
      <c r="L942" s="27">
        <f>VLOOKUP(A942,Sheet1!A:AD,30,0)</f>
        <v>87</v>
      </c>
    </row>
    <row r="943" spans="1:12" x14ac:dyDescent="0.3">
      <c r="A943" s="14" t="s">
        <v>1736</v>
      </c>
      <c r="B943" s="19" t="str">
        <f>VLOOKUP(A943,Sheet1!A:E,5,0)</f>
        <v>Alexander Hogan</v>
      </c>
      <c r="C943" s="19" t="str">
        <f>VLOOKUP(A943,Sheet1!A:I,9,0)</f>
        <v>Male</v>
      </c>
      <c r="D943" s="19">
        <f>VLOOKUP(A943,Sheet1!A:K,11,0)</f>
        <v>21</v>
      </c>
      <c r="E943" s="19" t="str">
        <f>VLOOKUP(A943,Sheet1!A:M,13,0)</f>
        <v>Egypt</v>
      </c>
      <c r="F943" s="19" t="str">
        <f>VLOOKUP(A943,Sheet1!A:N,14,0)</f>
        <v>Arabic</v>
      </c>
      <c r="G943" s="19" t="str">
        <f>VLOOKUP(A943,Sheet1!A:O,15,0)</f>
        <v>Graphic Design</v>
      </c>
      <c r="H943" s="19">
        <f>VLOOKUP(A943,Sheet1!A:Q,17,0)</f>
        <v>2</v>
      </c>
      <c r="I943" s="20">
        <f>VLOOKUP(A943,Sheet1!A:V,22,0)</f>
        <v>100</v>
      </c>
      <c r="J943" s="21">
        <f>VLOOKUP(A943,Sheet1!A:X,24,0)</f>
        <v>3.6</v>
      </c>
      <c r="K943" s="19" t="str">
        <f>VLOOKUP(A943,Sheet1!A:AB,28,0)</f>
        <v>No</v>
      </c>
      <c r="L943" s="27">
        <f>VLOOKUP(A943,Sheet1!A:AD,30,0)</f>
        <v>85</v>
      </c>
    </row>
    <row r="944" spans="1:12" x14ac:dyDescent="0.3">
      <c r="A944" s="14" t="s">
        <v>1950</v>
      </c>
      <c r="B944" s="19" t="str">
        <f>VLOOKUP(A944,Sheet1!A:E,5,0)</f>
        <v>Alexander Woodward</v>
      </c>
      <c r="C944" s="19" t="str">
        <f>VLOOKUP(A944,Sheet1!A:I,9,0)</f>
        <v>Male</v>
      </c>
      <c r="D944" s="19">
        <f>VLOOKUP(A944,Sheet1!A:K,11,0)</f>
        <v>21</v>
      </c>
      <c r="E944" s="19" t="str">
        <f>VLOOKUP(A944,Sheet1!A:M,13,0)</f>
        <v>Canada</v>
      </c>
      <c r="F944" s="19" t="str">
        <f>VLOOKUP(A944,Sheet1!A:N,14,0)</f>
        <v>English</v>
      </c>
      <c r="G944" s="19" t="str">
        <f>VLOOKUP(A944,Sheet1!A:O,15,0)</f>
        <v>Graphic Design</v>
      </c>
      <c r="H944" s="19">
        <f>VLOOKUP(A944,Sheet1!A:Q,17,0)</f>
        <v>0</v>
      </c>
      <c r="I944" s="20">
        <f>VLOOKUP(A944,Sheet1!A:V,22,0)</f>
        <v>100</v>
      </c>
      <c r="J944" s="21">
        <f>VLOOKUP(A944,Sheet1!A:X,24,0)</f>
        <v>3</v>
      </c>
      <c r="K944" s="19" t="str">
        <f>VLOOKUP(A944,Sheet1!A:AB,28,0)</f>
        <v>No</v>
      </c>
      <c r="L944" s="27">
        <f>VLOOKUP(A944,Sheet1!A:AD,30,0)</f>
        <v>64</v>
      </c>
    </row>
    <row r="945" spans="1:12" x14ac:dyDescent="0.3">
      <c r="A945" s="14" t="s">
        <v>1897</v>
      </c>
      <c r="B945" s="19" t="str">
        <f>VLOOKUP(A945,Sheet1!A:E,5,0)</f>
        <v>Andrew Little</v>
      </c>
      <c r="C945" s="19" t="str">
        <f>VLOOKUP(A945,Sheet1!A:I,9,0)</f>
        <v>Male</v>
      </c>
      <c r="D945" s="19">
        <f>VLOOKUP(A945,Sheet1!A:K,11,0)</f>
        <v>21</v>
      </c>
      <c r="E945" s="19" t="str">
        <f>VLOOKUP(A945,Sheet1!A:M,13,0)</f>
        <v>India</v>
      </c>
      <c r="F945" s="19" t="str">
        <f>VLOOKUP(A945,Sheet1!A:N,14,0)</f>
        <v>Hindi</v>
      </c>
      <c r="G945" s="19" t="str">
        <f>VLOOKUP(A945,Sheet1!A:O,15,0)</f>
        <v>Data Analysis</v>
      </c>
      <c r="H945" s="19">
        <f>VLOOKUP(A945,Sheet1!A:Q,17,0)</f>
        <v>2</v>
      </c>
      <c r="I945" s="20">
        <f>VLOOKUP(A945,Sheet1!A:V,22,0)</f>
        <v>50</v>
      </c>
      <c r="J945" s="21">
        <f>VLOOKUP(A945,Sheet1!A:X,24,0)</f>
        <v>2.6</v>
      </c>
      <c r="K945" s="19" t="str">
        <f>VLOOKUP(A945,Sheet1!A:AB,28,0)</f>
        <v>No</v>
      </c>
      <c r="L945" s="27">
        <f>VLOOKUP(A945,Sheet1!A:AD,30,0)</f>
        <v>86</v>
      </c>
    </row>
    <row r="946" spans="1:12" x14ac:dyDescent="0.3">
      <c r="A946" s="14" t="s">
        <v>265</v>
      </c>
      <c r="B946" s="19" t="str">
        <f>VLOOKUP(A946,Sheet1!A:E,5,0)</f>
        <v>Brenda Green</v>
      </c>
      <c r="C946" s="19" t="str">
        <f>VLOOKUP(A946,Sheet1!A:I,9,0)</f>
        <v>Female</v>
      </c>
      <c r="D946" s="19">
        <f>VLOOKUP(A946,Sheet1!A:K,11,0)</f>
        <v>21</v>
      </c>
      <c r="E946" s="19" t="str">
        <f>VLOOKUP(A946,Sheet1!A:M,13,0)</f>
        <v>China</v>
      </c>
      <c r="F946" s="19" t="str">
        <f>VLOOKUP(A946,Sheet1!A:N,14,0)</f>
        <v>Mandarin</v>
      </c>
      <c r="G946" s="19" t="str">
        <f>VLOOKUP(A946,Sheet1!A:O,15,0)</f>
        <v>DevOps</v>
      </c>
      <c r="H946" s="19">
        <f>VLOOKUP(A946,Sheet1!A:Q,17,0)</f>
        <v>2</v>
      </c>
      <c r="I946" s="20">
        <f>VLOOKUP(A946,Sheet1!A:V,22,0)</f>
        <v>100</v>
      </c>
      <c r="J946" s="21">
        <f>VLOOKUP(A946,Sheet1!A:X,24,0)</f>
        <v>2.6</v>
      </c>
      <c r="K946" s="19" t="str">
        <f>VLOOKUP(A946,Sheet1!A:AB,28,0)</f>
        <v>Yes</v>
      </c>
      <c r="L946" s="27">
        <f>VLOOKUP(A946,Sheet1!A:AD,30,0)</f>
        <v>85</v>
      </c>
    </row>
    <row r="947" spans="1:12" x14ac:dyDescent="0.3">
      <c r="A947" s="14" t="s">
        <v>625</v>
      </c>
      <c r="B947" s="19" t="str">
        <f>VLOOKUP(A947,Sheet1!A:E,5,0)</f>
        <v>Brian Bautista</v>
      </c>
      <c r="C947" s="19" t="str">
        <f>VLOOKUP(A947,Sheet1!A:I,9,0)</f>
        <v>Male</v>
      </c>
      <c r="D947" s="19">
        <f>VLOOKUP(A947,Sheet1!A:K,11,0)</f>
        <v>21</v>
      </c>
      <c r="E947" s="19" t="str">
        <f>VLOOKUP(A947,Sheet1!A:M,13,0)</f>
        <v>India</v>
      </c>
      <c r="F947" s="19" t="str">
        <f>VLOOKUP(A947,Sheet1!A:N,14,0)</f>
        <v>Hindi</v>
      </c>
      <c r="G947" s="19" t="str">
        <f>VLOOKUP(A947,Sheet1!A:O,15,0)</f>
        <v>Blockchain Development</v>
      </c>
      <c r="H947" s="19">
        <f>VLOOKUP(A947,Sheet1!A:Q,17,0)</f>
        <v>1</v>
      </c>
      <c r="I947" s="20">
        <f>VLOOKUP(A947,Sheet1!A:V,22,0)</f>
        <v>100</v>
      </c>
      <c r="J947" s="21">
        <f>VLOOKUP(A947,Sheet1!A:X,24,0)</f>
        <v>2.1</v>
      </c>
      <c r="K947" s="19" t="str">
        <f>VLOOKUP(A947,Sheet1!A:AB,28,0)</f>
        <v>Yes</v>
      </c>
      <c r="L947" s="27">
        <f>VLOOKUP(A947,Sheet1!A:AD,30,0)</f>
        <v>92</v>
      </c>
    </row>
    <row r="948" spans="1:12" x14ac:dyDescent="0.3">
      <c r="A948" s="14" t="s">
        <v>2010</v>
      </c>
      <c r="B948" s="19" t="str">
        <f>VLOOKUP(A948,Sheet1!A:E,5,0)</f>
        <v>Catherine Johnston</v>
      </c>
      <c r="C948" s="19" t="str">
        <f>VLOOKUP(A948,Sheet1!A:I,9,0)</f>
        <v>Female</v>
      </c>
      <c r="D948" s="19">
        <f>VLOOKUP(A948,Sheet1!A:K,11,0)</f>
        <v>21</v>
      </c>
      <c r="E948" s="19" t="str">
        <f>VLOOKUP(A948,Sheet1!A:M,13,0)</f>
        <v>Germany</v>
      </c>
      <c r="F948" s="19" t="str">
        <f>VLOOKUP(A948,Sheet1!A:N,14,0)</f>
        <v>German</v>
      </c>
      <c r="G948" s="19" t="str">
        <f>VLOOKUP(A948,Sheet1!A:O,15,0)</f>
        <v>UI/UX Design</v>
      </c>
      <c r="H948" s="19">
        <f>VLOOKUP(A948,Sheet1!A:Q,17,0)</f>
        <v>1</v>
      </c>
      <c r="I948" s="20">
        <f>VLOOKUP(A948,Sheet1!A:V,22,0)</f>
        <v>100</v>
      </c>
      <c r="J948" s="21">
        <f>VLOOKUP(A948,Sheet1!A:X,24,0)</f>
        <v>0</v>
      </c>
      <c r="K948" s="19" t="str">
        <f>VLOOKUP(A948,Sheet1!A:AB,28,0)</f>
        <v>Yes</v>
      </c>
      <c r="L948" s="27">
        <f>VLOOKUP(A948,Sheet1!A:AD,30,0)</f>
        <v>95</v>
      </c>
    </row>
    <row r="949" spans="1:12" x14ac:dyDescent="0.3">
      <c r="A949" s="14" t="s">
        <v>907</v>
      </c>
      <c r="B949" s="19" t="str">
        <f>VLOOKUP(A949,Sheet1!A:E,5,0)</f>
        <v>Dustin Douglas</v>
      </c>
      <c r="C949" s="19" t="str">
        <f>VLOOKUP(A949,Sheet1!A:I,9,0)</f>
        <v>Male</v>
      </c>
      <c r="D949" s="19">
        <f>VLOOKUP(A949,Sheet1!A:K,11,0)</f>
        <v>21</v>
      </c>
      <c r="E949" s="19" t="str">
        <f>VLOOKUP(A949,Sheet1!A:M,13,0)</f>
        <v>France</v>
      </c>
      <c r="F949" s="19" t="str">
        <f>VLOOKUP(A949,Sheet1!A:N,14,0)</f>
        <v>French</v>
      </c>
      <c r="G949" s="19" t="str">
        <f>VLOOKUP(A949,Sheet1!A:O,15,0)</f>
        <v>AI</v>
      </c>
      <c r="H949" s="19">
        <f>VLOOKUP(A949,Sheet1!A:Q,17,0)</f>
        <v>2</v>
      </c>
      <c r="I949" s="20">
        <f>VLOOKUP(A949,Sheet1!A:V,22,0)</f>
        <v>30</v>
      </c>
      <c r="J949" s="21">
        <f>VLOOKUP(A949,Sheet1!A:X,24,0)</f>
        <v>3.8</v>
      </c>
      <c r="K949" s="19" t="str">
        <f>VLOOKUP(A949,Sheet1!A:AB,28,0)</f>
        <v>Yes</v>
      </c>
      <c r="L949" s="27">
        <f>VLOOKUP(A949,Sheet1!A:AD,30,0)</f>
        <v>98</v>
      </c>
    </row>
    <row r="950" spans="1:12" x14ac:dyDescent="0.3">
      <c r="A950" s="14" t="s">
        <v>877</v>
      </c>
      <c r="B950" s="19" t="str">
        <f>VLOOKUP(A950,Sheet1!A:E,5,0)</f>
        <v>Isaac Gray</v>
      </c>
      <c r="C950" s="19" t="str">
        <f>VLOOKUP(A950,Sheet1!A:I,9,0)</f>
        <v>Male</v>
      </c>
      <c r="D950" s="19">
        <f>VLOOKUP(A950,Sheet1!A:K,11,0)</f>
        <v>21</v>
      </c>
      <c r="E950" s="19" t="str">
        <f>VLOOKUP(A950,Sheet1!A:M,13,0)</f>
        <v>South Africa</v>
      </c>
      <c r="F950" s="19" t="str">
        <f>VLOOKUP(A950,Sheet1!A:N,14,0)</f>
        <v>Afrikaans</v>
      </c>
      <c r="G950" s="19" t="str">
        <f>VLOOKUP(A950,Sheet1!A:O,15,0)</f>
        <v>AI</v>
      </c>
      <c r="H950" s="19">
        <f>VLOOKUP(A950,Sheet1!A:Q,17,0)</f>
        <v>1</v>
      </c>
      <c r="I950" s="20">
        <f>VLOOKUP(A950,Sheet1!A:V,22,0)</f>
        <v>20</v>
      </c>
      <c r="J950" s="21">
        <f>VLOOKUP(A950,Sheet1!A:X,24,0)</f>
        <v>2.4</v>
      </c>
      <c r="K950" s="19" t="str">
        <f>VLOOKUP(A950,Sheet1!A:AB,28,0)</f>
        <v>Yes</v>
      </c>
      <c r="L950" s="27">
        <f>VLOOKUP(A950,Sheet1!A:AD,30,0)</f>
        <v>66</v>
      </c>
    </row>
    <row r="951" spans="1:12" x14ac:dyDescent="0.3">
      <c r="A951" s="14" t="s">
        <v>1097</v>
      </c>
      <c r="B951" s="19" t="str">
        <f>VLOOKUP(A951,Sheet1!A:E,5,0)</f>
        <v>Isabel Brown</v>
      </c>
      <c r="C951" s="19" t="str">
        <f>VLOOKUP(A951,Sheet1!A:I,9,0)</f>
        <v>Female</v>
      </c>
      <c r="D951" s="19">
        <f>VLOOKUP(A951,Sheet1!A:K,11,0)</f>
        <v>21</v>
      </c>
      <c r="E951" s="19" t="str">
        <f>VLOOKUP(A951,Sheet1!A:M,13,0)</f>
        <v>Japan</v>
      </c>
      <c r="F951" s="19" t="str">
        <f>VLOOKUP(A951,Sheet1!A:N,14,0)</f>
        <v>Japanese</v>
      </c>
      <c r="G951" s="19" t="str">
        <f>VLOOKUP(A951,Sheet1!A:O,15,0)</f>
        <v>UI/UX Design</v>
      </c>
      <c r="H951" s="19">
        <f>VLOOKUP(A951,Sheet1!A:Q,17,0)</f>
        <v>0</v>
      </c>
      <c r="I951" s="20">
        <f>VLOOKUP(A951,Sheet1!A:V,22,0)</f>
        <v>30</v>
      </c>
      <c r="J951" s="21">
        <f>VLOOKUP(A951,Sheet1!A:X,24,0)</f>
        <v>4.2</v>
      </c>
      <c r="K951" s="19" t="str">
        <f>VLOOKUP(A951,Sheet1!A:AB,28,0)</f>
        <v>Yes</v>
      </c>
      <c r="L951" s="27">
        <f>VLOOKUP(A951,Sheet1!A:AD,30,0)</f>
        <v>79</v>
      </c>
    </row>
    <row r="952" spans="1:12" x14ac:dyDescent="0.3">
      <c r="A952" s="14" t="s">
        <v>1105</v>
      </c>
      <c r="B952" s="19" t="str">
        <f>VLOOKUP(A952,Sheet1!A:E,5,0)</f>
        <v>James Todd</v>
      </c>
      <c r="C952" s="19" t="str">
        <f>VLOOKUP(A952,Sheet1!A:I,9,0)</f>
        <v>Male</v>
      </c>
      <c r="D952" s="19">
        <f>VLOOKUP(A952,Sheet1!A:K,11,0)</f>
        <v>21</v>
      </c>
      <c r="E952" s="19" t="str">
        <f>VLOOKUP(A952,Sheet1!A:M,13,0)</f>
        <v>Mexico</v>
      </c>
      <c r="F952" s="19" t="str">
        <f>VLOOKUP(A952,Sheet1!A:N,14,0)</f>
        <v>Spanish</v>
      </c>
      <c r="G952" s="19" t="str">
        <f>VLOOKUP(A952,Sheet1!A:O,15,0)</f>
        <v>Blockchain Development</v>
      </c>
      <c r="H952" s="19">
        <f>VLOOKUP(A952,Sheet1!A:Q,17,0)</f>
        <v>3</v>
      </c>
      <c r="I952" s="20">
        <f>VLOOKUP(A952,Sheet1!A:V,22,0)</f>
        <v>40</v>
      </c>
      <c r="J952" s="21">
        <f>VLOOKUP(A952,Sheet1!A:X,24,0)</f>
        <v>4</v>
      </c>
      <c r="K952" s="19" t="str">
        <f>VLOOKUP(A952,Sheet1!A:AB,28,0)</f>
        <v>No</v>
      </c>
      <c r="L952" s="27">
        <f>VLOOKUP(A952,Sheet1!A:AD,30,0)</f>
        <v>91</v>
      </c>
    </row>
    <row r="953" spans="1:12" x14ac:dyDescent="0.3">
      <c r="A953" s="14" t="s">
        <v>1169</v>
      </c>
      <c r="B953" s="19" t="str">
        <f>VLOOKUP(A953,Sheet1!A:E,5,0)</f>
        <v>Janice Daniels</v>
      </c>
      <c r="C953" s="19" t="str">
        <f>VLOOKUP(A953,Sheet1!A:I,9,0)</f>
        <v>Female</v>
      </c>
      <c r="D953" s="19">
        <f>VLOOKUP(A953,Sheet1!A:K,11,0)</f>
        <v>21</v>
      </c>
      <c r="E953" s="19" t="str">
        <f>VLOOKUP(A953,Sheet1!A:M,13,0)</f>
        <v>Germany</v>
      </c>
      <c r="F953" s="19" t="str">
        <f>VLOOKUP(A953,Sheet1!A:N,14,0)</f>
        <v>German</v>
      </c>
      <c r="G953" s="19" t="str">
        <f>VLOOKUP(A953,Sheet1!A:O,15,0)</f>
        <v>DevOps</v>
      </c>
      <c r="H953" s="19">
        <f>VLOOKUP(A953,Sheet1!A:Q,17,0)</f>
        <v>0</v>
      </c>
      <c r="I953" s="20">
        <f>VLOOKUP(A953,Sheet1!A:V,22,0)</f>
        <v>20</v>
      </c>
      <c r="J953" s="21">
        <f>VLOOKUP(A953,Sheet1!A:X,24,0)</f>
        <v>2.6</v>
      </c>
      <c r="K953" s="19" t="str">
        <f>VLOOKUP(A953,Sheet1!A:AB,28,0)</f>
        <v>No</v>
      </c>
      <c r="L953" s="27">
        <f>VLOOKUP(A953,Sheet1!A:AD,30,0)</f>
        <v>72</v>
      </c>
    </row>
    <row r="954" spans="1:12" x14ac:dyDescent="0.3">
      <c r="A954" s="14" t="s">
        <v>1796</v>
      </c>
      <c r="B954" s="19" t="str">
        <f>VLOOKUP(A954,Sheet1!A:E,5,0)</f>
        <v>Jasmine Lane</v>
      </c>
      <c r="C954" s="19" t="str">
        <f>VLOOKUP(A954,Sheet1!A:I,9,0)</f>
        <v>Female</v>
      </c>
      <c r="D954" s="19">
        <f>VLOOKUP(A954,Sheet1!A:K,11,0)</f>
        <v>21</v>
      </c>
      <c r="E954" s="19" t="str">
        <f>VLOOKUP(A954,Sheet1!A:M,13,0)</f>
        <v>Turkey</v>
      </c>
      <c r="F954" s="19" t="str">
        <f>VLOOKUP(A954,Sheet1!A:N,14,0)</f>
        <v>Turkish</v>
      </c>
      <c r="G954" s="19" t="str">
        <f>VLOOKUP(A954,Sheet1!A:O,15,0)</f>
        <v>UI/UX Design</v>
      </c>
      <c r="H954" s="19">
        <f>VLOOKUP(A954,Sheet1!A:Q,17,0)</f>
        <v>0</v>
      </c>
      <c r="I954" s="20">
        <f>VLOOKUP(A954,Sheet1!A:V,22,0)</f>
        <v>100</v>
      </c>
      <c r="J954" s="21">
        <f>VLOOKUP(A954,Sheet1!A:X,24,0)</f>
        <v>4.3</v>
      </c>
      <c r="K954" s="19" t="str">
        <f>VLOOKUP(A954,Sheet1!A:AB,28,0)</f>
        <v>No</v>
      </c>
      <c r="L954" s="27">
        <f>VLOOKUP(A954,Sheet1!A:AD,30,0)</f>
        <v>80.154471544715449</v>
      </c>
    </row>
    <row r="955" spans="1:12" x14ac:dyDescent="0.3">
      <c r="A955" s="14" t="s">
        <v>535</v>
      </c>
      <c r="B955" s="19" t="str">
        <f>VLOOKUP(A955,Sheet1!A:E,5,0)</f>
        <v>Jennifer Gonzalez</v>
      </c>
      <c r="C955" s="19" t="str">
        <f>VLOOKUP(A955,Sheet1!A:I,9,0)</f>
        <v>Female</v>
      </c>
      <c r="D955" s="19">
        <f>VLOOKUP(A955,Sheet1!A:K,11,0)</f>
        <v>21</v>
      </c>
      <c r="E955" s="19" t="str">
        <f>VLOOKUP(A955,Sheet1!A:M,13,0)</f>
        <v>China</v>
      </c>
      <c r="F955" s="19" t="str">
        <f>VLOOKUP(A955,Sheet1!A:N,14,0)</f>
        <v>Mandarin</v>
      </c>
      <c r="G955" s="19" t="str">
        <f>VLOOKUP(A955,Sheet1!A:O,15,0)</f>
        <v>Cybersecurity</v>
      </c>
      <c r="H955" s="19">
        <f>VLOOKUP(A955,Sheet1!A:Q,17,0)</f>
        <v>2</v>
      </c>
      <c r="I955" s="20">
        <f>VLOOKUP(A955,Sheet1!A:V,22,0)</f>
        <v>100</v>
      </c>
      <c r="J955" s="21">
        <f>VLOOKUP(A955,Sheet1!A:X,24,0)</f>
        <v>2.4</v>
      </c>
      <c r="K955" s="19" t="str">
        <f>VLOOKUP(A955,Sheet1!A:AB,28,0)</f>
        <v>Yes</v>
      </c>
      <c r="L955" s="27">
        <f>VLOOKUP(A955,Sheet1!A:AD,30,0)</f>
        <v>79.572093023255817</v>
      </c>
    </row>
    <row r="956" spans="1:12" x14ac:dyDescent="0.3">
      <c r="A956" s="14" t="s">
        <v>1004</v>
      </c>
      <c r="B956" s="19" t="str">
        <f>VLOOKUP(A956,Sheet1!A:E,5,0)</f>
        <v>Julie Becker</v>
      </c>
      <c r="C956" s="19" t="str">
        <f>VLOOKUP(A956,Sheet1!A:I,9,0)</f>
        <v>Female</v>
      </c>
      <c r="D956" s="19">
        <f>VLOOKUP(A956,Sheet1!A:K,11,0)</f>
        <v>21</v>
      </c>
      <c r="E956" s="19" t="str">
        <f>VLOOKUP(A956,Sheet1!A:M,13,0)</f>
        <v>Russia</v>
      </c>
      <c r="F956" s="19" t="str">
        <f>VLOOKUP(A956,Sheet1!A:N,14,0)</f>
        <v>Russian</v>
      </c>
      <c r="G956" s="19" t="str">
        <f>VLOOKUP(A956,Sheet1!A:O,15,0)</f>
        <v>Mobile Apps</v>
      </c>
      <c r="H956" s="19">
        <f>VLOOKUP(A956,Sheet1!A:Q,17,0)</f>
        <v>3</v>
      </c>
      <c r="I956" s="20">
        <f>VLOOKUP(A956,Sheet1!A:V,22,0)</f>
        <v>100</v>
      </c>
      <c r="J956" s="21">
        <f>VLOOKUP(A956,Sheet1!A:X,24,0)</f>
        <v>4.7</v>
      </c>
      <c r="K956" s="19" t="str">
        <f>VLOOKUP(A956,Sheet1!A:AB,28,0)</f>
        <v>No</v>
      </c>
      <c r="L956" s="27">
        <f>VLOOKUP(A956,Sheet1!A:AD,30,0)</f>
        <v>96</v>
      </c>
    </row>
    <row r="957" spans="1:12" x14ac:dyDescent="0.3">
      <c r="A957" s="14" t="s">
        <v>301</v>
      </c>
      <c r="B957" s="19" t="str">
        <f>VLOOKUP(A957,Sheet1!A:E,5,0)</f>
        <v>Kimberly Holland</v>
      </c>
      <c r="C957" s="19" t="str">
        <f>VLOOKUP(A957,Sheet1!A:I,9,0)</f>
        <v>Female</v>
      </c>
      <c r="D957" s="19">
        <f>VLOOKUP(A957,Sheet1!A:K,11,0)</f>
        <v>21</v>
      </c>
      <c r="E957" s="19" t="str">
        <f>VLOOKUP(A957,Sheet1!A:M,13,0)</f>
        <v>Turkey</v>
      </c>
      <c r="F957" s="19" t="str">
        <f>VLOOKUP(A957,Sheet1!A:N,14,0)</f>
        <v>Turkish</v>
      </c>
      <c r="G957" s="19" t="str">
        <f>VLOOKUP(A957,Sheet1!A:O,15,0)</f>
        <v>Blockchain Development</v>
      </c>
      <c r="H957" s="19">
        <f>VLOOKUP(A957,Sheet1!A:Q,17,0)</f>
        <v>2</v>
      </c>
      <c r="I957" s="20">
        <f>VLOOKUP(A957,Sheet1!A:V,22,0)</f>
        <v>50</v>
      </c>
      <c r="J957" s="21">
        <f>VLOOKUP(A957,Sheet1!A:X,24,0)</f>
        <v>4.9000000000000004</v>
      </c>
      <c r="K957" s="19" t="str">
        <f>VLOOKUP(A957,Sheet1!A:AB,28,0)</f>
        <v>Yes</v>
      </c>
      <c r="L957" s="27">
        <f>VLOOKUP(A957,Sheet1!A:AD,30,0)</f>
        <v>68</v>
      </c>
    </row>
    <row r="958" spans="1:12" x14ac:dyDescent="0.3">
      <c r="A958" s="14" t="s">
        <v>1113</v>
      </c>
      <c r="B958" s="19" t="str">
        <f>VLOOKUP(A958,Sheet1!A:E,5,0)</f>
        <v>Kristi Brown</v>
      </c>
      <c r="C958" s="19" t="str">
        <f>VLOOKUP(A958,Sheet1!A:I,9,0)</f>
        <v>Female</v>
      </c>
      <c r="D958" s="19">
        <f>VLOOKUP(A958,Sheet1!A:K,11,0)</f>
        <v>21</v>
      </c>
      <c r="E958" s="19" t="str">
        <f>VLOOKUP(A958,Sheet1!A:M,13,0)</f>
        <v>Germany</v>
      </c>
      <c r="F958" s="19" t="str">
        <f>VLOOKUP(A958,Sheet1!A:N,14,0)</f>
        <v>German</v>
      </c>
      <c r="G958" s="19" t="str">
        <f>VLOOKUP(A958,Sheet1!A:O,15,0)</f>
        <v>Web Development</v>
      </c>
      <c r="H958" s="19">
        <f>VLOOKUP(A958,Sheet1!A:Q,17,0)</f>
        <v>0</v>
      </c>
      <c r="I958" s="20">
        <f>VLOOKUP(A958,Sheet1!A:V,22,0)</f>
        <v>20</v>
      </c>
      <c r="J958" s="21">
        <f>VLOOKUP(A958,Sheet1!A:X,24,0)</f>
        <v>3.8</v>
      </c>
      <c r="K958" s="19" t="str">
        <f>VLOOKUP(A958,Sheet1!A:AB,28,0)</f>
        <v>Yes</v>
      </c>
      <c r="L958" s="27">
        <f>VLOOKUP(A958,Sheet1!A:AD,30,0)</f>
        <v>61</v>
      </c>
    </row>
    <row r="959" spans="1:12" x14ac:dyDescent="0.3">
      <c r="A959" s="14" t="s">
        <v>275</v>
      </c>
      <c r="B959" s="19" t="str">
        <f>VLOOKUP(A959,Sheet1!A:E,5,0)</f>
        <v>Logan Huang</v>
      </c>
      <c r="C959" s="19" t="str">
        <f>VLOOKUP(A959,Sheet1!A:I,9,0)</f>
        <v>Male</v>
      </c>
      <c r="D959" s="19">
        <f>VLOOKUP(A959,Sheet1!A:K,11,0)</f>
        <v>21</v>
      </c>
      <c r="E959" s="19" t="str">
        <f>VLOOKUP(A959,Sheet1!A:M,13,0)</f>
        <v>Italy</v>
      </c>
      <c r="F959" s="19" t="str">
        <f>VLOOKUP(A959,Sheet1!A:N,14,0)</f>
        <v>Italian</v>
      </c>
      <c r="G959" s="19" t="str">
        <f>VLOOKUP(A959,Sheet1!A:O,15,0)</f>
        <v>DevOps</v>
      </c>
      <c r="H959" s="19">
        <f>VLOOKUP(A959,Sheet1!A:Q,17,0)</f>
        <v>2</v>
      </c>
      <c r="I959" s="20">
        <f>VLOOKUP(A959,Sheet1!A:V,22,0)</f>
        <v>100</v>
      </c>
      <c r="J959" s="21">
        <f>VLOOKUP(A959,Sheet1!A:X,24,0)</f>
        <v>1.6</v>
      </c>
      <c r="K959" s="19" t="str">
        <f>VLOOKUP(A959,Sheet1!A:AB,28,0)</f>
        <v>Yes</v>
      </c>
      <c r="L959" s="27">
        <f>VLOOKUP(A959,Sheet1!A:AD,30,0)</f>
        <v>97</v>
      </c>
    </row>
    <row r="960" spans="1:12" x14ac:dyDescent="0.3">
      <c r="A960" s="14" t="s">
        <v>1303</v>
      </c>
      <c r="B960" s="19" t="str">
        <f>VLOOKUP(A960,Sheet1!A:E,5,0)</f>
        <v>Megan Young</v>
      </c>
      <c r="C960" s="19" t="str">
        <f>VLOOKUP(A960,Sheet1!A:I,9,0)</f>
        <v>Female</v>
      </c>
      <c r="D960" s="19">
        <f>VLOOKUP(A960,Sheet1!A:K,11,0)</f>
        <v>21</v>
      </c>
      <c r="E960" s="19" t="str">
        <f>VLOOKUP(A960,Sheet1!A:M,13,0)</f>
        <v>Japan</v>
      </c>
      <c r="F960" s="19" t="str">
        <f>VLOOKUP(A960,Sheet1!A:N,14,0)</f>
        <v>Japanese</v>
      </c>
      <c r="G960" s="19" t="str">
        <f>VLOOKUP(A960,Sheet1!A:O,15,0)</f>
        <v>Mobile Apps</v>
      </c>
      <c r="H960" s="19">
        <f>VLOOKUP(A960,Sheet1!A:Q,17,0)</f>
        <v>1</v>
      </c>
      <c r="I960" s="20">
        <f>VLOOKUP(A960,Sheet1!A:V,22,0)</f>
        <v>30</v>
      </c>
      <c r="J960" s="21">
        <f>VLOOKUP(A960,Sheet1!A:X,24,0)</f>
        <v>1.2</v>
      </c>
      <c r="K960" s="19" t="str">
        <f>VLOOKUP(A960,Sheet1!A:AB,28,0)</f>
        <v>Unknown</v>
      </c>
      <c r="L960" s="27">
        <f>VLOOKUP(A960,Sheet1!A:AD,30,0)</f>
        <v>73</v>
      </c>
    </row>
    <row r="961" spans="1:12" x14ac:dyDescent="0.3">
      <c r="A961" s="14" t="s">
        <v>539</v>
      </c>
      <c r="B961" s="19" t="str">
        <f>VLOOKUP(A961,Sheet1!A:E,5,0)</f>
        <v>Michelle Hill</v>
      </c>
      <c r="C961" s="19" t="str">
        <f>VLOOKUP(A961,Sheet1!A:I,9,0)</f>
        <v>Female</v>
      </c>
      <c r="D961" s="19">
        <f>VLOOKUP(A961,Sheet1!A:K,11,0)</f>
        <v>21</v>
      </c>
      <c r="E961" s="19" t="str">
        <f>VLOOKUP(A961,Sheet1!A:M,13,0)</f>
        <v>Canada</v>
      </c>
      <c r="F961" s="19" t="str">
        <f>VLOOKUP(A961,Sheet1!A:N,14,0)</f>
        <v>English</v>
      </c>
      <c r="G961" s="19" t="str">
        <f>VLOOKUP(A961,Sheet1!A:O,15,0)</f>
        <v>AI</v>
      </c>
      <c r="H961" s="19">
        <f>VLOOKUP(A961,Sheet1!A:Q,17,0)</f>
        <v>0</v>
      </c>
      <c r="I961" s="20">
        <f>VLOOKUP(A961,Sheet1!A:V,22,0)</f>
        <v>40</v>
      </c>
      <c r="J961" s="21">
        <f>VLOOKUP(A961,Sheet1!A:X,24,0)</f>
        <v>1.1000000000000001</v>
      </c>
      <c r="K961" s="19" t="str">
        <f>VLOOKUP(A961,Sheet1!A:AB,28,0)</f>
        <v>No</v>
      </c>
      <c r="L961" s="27">
        <f>VLOOKUP(A961,Sheet1!A:AD,30,0)</f>
        <v>79</v>
      </c>
    </row>
    <row r="962" spans="1:12" x14ac:dyDescent="0.3">
      <c r="A962" s="14" t="s">
        <v>2068</v>
      </c>
      <c r="B962" s="19" t="str">
        <f>VLOOKUP(A962,Sheet1!A:E,5,0)</f>
        <v>Michelle Solis</v>
      </c>
      <c r="C962" s="19" t="str">
        <f>VLOOKUP(A962,Sheet1!A:I,9,0)</f>
        <v>Female</v>
      </c>
      <c r="D962" s="19">
        <f>VLOOKUP(A962,Sheet1!A:K,11,0)</f>
        <v>21</v>
      </c>
      <c r="E962" s="19" t="str">
        <f>VLOOKUP(A962,Sheet1!A:M,13,0)</f>
        <v>Argentina</v>
      </c>
      <c r="F962" s="19" t="str">
        <f>VLOOKUP(A962,Sheet1!A:N,14,0)</f>
        <v>Spanish</v>
      </c>
      <c r="G962" s="19" t="str">
        <f>VLOOKUP(A962,Sheet1!A:O,15,0)</f>
        <v>AI</v>
      </c>
      <c r="H962" s="19">
        <f>VLOOKUP(A962,Sheet1!A:Q,17,0)</f>
        <v>2</v>
      </c>
      <c r="I962" s="20">
        <f>VLOOKUP(A962,Sheet1!A:V,22,0)</f>
        <v>100</v>
      </c>
      <c r="J962" s="21">
        <f>VLOOKUP(A962,Sheet1!A:X,24,0)</f>
        <v>3.7</v>
      </c>
      <c r="K962" s="19" t="str">
        <f>VLOOKUP(A962,Sheet1!A:AB,28,0)</f>
        <v>Yes</v>
      </c>
      <c r="L962" s="27">
        <f>VLOOKUP(A962,Sheet1!A:AD,30,0)</f>
        <v>73</v>
      </c>
    </row>
    <row r="963" spans="1:12" x14ac:dyDescent="0.3">
      <c r="A963" s="14" t="s">
        <v>1885</v>
      </c>
      <c r="B963" s="19" t="str">
        <f>VLOOKUP(A963,Sheet1!A:E,5,0)</f>
        <v>Nathan Huff</v>
      </c>
      <c r="C963" s="19" t="str">
        <f>VLOOKUP(A963,Sheet1!A:I,9,0)</f>
        <v>Male</v>
      </c>
      <c r="D963" s="19">
        <f>VLOOKUP(A963,Sheet1!A:K,11,0)</f>
        <v>21</v>
      </c>
      <c r="E963" s="19" t="str">
        <f>VLOOKUP(A963,Sheet1!A:M,13,0)</f>
        <v>Germany</v>
      </c>
      <c r="F963" s="19" t="str">
        <f>VLOOKUP(A963,Sheet1!A:N,14,0)</f>
        <v>German</v>
      </c>
      <c r="G963" s="19" t="str">
        <f>VLOOKUP(A963,Sheet1!A:O,15,0)</f>
        <v>UI/UX Design</v>
      </c>
      <c r="H963" s="19">
        <f>VLOOKUP(A963,Sheet1!A:Q,17,0)</f>
        <v>3</v>
      </c>
      <c r="I963" s="20">
        <f>VLOOKUP(A963,Sheet1!A:V,22,0)</f>
        <v>50</v>
      </c>
      <c r="J963" s="21">
        <f>VLOOKUP(A963,Sheet1!A:X,24,0)</f>
        <v>4.5999999999999996</v>
      </c>
      <c r="K963" s="19" t="str">
        <f>VLOOKUP(A963,Sheet1!A:AB,28,0)</f>
        <v>Yes</v>
      </c>
      <c r="L963" s="27">
        <f>VLOOKUP(A963,Sheet1!A:AD,30,0)</f>
        <v>80.793103448275858</v>
      </c>
    </row>
    <row r="964" spans="1:12" x14ac:dyDescent="0.3">
      <c r="A964" s="14" t="s">
        <v>2006</v>
      </c>
      <c r="B964" s="19" t="str">
        <f>VLOOKUP(A964,Sheet1!A:E,5,0)</f>
        <v>Nicholas Scott</v>
      </c>
      <c r="C964" s="19" t="str">
        <f>VLOOKUP(A964,Sheet1!A:I,9,0)</f>
        <v>Male</v>
      </c>
      <c r="D964" s="19">
        <f>VLOOKUP(A964,Sheet1!A:K,11,0)</f>
        <v>21</v>
      </c>
      <c r="E964" s="19" t="str">
        <f>VLOOKUP(A964,Sheet1!A:M,13,0)</f>
        <v>Egypt</v>
      </c>
      <c r="F964" s="19" t="str">
        <f>VLOOKUP(A964,Sheet1!A:N,14,0)</f>
        <v>Arabic</v>
      </c>
      <c r="G964" s="19" t="str">
        <f>VLOOKUP(A964,Sheet1!A:O,15,0)</f>
        <v>Blockchain Development</v>
      </c>
      <c r="H964" s="19">
        <f>VLOOKUP(A964,Sheet1!A:Q,17,0)</f>
        <v>1</v>
      </c>
      <c r="I964" s="20">
        <f>VLOOKUP(A964,Sheet1!A:V,22,0)</f>
        <v>100</v>
      </c>
      <c r="J964" s="21">
        <f>VLOOKUP(A964,Sheet1!A:X,24,0)</f>
        <v>0</v>
      </c>
      <c r="K964" s="19" t="str">
        <f>VLOOKUP(A964,Sheet1!A:AB,28,0)</f>
        <v>Yes</v>
      </c>
      <c r="L964" s="27">
        <f>VLOOKUP(A964,Sheet1!A:AD,30,0)</f>
        <v>78.027777777777771</v>
      </c>
    </row>
    <row r="965" spans="1:12" x14ac:dyDescent="0.3">
      <c r="A965" s="14" t="s">
        <v>476</v>
      </c>
      <c r="B965" s="19" t="str">
        <f>VLOOKUP(A965,Sheet1!A:E,5,0)</f>
        <v>Patrick Dunlap</v>
      </c>
      <c r="C965" s="19" t="str">
        <f>VLOOKUP(A965,Sheet1!A:I,9,0)</f>
        <v>Male</v>
      </c>
      <c r="D965" s="19">
        <f>VLOOKUP(A965,Sheet1!A:K,11,0)</f>
        <v>21</v>
      </c>
      <c r="E965" s="19" t="str">
        <f>VLOOKUP(A965,Sheet1!A:M,13,0)</f>
        <v>South Korea</v>
      </c>
      <c r="F965" s="19" t="str">
        <f>VLOOKUP(A965,Sheet1!A:N,14,0)</f>
        <v>Korean</v>
      </c>
      <c r="G965" s="19" t="str">
        <f>VLOOKUP(A965,Sheet1!A:O,15,0)</f>
        <v>Graphic Design</v>
      </c>
      <c r="H965" s="19">
        <f>VLOOKUP(A965,Sheet1!A:Q,17,0)</f>
        <v>1</v>
      </c>
      <c r="I965" s="20">
        <f>VLOOKUP(A965,Sheet1!A:V,22,0)</f>
        <v>75</v>
      </c>
      <c r="J965" s="21">
        <f>VLOOKUP(A965,Sheet1!A:X,24,0)</f>
        <v>4.5999999999999996</v>
      </c>
      <c r="K965" s="19" t="str">
        <f>VLOOKUP(A965,Sheet1!A:AB,28,0)</f>
        <v>No</v>
      </c>
      <c r="L965" s="27">
        <f>VLOOKUP(A965,Sheet1!A:AD,30,0)</f>
        <v>92</v>
      </c>
    </row>
    <row r="966" spans="1:12" x14ac:dyDescent="0.3">
      <c r="A966" s="14" t="s">
        <v>867</v>
      </c>
      <c r="B966" s="19" t="str">
        <f>VLOOKUP(A966,Sheet1!A:E,5,0)</f>
        <v>Paul Brown</v>
      </c>
      <c r="C966" s="19" t="str">
        <f>VLOOKUP(A966,Sheet1!A:I,9,0)</f>
        <v>Male</v>
      </c>
      <c r="D966" s="19">
        <f>VLOOKUP(A966,Sheet1!A:K,11,0)</f>
        <v>21</v>
      </c>
      <c r="E966" s="19" t="str">
        <f>VLOOKUP(A966,Sheet1!A:M,13,0)</f>
        <v>Netherlands</v>
      </c>
      <c r="F966" s="19" t="str">
        <f>VLOOKUP(A966,Sheet1!A:N,14,0)</f>
        <v>Dutch</v>
      </c>
      <c r="G966" s="19" t="str">
        <f>VLOOKUP(A966,Sheet1!A:O,15,0)</f>
        <v>DevOps</v>
      </c>
      <c r="H966" s="19">
        <f>VLOOKUP(A966,Sheet1!A:Q,17,0)</f>
        <v>0</v>
      </c>
      <c r="I966" s="20">
        <f>VLOOKUP(A966,Sheet1!A:V,22,0)</f>
        <v>40</v>
      </c>
      <c r="J966" s="21">
        <f>VLOOKUP(A966,Sheet1!A:X,24,0)</f>
        <v>4.0999999999999996</v>
      </c>
      <c r="K966" s="19" t="str">
        <f>VLOOKUP(A966,Sheet1!A:AB,28,0)</f>
        <v>Yes</v>
      </c>
      <c r="L966" s="27">
        <f>VLOOKUP(A966,Sheet1!A:AD,30,0)</f>
        <v>97</v>
      </c>
    </row>
    <row r="967" spans="1:12" x14ac:dyDescent="0.3">
      <c r="A967" s="14" t="s">
        <v>763</v>
      </c>
      <c r="B967" s="19" t="str">
        <f>VLOOKUP(A967,Sheet1!A:E,5,0)</f>
        <v>Rebecca Schneider</v>
      </c>
      <c r="C967" s="19" t="str">
        <f>VLOOKUP(A967,Sheet1!A:I,9,0)</f>
        <v>Female</v>
      </c>
      <c r="D967" s="19">
        <f>VLOOKUP(A967,Sheet1!A:K,11,0)</f>
        <v>21</v>
      </c>
      <c r="E967" s="19" t="str">
        <f>VLOOKUP(A967,Sheet1!A:M,13,0)</f>
        <v>Argentina</v>
      </c>
      <c r="F967" s="19" t="str">
        <f>VLOOKUP(A967,Sheet1!A:N,14,0)</f>
        <v>Spanish</v>
      </c>
      <c r="G967" s="19" t="str">
        <f>VLOOKUP(A967,Sheet1!A:O,15,0)</f>
        <v>Web Development</v>
      </c>
      <c r="H967" s="19">
        <f>VLOOKUP(A967,Sheet1!A:Q,17,0)</f>
        <v>1</v>
      </c>
      <c r="I967" s="20">
        <f>VLOOKUP(A967,Sheet1!A:V,22,0)</f>
        <v>20</v>
      </c>
      <c r="J967" s="21">
        <f>VLOOKUP(A967,Sheet1!A:X,24,0)</f>
        <v>2.5662207357859508</v>
      </c>
      <c r="K967" s="19" t="str">
        <f>VLOOKUP(A967,Sheet1!A:AB,28,0)</f>
        <v>No</v>
      </c>
      <c r="L967" s="27">
        <f>VLOOKUP(A967,Sheet1!A:AD,30,0)</f>
        <v>99</v>
      </c>
    </row>
    <row r="968" spans="1:12" x14ac:dyDescent="0.3">
      <c r="A968" s="14" t="s">
        <v>1187</v>
      </c>
      <c r="B968" s="19" t="str">
        <f>VLOOKUP(A968,Sheet1!A:E,5,0)</f>
        <v>Ricky Martinez</v>
      </c>
      <c r="C968" s="19" t="str">
        <f>VLOOKUP(A968,Sheet1!A:I,9,0)</f>
        <v>Male</v>
      </c>
      <c r="D968" s="19">
        <f>VLOOKUP(A968,Sheet1!A:K,11,0)</f>
        <v>21</v>
      </c>
      <c r="E968" s="19" t="str">
        <f>VLOOKUP(A968,Sheet1!A:M,13,0)</f>
        <v>United Kingdom</v>
      </c>
      <c r="F968" s="19" t="str">
        <f>VLOOKUP(A968,Sheet1!A:N,14,0)</f>
        <v>English</v>
      </c>
      <c r="G968" s="19" t="str">
        <f>VLOOKUP(A968,Sheet1!A:O,15,0)</f>
        <v>AI</v>
      </c>
      <c r="H968" s="19">
        <f>VLOOKUP(A968,Sheet1!A:Q,17,0)</f>
        <v>0</v>
      </c>
      <c r="I968" s="20">
        <f>VLOOKUP(A968,Sheet1!A:V,22,0)</f>
        <v>100</v>
      </c>
      <c r="J968" s="21">
        <f>VLOOKUP(A968,Sheet1!A:X,24,0)</f>
        <v>2.5949874686716807</v>
      </c>
      <c r="K968" s="19" t="str">
        <f>VLOOKUP(A968,Sheet1!A:AB,28,0)</f>
        <v>No</v>
      </c>
      <c r="L968" s="27">
        <f>VLOOKUP(A968,Sheet1!A:AD,30,0)</f>
        <v>73</v>
      </c>
    </row>
    <row r="969" spans="1:12" x14ac:dyDescent="0.3">
      <c r="A969" s="14" t="s">
        <v>1101</v>
      </c>
      <c r="B969" s="19" t="str">
        <f>VLOOKUP(A969,Sheet1!A:E,5,0)</f>
        <v>Robert Stone</v>
      </c>
      <c r="C969" s="19" t="str">
        <f>VLOOKUP(A969,Sheet1!A:I,9,0)</f>
        <v>Male</v>
      </c>
      <c r="D969" s="19">
        <f>VLOOKUP(A969,Sheet1!A:K,11,0)</f>
        <v>21</v>
      </c>
      <c r="E969" s="19" t="str">
        <f>VLOOKUP(A969,Sheet1!A:M,13,0)</f>
        <v>United Kingdom</v>
      </c>
      <c r="F969" s="19" t="str">
        <f>VLOOKUP(A969,Sheet1!A:N,14,0)</f>
        <v>English</v>
      </c>
      <c r="G969" s="19" t="str">
        <f>VLOOKUP(A969,Sheet1!A:O,15,0)</f>
        <v>Mobile Apps</v>
      </c>
      <c r="H969" s="19">
        <f>VLOOKUP(A969,Sheet1!A:Q,17,0)</f>
        <v>1</v>
      </c>
      <c r="I969" s="20">
        <f>VLOOKUP(A969,Sheet1!A:V,22,0)</f>
        <v>30</v>
      </c>
      <c r="J969" s="21">
        <f>VLOOKUP(A969,Sheet1!A:X,24,0)</f>
        <v>1</v>
      </c>
      <c r="K969" s="19" t="str">
        <f>VLOOKUP(A969,Sheet1!A:AB,28,0)</f>
        <v>No</v>
      </c>
      <c r="L969" s="27">
        <f>VLOOKUP(A969,Sheet1!A:AD,30,0)</f>
        <v>81</v>
      </c>
    </row>
    <row r="970" spans="1:12" x14ac:dyDescent="0.3">
      <c r="A970" s="14" t="s">
        <v>1710</v>
      </c>
      <c r="B970" s="19" t="str">
        <f>VLOOKUP(A970,Sheet1!A:E,5,0)</f>
        <v>Russell Carpenter</v>
      </c>
      <c r="C970" s="19" t="str">
        <f>VLOOKUP(A970,Sheet1!A:I,9,0)</f>
        <v>Male</v>
      </c>
      <c r="D970" s="19">
        <f>VLOOKUP(A970,Sheet1!A:K,11,0)</f>
        <v>21</v>
      </c>
      <c r="E970" s="19" t="str">
        <f>VLOOKUP(A970,Sheet1!A:M,13,0)</f>
        <v>Egypt</v>
      </c>
      <c r="F970" s="19" t="str">
        <f>VLOOKUP(A970,Sheet1!A:N,14,0)</f>
        <v>Arabic</v>
      </c>
      <c r="G970" s="19" t="str">
        <f>VLOOKUP(A970,Sheet1!A:O,15,0)</f>
        <v>AI</v>
      </c>
      <c r="H970" s="19">
        <f>VLOOKUP(A970,Sheet1!A:Q,17,0)</f>
        <v>0</v>
      </c>
      <c r="I970" s="20">
        <f>VLOOKUP(A970,Sheet1!A:V,22,0)</f>
        <v>20</v>
      </c>
      <c r="J970" s="21">
        <f>VLOOKUP(A970,Sheet1!A:X,24,0)</f>
        <v>2.6</v>
      </c>
      <c r="K970" s="19" t="str">
        <f>VLOOKUP(A970,Sheet1!A:AB,28,0)</f>
        <v>No</v>
      </c>
      <c r="L970" s="27">
        <f>VLOOKUP(A970,Sheet1!A:AD,30,0)</f>
        <v>64</v>
      </c>
    </row>
    <row r="971" spans="1:12" x14ac:dyDescent="0.3">
      <c r="A971" s="14" t="s">
        <v>1962</v>
      </c>
      <c r="B971" s="19" t="str">
        <f>VLOOKUP(A971,Sheet1!A:E,5,0)</f>
        <v>Sandra Henry</v>
      </c>
      <c r="C971" s="19" t="str">
        <f>VLOOKUP(A971,Sheet1!A:I,9,0)</f>
        <v>Female</v>
      </c>
      <c r="D971" s="19">
        <f>VLOOKUP(A971,Sheet1!A:K,11,0)</f>
        <v>21</v>
      </c>
      <c r="E971" s="19" t="str">
        <f>VLOOKUP(A971,Sheet1!A:M,13,0)</f>
        <v>Italy</v>
      </c>
      <c r="F971" s="19" t="str">
        <f>VLOOKUP(A971,Sheet1!A:N,14,0)</f>
        <v>Italian</v>
      </c>
      <c r="G971" s="19" t="str">
        <f>VLOOKUP(A971,Sheet1!A:O,15,0)</f>
        <v>Cybersecurity</v>
      </c>
      <c r="H971" s="19">
        <f>VLOOKUP(A971,Sheet1!A:Q,17,0)</f>
        <v>0</v>
      </c>
      <c r="I971" s="20">
        <f>VLOOKUP(A971,Sheet1!A:V,22,0)</f>
        <v>54.833333333333336</v>
      </c>
      <c r="J971" s="21">
        <f>VLOOKUP(A971,Sheet1!A:X,24,0)</f>
        <v>0</v>
      </c>
      <c r="K971" s="19" t="str">
        <f>VLOOKUP(A971,Sheet1!A:AB,28,0)</f>
        <v>Yes</v>
      </c>
      <c r="L971" s="27">
        <f>VLOOKUP(A971,Sheet1!A:AD,30,0)</f>
        <v>95</v>
      </c>
    </row>
    <row r="972" spans="1:12" x14ac:dyDescent="0.3">
      <c r="A972" s="14" t="s">
        <v>171</v>
      </c>
      <c r="B972" s="19" t="str">
        <f>VLOOKUP(A972,Sheet1!A:E,5,0)</f>
        <v>Savannah Williams</v>
      </c>
      <c r="C972" s="19" t="str">
        <f>VLOOKUP(A972,Sheet1!A:I,9,0)</f>
        <v>Female</v>
      </c>
      <c r="D972" s="19">
        <f>VLOOKUP(A972,Sheet1!A:K,11,0)</f>
        <v>21</v>
      </c>
      <c r="E972" s="19" t="str">
        <f>VLOOKUP(A972,Sheet1!A:M,13,0)</f>
        <v>Canada</v>
      </c>
      <c r="F972" s="19" t="str">
        <f>VLOOKUP(A972,Sheet1!A:N,14,0)</f>
        <v>English</v>
      </c>
      <c r="G972" s="19" t="str">
        <f>VLOOKUP(A972,Sheet1!A:O,15,0)</f>
        <v>Web Development</v>
      </c>
      <c r="H972" s="19">
        <f>VLOOKUP(A972,Sheet1!A:Q,17,0)</f>
        <v>0</v>
      </c>
      <c r="I972" s="20">
        <f>VLOOKUP(A972,Sheet1!A:V,22,0)</f>
        <v>30</v>
      </c>
      <c r="J972" s="21">
        <f>VLOOKUP(A972,Sheet1!A:X,24,0)</f>
        <v>2.7</v>
      </c>
      <c r="K972" s="19" t="str">
        <f>VLOOKUP(A972,Sheet1!A:AB,28,0)</f>
        <v>Yes</v>
      </c>
      <c r="L972" s="27">
        <f>VLOOKUP(A972,Sheet1!A:AD,30,0)</f>
        <v>84</v>
      </c>
    </row>
    <row r="973" spans="1:12" x14ac:dyDescent="0.3">
      <c r="A973" s="14" t="s">
        <v>1552</v>
      </c>
      <c r="B973" s="19" t="str">
        <f>VLOOKUP(A973,Sheet1!A:E,5,0)</f>
        <v>Shane Booker</v>
      </c>
      <c r="C973" s="19" t="str">
        <f>VLOOKUP(A973,Sheet1!A:I,9,0)</f>
        <v>Male</v>
      </c>
      <c r="D973" s="19">
        <f>VLOOKUP(A973,Sheet1!A:K,11,0)</f>
        <v>21</v>
      </c>
      <c r="E973" s="19" t="str">
        <f>VLOOKUP(A973,Sheet1!A:M,13,0)</f>
        <v>United Kingdom</v>
      </c>
      <c r="F973" s="19" t="str">
        <f>VLOOKUP(A973,Sheet1!A:N,14,0)</f>
        <v>English</v>
      </c>
      <c r="G973" s="19" t="str">
        <f>VLOOKUP(A973,Sheet1!A:O,15,0)</f>
        <v>Mobile Apps</v>
      </c>
      <c r="H973" s="19">
        <f>VLOOKUP(A973,Sheet1!A:Q,17,0)</f>
        <v>3</v>
      </c>
      <c r="I973" s="20">
        <f>VLOOKUP(A973,Sheet1!A:V,22,0)</f>
        <v>40</v>
      </c>
      <c r="J973" s="21">
        <f>VLOOKUP(A973,Sheet1!A:X,24,0)</f>
        <v>0</v>
      </c>
      <c r="K973" s="19" t="str">
        <f>VLOOKUP(A973,Sheet1!A:AB,28,0)</f>
        <v>No</v>
      </c>
      <c r="L973" s="27">
        <f>VLOOKUP(A973,Sheet1!A:AD,30,0)</f>
        <v>87</v>
      </c>
    </row>
    <row r="974" spans="1:12" x14ac:dyDescent="0.3">
      <c r="A974" s="14" t="s">
        <v>505</v>
      </c>
      <c r="B974" s="19" t="str">
        <f>VLOOKUP(A974,Sheet1!A:E,5,0)</f>
        <v>Shannon Farmer</v>
      </c>
      <c r="C974" s="19" t="str">
        <f>VLOOKUP(A974,Sheet1!A:I,9,0)</f>
        <v>Female</v>
      </c>
      <c r="D974" s="19">
        <f>VLOOKUP(A974,Sheet1!A:K,11,0)</f>
        <v>21</v>
      </c>
      <c r="E974" s="19" t="str">
        <f>VLOOKUP(A974,Sheet1!A:M,13,0)</f>
        <v>Egypt</v>
      </c>
      <c r="F974" s="19" t="str">
        <f>VLOOKUP(A974,Sheet1!A:N,14,0)</f>
        <v>Arabic</v>
      </c>
      <c r="G974" s="19" t="str">
        <f>VLOOKUP(A974,Sheet1!A:O,15,0)</f>
        <v>Graphic Design</v>
      </c>
      <c r="H974" s="19">
        <f>VLOOKUP(A974,Sheet1!A:Q,17,0)</f>
        <v>0</v>
      </c>
      <c r="I974" s="20">
        <f>VLOOKUP(A974,Sheet1!A:V,22,0)</f>
        <v>20</v>
      </c>
      <c r="J974" s="21">
        <f>VLOOKUP(A974,Sheet1!A:X,24,0)</f>
        <v>1.8</v>
      </c>
      <c r="K974" s="19" t="str">
        <f>VLOOKUP(A974,Sheet1!A:AB,28,0)</f>
        <v>No</v>
      </c>
      <c r="L974" s="27">
        <f>VLOOKUP(A974,Sheet1!A:AD,30,0)</f>
        <v>91</v>
      </c>
    </row>
    <row r="975" spans="1:12" x14ac:dyDescent="0.3">
      <c r="A975" s="14" t="s">
        <v>1656</v>
      </c>
      <c r="B975" s="19" t="str">
        <f>VLOOKUP(A975,Sheet1!A:E,5,0)</f>
        <v>Shawn Delgado</v>
      </c>
      <c r="C975" s="19" t="str">
        <f>VLOOKUP(A975,Sheet1!A:I,9,0)</f>
        <v>Male</v>
      </c>
      <c r="D975" s="19">
        <f>VLOOKUP(A975,Sheet1!A:K,11,0)</f>
        <v>21</v>
      </c>
      <c r="E975" s="19" t="str">
        <f>VLOOKUP(A975,Sheet1!A:M,13,0)</f>
        <v>China</v>
      </c>
      <c r="F975" s="19" t="str">
        <f>VLOOKUP(A975,Sheet1!A:N,14,0)</f>
        <v>Mandarin</v>
      </c>
      <c r="G975" s="19" t="str">
        <f>VLOOKUP(A975,Sheet1!A:O,15,0)</f>
        <v>Data Analysis</v>
      </c>
      <c r="H975" s="19">
        <f>VLOOKUP(A975,Sheet1!A:Q,17,0)</f>
        <v>0</v>
      </c>
      <c r="I975" s="20">
        <f>VLOOKUP(A975,Sheet1!A:V,22,0)</f>
        <v>40</v>
      </c>
      <c r="J975" s="21">
        <f>VLOOKUP(A975,Sheet1!A:X,24,0)</f>
        <v>3.7</v>
      </c>
      <c r="K975" s="19" t="str">
        <f>VLOOKUP(A975,Sheet1!A:AB,28,0)</f>
        <v>No</v>
      </c>
      <c r="L975" s="27">
        <f>VLOOKUP(A975,Sheet1!A:AD,30,0)</f>
        <v>74</v>
      </c>
    </row>
    <row r="976" spans="1:12" x14ac:dyDescent="0.3">
      <c r="A976" s="14" t="s">
        <v>579</v>
      </c>
      <c r="B976" s="19" t="str">
        <f>VLOOKUP(A976,Sheet1!A:E,5,0)</f>
        <v>Veronica Thomas</v>
      </c>
      <c r="C976" s="19" t="str">
        <f>VLOOKUP(A976,Sheet1!A:I,9,0)</f>
        <v>Female</v>
      </c>
      <c r="D976" s="19">
        <f>VLOOKUP(A976,Sheet1!A:K,11,0)</f>
        <v>21</v>
      </c>
      <c r="E976" s="19" t="str">
        <f>VLOOKUP(A976,Sheet1!A:M,13,0)</f>
        <v>South Africa</v>
      </c>
      <c r="F976" s="19" t="str">
        <f>VLOOKUP(A976,Sheet1!A:N,14,0)</f>
        <v>Afrikaans</v>
      </c>
      <c r="G976" s="19" t="str">
        <f>VLOOKUP(A976,Sheet1!A:O,15,0)</f>
        <v>Machine Learning</v>
      </c>
      <c r="H976" s="19">
        <f>VLOOKUP(A976,Sheet1!A:Q,17,0)</f>
        <v>2</v>
      </c>
      <c r="I976" s="20">
        <f>VLOOKUP(A976,Sheet1!A:V,22,0)</f>
        <v>20</v>
      </c>
      <c r="J976" s="21">
        <f>VLOOKUP(A976,Sheet1!A:X,24,0)</f>
        <v>2.4</v>
      </c>
      <c r="K976" s="19" t="str">
        <f>VLOOKUP(A976,Sheet1!A:AB,28,0)</f>
        <v>Unknown</v>
      </c>
      <c r="L976" s="27">
        <f>VLOOKUP(A976,Sheet1!A:AD,30,0)</f>
        <v>86</v>
      </c>
    </row>
    <row r="977" spans="1:12" x14ac:dyDescent="0.3">
      <c r="A977" s="14" t="s">
        <v>689</v>
      </c>
      <c r="B977" s="19" t="str">
        <f>VLOOKUP(A977,Sheet1!A:E,5,0)</f>
        <v>Alex Wilson</v>
      </c>
      <c r="C977" s="19" t="str">
        <f>VLOOKUP(A977,Sheet1!A:I,9,0)</f>
        <v>Male</v>
      </c>
      <c r="D977" s="19">
        <f>VLOOKUP(A977,Sheet1!A:K,11,0)</f>
        <v>20</v>
      </c>
      <c r="E977" s="19" t="str">
        <f>VLOOKUP(A977,Sheet1!A:M,13,0)</f>
        <v>South Korea</v>
      </c>
      <c r="F977" s="19" t="str">
        <f>VLOOKUP(A977,Sheet1!A:N,14,0)</f>
        <v>Korean</v>
      </c>
      <c r="G977" s="19" t="str">
        <f>VLOOKUP(A977,Sheet1!A:O,15,0)</f>
        <v>Mobile Apps</v>
      </c>
      <c r="H977" s="19">
        <f>VLOOKUP(A977,Sheet1!A:Q,17,0)</f>
        <v>0</v>
      </c>
      <c r="I977" s="20">
        <f>VLOOKUP(A977,Sheet1!A:V,22,0)</f>
        <v>30</v>
      </c>
      <c r="J977" s="21">
        <f>VLOOKUP(A977,Sheet1!A:X,24,0)</f>
        <v>3.8</v>
      </c>
      <c r="K977" s="19" t="str">
        <f>VLOOKUP(A977,Sheet1!A:AB,28,0)</f>
        <v>Unknown</v>
      </c>
      <c r="L977" s="27">
        <f>VLOOKUP(A977,Sheet1!A:AD,30,0)</f>
        <v>93</v>
      </c>
    </row>
    <row r="978" spans="1:12" x14ac:dyDescent="0.3">
      <c r="A978" s="14" t="s">
        <v>1806</v>
      </c>
      <c r="B978" s="19" t="str">
        <f>VLOOKUP(A978,Sheet1!A:E,5,0)</f>
        <v>Beverly Roy</v>
      </c>
      <c r="C978" s="19" t="str">
        <f>VLOOKUP(A978,Sheet1!A:I,9,0)</f>
        <v>Female</v>
      </c>
      <c r="D978" s="19">
        <f>VLOOKUP(A978,Sheet1!A:K,11,0)</f>
        <v>20</v>
      </c>
      <c r="E978" s="19" t="str">
        <f>VLOOKUP(A978,Sheet1!A:M,13,0)</f>
        <v>United States</v>
      </c>
      <c r="F978" s="19" t="str">
        <f>VLOOKUP(A978,Sheet1!A:N,14,0)</f>
        <v>English</v>
      </c>
      <c r="G978" s="19" t="str">
        <f>VLOOKUP(A978,Sheet1!A:O,15,0)</f>
        <v>Graphic Design</v>
      </c>
      <c r="H978" s="19">
        <f>VLOOKUP(A978,Sheet1!A:Q,17,0)</f>
        <v>1</v>
      </c>
      <c r="I978" s="20">
        <f>VLOOKUP(A978,Sheet1!A:V,22,0)</f>
        <v>54.661654135338345</v>
      </c>
      <c r="J978" s="21">
        <f>VLOOKUP(A978,Sheet1!A:X,24,0)</f>
        <v>2.7</v>
      </c>
      <c r="K978" s="19" t="str">
        <f>VLOOKUP(A978,Sheet1!A:AB,28,0)</f>
        <v>No</v>
      </c>
      <c r="L978" s="27">
        <f>VLOOKUP(A978,Sheet1!A:AD,30,0)</f>
        <v>94</v>
      </c>
    </row>
    <row r="979" spans="1:12" x14ac:dyDescent="0.3">
      <c r="A979" s="14" t="s">
        <v>1171</v>
      </c>
      <c r="B979" s="19" t="str">
        <f>VLOOKUP(A979,Sheet1!A:E,5,0)</f>
        <v>Carla Wood</v>
      </c>
      <c r="C979" s="19" t="str">
        <f>VLOOKUP(A979,Sheet1!A:I,9,0)</f>
        <v>Female</v>
      </c>
      <c r="D979" s="19">
        <f>VLOOKUP(A979,Sheet1!A:K,11,0)</f>
        <v>20</v>
      </c>
      <c r="E979" s="19" t="str">
        <f>VLOOKUP(A979,Sheet1!A:M,13,0)</f>
        <v>Italy</v>
      </c>
      <c r="F979" s="19" t="str">
        <f>VLOOKUP(A979,Sheet1!A:N,14,0)</f>
        <v>Italian</v>
      </c>
      <c r="G979" s="19" t="str">
        <f>VLOOKUP(A979,Sheet1!A:O,15,0)</f>
        <v>DevOps</v>
      </c>
      <c r="H979" s="19">
        <f>VLOOKUP(A979,Sheet1!A:Q,17,0)</f>
        <v>1</v>
      </c>
      <c r="I979" s="20">
        <f>VLOOKUP(A979,Sheet1!A:V,22,0)</f>
        <v>40</v>
      </c>
      <c r="J979" s="21">
        <f>VLOOKUP(A979,Sheet1!A:X,24,0)</f>
        <v>2.2999999999999998</v>
      </c>
      <c r="K979" s="19" t="str">
        <f>VLOOKUP(A979,Sheet1!A:AB,28,0)</f>
        <v>Yes</v>
      </c>
      <c r="L979" s="27">
        <f>VLOOKUP(A979,Sheet1!A:AD,30,0)</f>
        <v>72</v>
      </c>
    </row>
    <row r="980" spans="1:12" x14ac:dyDescent="0.3">
      <c r="A980" s="14" t="s">
        <v>703</v>
      </c>
      <c r="B980" s="19" t="str">
        <f>VLOOKUP(A980,Sheet1!A:E,5,0)</f>
        <v>Clayton Pena</v>
      </c>
      <c r="C980" s="19" t="str">
        <f>VLOOKUP(A980,Sheet1!A:I,9,0)</f>
        <v>Male</v>
      </c>
      <c r="D980" s="19">
        <f>VLOOKUP(A980,Sheet1!A:K,11,0)</f>
        <v>20</v>
      </c>
      <c r="E980" s="19" t="str">
        <f>VLOOKUP(A980,Sheet1!A:M,13,0)</f>
        <v>Egypt</v>
      </c>
      <c r="F980" s="19" t="str">
        <f>VLOOKUP(A980,Sheet1!A:N,14,0)</f>
        <v>Arabic</v>
      </c>
      <c r="G980" s="19" t="str">
        <f>VLOOKUP(A980,Sheet1!A:O,15,0)</f>
        <v>Data Analysis</v>
      </c>
      <c r="H980" s="19">
        <f>VLOOKUP(A980,Sheet1!A:Q,17,0)</f>
        <v>0</v>
      </c>
      <c r="I980" s="20">
        <f>VLOOKUP(A980,Sheet1!A:V,22,0)</f>
        <v>20</v>
      </c>
      <c r="J980" s="21">
        <f>VLOOKUP(A980,Sheet1!A:X,24,0)</f>
        <v>3.9</v>
      </c>
      <c r="K980" s="19" t="str">
        <f>VLOOKUP(A980,Sheet1!A:AB,28,0)</f>
        <v>No</v>
      </c>
      <c r="L980" s="27">
        <f>VLOOKUP(A980,Sheet1!A:AD,30,0)</f>
        <v>79.40625</v>
      </c>
    </row>
    <row r="981" spans="1:12" x14ac:dyDescent="0.3">
      <c r="A981" s="14" t="s">
        <v>1016</v>
      </c>
      <c r="B981" s="19" t="str">
        <f>VLOOKUP(A981,Sheet1!A:E,5,0)</f>
        <v>Danny Morris</v>
      </c>
      <c r="C981" s="19" t="str">
        <f>VLOOKUP(A981,Sheet1!A:I,9,0)</f>
        <v>Male</v>
      </c>
      <c r="D981" s="19">
        <f>VLOOKUP(A981,Sheet1!A:K,11,0)</f>
        <v>20</v>
      </c>
      <c r="E981" s="19" t="str">
        <f>VLOOKUP(A981,Sheet1!A:M,13,0)</f>
        <v>Turkey</v>
      </c>
      <c r="F981" s="19" t="str">
        <f>VLOOKUP(A981,Sheet1!A:N,14,0)</f>
        <v>Turkish</v>
      </c>
      <c r="G981" s="19" t="str">
        <f>VLOOKUP(A981,Sheet1!A:O,15,0)</f>
        <v>Data Analysis</v>
      </c>
      <c r="H981" s="19">
        <f>VLOOKUP(A981,Sheet1!A:Q,17,0)</f>
        <v>1</v>
      </c>
      <c r="I981" s="20">
        <f>VLOOKUP(A981,Sheet1!A:V,22,0)</f>
        <v>50</v>
      </c>
      <c r="J981" s="21">
        <f>VLOOKUP(A981,Sheet1!A:X,24,0)</f>
        <v>2.9</v>
      </c>
      <c r="K981" s="19" t="str">
        <f>VLOOKUP(A981,Sheet1!A:AB,28,0)</f>
        <v>No</v>
      </c>
      <c r="L981" s="27">
        <f>VLOOKUP(A981,Sheet1!A:AD,30,0)</f>
        <v>81</v>
      </c>
    </row>
    <row r="982" spans="1:12" x14ac:dyDescent="0.3">
      <c r="A982" s="14" t="s">
        <v>913</v>
      </c>
      <c r="B982" s="19" t="str">
        <f>VLOOKUP(A982,Sheet1!A:E,5,0)</f>
        <v>Elizabeth Stone</v>
      </c>
      <c r="C982" s="19" t="str">
        <f>VLOOKUP(A982,Sheet1!A:I,9,0)</f>
        <v>Female</v>
      </c>
      <c r="D982" s="19">
        <f>VLOOKUP(A982,Sheet1!A:K,11,0)</f>
        <v>20</v>
      </c>
      <c r="E982" s="19" t="str">
        <f>VLOOKUP(A982,Sheet1!A:M,13,0)</f>
        <v>Spain</v>
      </c>
      <c r="F982" s="19" t="str">
        <f>VLOOKUP(A982,Sheet1!A:N,14,0)</f>
        <v>Spanish</v>
      </c>
      <c r="G982" s="19" t="str">
        <f>VLOOKUP(A982,Sheet1!A:O,15,0)</f>
        <v>Graphic Design</v>
      </c>
      <c r="H982" s="19">
        <f>VLOOKUP(A982,Sheet1!A:Q,17,0)</f>
        <v>2</v>
      </c>
      <c r="I982" s="20">
        <f>VLOOKUP(A982,Sheet1!A:V,22,0)</f>
        <v>30</v>
      </c>
      <c r="J982" s="21">
        <f>VLOOKUP(A982,Sheet1!A:X,24,0)</f>
        <v>0</v>
      </c>
      <c r="K982" s="19" t="str">
        <f>VLOOKUP(A982,Sheet1!A:AB,28,0)</f>
        <v>No</v>
      </c>
      <c r="L982" s="27">
        <f>VLOOKUP(A982,Sheet1!A:AD,30,0)</f>
        <v>94</v>
      </c>
    </row>
    <row r="983" spans="1:12" x14ac:dyDescent="0.3">
      <c r="A983" s="14" t="s">
        <v>1185</v>
      </c>
      <c r="B983" s="19" t="str">
        <f>VLOOKUP(A983,Sheet1!A:E,5,0)</f>
        <v>Erika Mitchell</v>
      </c>
      <c r="C983" s="19" t="str">
        <f>VLOOKUP(A983,Sheet1!A:I,9,0)</f>
        <v>Female</v>
      </c>
      <c r="D983" s="19">
        <f>VLOOKUP(A983,Sheet1!A:K,11,0)</f>
        <v>20</v>
      </c>
      <c r="E983" s="19" t="str">
        <f>VLOOKUP(A983,Sheet1!A:M,13,0)</f>
        <v>Canada</v>
      </c>
      <c r="F983" s="19" t="str">
        <f>VLOOKUP(A983,Sheet1!A:N,14,0)</f>
        <v>English</v>
      </c>
      <c r="G983" s="19" t="str">
        <f>VLOOKUP(A983,Sheet1!A:O,15,0)</f>
        <v>Data Analysis</v>
      </c>
      <c r="H983" s="19">
        <f>VLOOKUP(A983,Sheet1!A:Q,17,0)</f>
        <v>2</v>
      </c>
      <c r="I983" s="20">
        <f>VLOOKUP(A983,Sheet1!A:V,22,0)</f>
        <v>40</v>
      </c>
      <c r="J983" s="21">
        <f>VLOOKUP(A983,Sheet1!A:X,24,0)</f>
        <v>2.5949874686716807</v>
      </c>
      <c r="K983" s="19" t="str">
        <f>VLOOKUP(A983,Sheet1!A:AB,28,0)</f>
        <v>Yes</v>
      </c>
      <c r="L983" s="27">
        <f>VLOOKUP(A983,Sheet1!A:AD,30,0)</f>
        <v>91</v>
      </c>
    </row>
    <row r="984" spans="1:12" x14ac:dyDescent="0.3">
      <c r="A984" s="14" t="s">
        <v>1838</v>
      </c>
      <c r="B984" s="19" t="str">
        <f>VLOOKUP(A984,Sheet1!A:E,5,0)</f>
        <v>Gerald Taylor</v>
      </c>
      <c r="C984" s="19" t="str">
        <f>VLOOKUP(A984,Sheet1!A:I,9,0)</f>
        <v>Male</v>
      </c>
      <c r="D984" s="19">
        <f>VLOOKUP(A984,Sheet1!A:K,11,0)</f>
        <v>20</v>
      </c>
      <c r="E984" s="19" t="str">
        <f>VLOOKUP(A984,Sheet1!A:M,13,0)</f>
        <v>Russia</v>
      </c>
      <c r="F984" s="19" t="str">
        <f>VLOOKUP(A984,Sheet1!A:N,14,0)</f>
        <v>Russian</v>
      </c>
      <c r="G984" s="19" t="str">
        <f>VLOOKUP(A984,Sheet1!A:O,15,0)</f>
        <v>Web Development</v>
      </c>
      <c r="H984" s="19">
        <f>VLOOKUP(A984,Sheet1!A:Q,17,0)</f>
        <v>2</v>
      </c>
      <c r="I984" s="20">
        <f>VLOOKUP(A984,Sheet1!A:V,22,0)</f>
        <v>30</v>
      </c>
      <c r="J984" s="21">
        <f>VLOOKUP(A984,Sheet1!A:X,24,0)</f>
        <v>1.7</v>
      </c>
      <c r="K984" s="19" t="str">
        <f>VLOOKUP(A984,Sheet1!A:AB,28,0)</f>
        <v>Yes</v>
      </c>
      <c r="L984" s="27">
        <f>VLOOKUP(A984,Sheet1!A:AD,30,0)</f>
        <v>60</v>
      </c>
    </row>
    <row r="985" spans="1:12" x14ac:dyDescent="0.3">
      <c r="A985" s="14" t="s">
        <v>1024</v>
      </c>
      <c r="B985" s="19" t="str">
        <f>VLOOKUP(A985,Sheet1!A:E,5,0)</f>
        <v>Jasmine Harris</v>
      </c>
      <c r="C985" s="19" t="str">
        <f>VLOOKUP(A985,Sheet1!A:I,9,0)</f>
        <v>Female</v>
      </c>
      <c r="D985" s="19">
        <f>VLOOKUP(A985,Sheet1!A:K,11,0)</f>
        <v>20</v>
      </c>
      <c r="E985" s="19" t="str">
        <f>VLOOKUP(A985,Sheet1!A:M,13,0)</f>
        <v>Egypt</v>
      </c>
      <c r="F985" s="19" t="str">
        <f>VLOOKUP(A985,Sheet1!A:N,14,0)</f>
        <v>Arabic</v>
      </c>
      <c r="G985" s="19" t="str">
        <f>VLOOKUP(A985,Sheet1!A:O,15,0)</f>
        <v>Data Analysis</v>
      </c>
      <c r="H985" s="19">
        <f>VLOOKUP(A985,Sheet1!A:Q,17,0)</f>
        <v>0</v>
      </c>
      <c r="I985" s="20">
        <f>VLOOKUP(A985,Sheet1!A:V,22,0)</f>
        <v>30</v>
      </c>
      <c r="J985" s="21">
        <f>VLOOKUP(A985,Sheet1!A:X,24,0)</f>
        <v>0</v>
      </c>
      <c r="K985" s="19" t="str">
        <f>VLOOKUP(A985,Sheet1!A:AB,28,0)</f>
        <v>Yes</v>
      </c>
      <c r="L985" s="27">
        <f>VLOOKUP(A985,Sheet1!A:AD,30,0)</f>
        <v>76</v>
      </c>
    </row>
    <row r="986" spans="1:12" x14ac:dyDescent="0.3">
      <c r="A986" s="14" t="s">
        <v>458</v>
      </c>
      <c r="B986" s="19" t="str">
        <f>VLOOKUP(A986,Sheet1!A:E,5,0)</f>
        <v>Jennifer Garcia</v>
      </c>
      <c r="C986" s="19" t="str">
        <f>VLOOKUP(A986,Sheet1!A:I,9,0)</f>
        <v>Female</v>
      </c>
      <c r="D986" s="19">
        <f>VLOOKUP(A986,Sheet1!A:K,11,0)</f>
        <v>20</v>
      </c>
      <c r="E986" s="19" t="str">
        <f>VLOOKUP(A986,Sheet1!A:M,13,0)</f>
        <v>Mexico</v>
      </c>
      <c r="F986" s="19" t="str">
        <f>VLOOKUP(A986,Sheet1!A:N,14,0)</f>
        <v>Spanish</v>
      </c>
      <c r="G986" s="19" t="str">
        <f>VLOOKUP(A986,Sheet1!A:O,15,0)</f>
        <v>Graphic Design</v>
      </c>
      <c r="H986" s="19">
        <f>VLOOKUP(A986,Sheet1!A:Q,17,0)</f>
        <v>2</v>
      </c>
      <c r="I986" s="20">
        <f>VLOOKUP(A986,Sheet1!A:V,22,0)</f>
        <v>20</v>
      </c>
      <c r="J986" s="21">
        <f>VLOOKUP(A986,Sheet1!A:X,24,0)</f>
        <v>2.8</v>
      </c>
      <c r="K986" s="19" t="str">
        <f>VLOOKUP(A986,Sheet1!A:AB,28,0)</f>
        <v>No</v>
      </c>
      <c r="L986" s="27">
        <f>VLOOKUP(A986,Sheet1!A:AD,30,0)</f>
        <v>78</v>
      </c>
    </row>
    <row r="987" spans="1:12" x14ac:dyDescent="0.3">
      <c r="A987" s="14" t="s">
        <v>1548</v>
      </c>
      <c r="B987" s="19" t="str">
        <f>VLOOKUP(A987,Sheet1!A:E,5,0)</f>
        <v>Jessica Chaney</v>
      </c>
      <c r="C987" s="19" t="str">
        <f>VLOOKUP(A987,Sheet1!A:I,9,0)</f>
        <v>Female</v>
      </c>
      <c r="D987" s="19">
        <f>VLOOKUP(A987,Sheet1!A:K,11,0)</f>
        <v>20</v>
      </c>
      <c r="E987" s="19" t="str">
        <f>VLOOKUP(A987,Sheet1!A:M,13,0)</f>
        <v>Mexico</v>
      </c>
      <c r="F987" s="19" t="str">
        <f>VLOOKUP(A987,Sheet1!A:N,14,0)</f>
        <v>Spanish</v>
      </c>
      <c r="G987" s="19" t="str">
        <f>VLOOKUP(A987,Sheet1!A:O,15,0)</f>
        <v>Blockchain Development</v>
      </c>
      <c r="H987" s="19">
        <f>VLOOKUP(A987,Sheet1!A:Q,17,0)</f>
        <v>0</v>
      </c>
      <c r="I987" s="20">
        <f>VLOOKUP(A987,Sheet1!A:V,22,0)</f>
        <v>75</v>
      </c>
      <c r="J987" s="21">
        <f>VLOOKUP(A987,Sheet1!A:X,24,0)</f>
        <v>3.2</v>
      </c>
      <c r="K987" s="19" t="str">
        <f>VLOOKUP(A987,Sheet1!A:AB,28,0)</f>
        <v>Yes</v>
      </c>
      <c r="L987" s="27">
        <f>VLOOKUP(A987,Sheet1!A:AD,30,0)</f>
        <v>74</v>
      </c>
    </row>
    <row r="988" spans="1:12" x14ac:dyDescent="0.3">
      <c r="A988" s="14" t="s">
        <v>813</v>
      </c>
      <c r="B988" s="19" t="str">
        <f>VLOOKUP(A988,Sheet1!A:E,5,0)</f>
        <v>John Webb</v>
      </c>
      <c r="C988" s="19" t="str">
        <f>VLOOKUP(A988,Sheet1!A:I,9,0)</f>
        <v>Male</v>
      </c>
      <c r="D988" s="19">
        <f>VLOOKUP(A988,Sheet1!A:K,11,0)</f>
        <v>20</v>
      </c>
      <c r="E988" s="19" t="str">
        <f>VLOOKUP(A988,Sheet1!A:M,13,0)</f>
        <v>India</v>
      </c>
      <c r="F988" s="19" t="str">
        <f>VLOOKUP(A988,Sheet1!A:N,14,0)</f>
        <v>Hindi</v>
      </c>
      <c r="G988" s="19" t="str">
        <f>VLOOKUP(A988,Sheet1!A:O,15,0)</f>
        <v>Cybersecurity</v>
      </c>
      <c r="H988" s="19">
        <f>VLOOKUP(A988,Sheet1!A:Q,17,0)</f>
        <v>2</v>
      </c>
      <c r="I988" s="20">
        <f>VLOOKUP(A988,Sheet1!A:V,22,0)</f>
        <v>30</v>
      </c>
      <c r="J988" s="21">
        <f>VLOOKUP(A988,Sheet1!A:X,24,0)</f>
        <v>2.5599999999999978</v>
      </c>
      <c r="K988" s="19" t="str">
        <f>VLOOKUP(A988,Sheet1!A:AB,28,0)</f>
        <v>Yes</v>
      </c>
      <c r="L988" s="27">
        <f>VLOOKUP(A988,Sheet1!A:AD,30,0)</f>
        <v>99</v>
      </c>
    </row>
    <row r="989" spans="1:12" x14ac:dyDescent="0.3">
      <c r="A989" s="14" t="s">
        <v>1219</v>
      </c>
      <c r="B989" s="19" t="str">
        <f>VLOOKUP(A989,Sheet1!A:E,5,0)</f>
        <v>Kathy Faulkner</v>
      </c>
      <c r="C989" s="19" t="str">
        <f>VLOOKUP(A989,Sheet1!A:I,9,0)</f>
        <v>Female</v>
      </c>
      <c r="D989" s="19">
        <f>VLOOKUP(A989,Sheet1!A:K,11,0)</f>
        <v>20</v>
      </c>
      <c r="E989" s="19" t="str">
        <f>VLOOKUP(A989,Sheet1!A:M,13,0)</f>
        <v>Turkey</v>
      </c>
      <c r="F989" s="19" t="str">
        <f>VLOOKUP(A989,Sheet1!A:N,14,0)</f>
        <v>Turkish</v>
      </c>
      <c r="G989" s="19" t="str">
        <f>VLOOKUP(A989,Sheet1!A:O,15,0)</f>
        <v>Graphic Design</v>
      </c>
      <c r="H989" s="19">
        <f>VLOOKUP(A989,Sheet1!A:Q,17,0)</f>
        <v>0</v>
      </c>
      <c r="I989" s="20">
        <f>VLOOKUP(A989,Sheet1!A:V,22,0)</f>
        <v>30</v>
      </c>
      <c r="J989" s="21">
        <f>VLOOKUP(A989,Sheet1!A:X,24,0)</f>
        <v>4.8</v>
      </c>
      <c r="K989" s="19" t="str">
        <f>VLOOKUP(A989,Sheet1!A:AB,28,0)</f>
        <v>Yes</v>
      </c>
      <c r="L989" s="27">
        <f>VLOOKUP(A989,Sheet1!A:AD,30,0)</f>
        <v>68</v>
      </c>
    </row>
    <row r="990" spans="1:12" x14ac:dyDescent="0.3">
      <c r="A990" s="14" t="s">
        <v>1674</v>
      </c>
      <c r="B990" s="19" t="str">
        <f>VLOOKUP(A990,Sheet1!A:E,5,0)</f>
        <v>Kelly Lawson</v>
      </c>
      <c r="C990" s="19" t="str">
        <f>VLOOKUP(A990,Sheet1!A:I,9,0)</f>
        <v>Female</v>
      </c>
      <c r="D990" s="19">
        <f>VLOOKUP(A990,Sheet1!A:K,11,0)</f>
        <v>20</v>
      </c>
      <c r="E990" s="19" t="str">
        <f>VLOOKUP(A990,Sheet1!A:M,13,0)</f>
        <v>Spain</v>
      </c>
      <c r="F990" s="19" t="str">
        <f>VLOOKUP(A990,Sheet1!A:N,14,0)</f>
        <v>Spanish</v>
      </c>
      <c r="G990" s="19" t="str">
        <f>VLOOKUP(A990,Sheet1!A:O,15,0)</f>
        <v>AI</v>
      </c>
      <c r="H990" s="19">
        <f>VLOOKUP(A990,Sheet1!A:Q,17,0)</f>
        <v>1</v>
      </c>
      <c r="I990" s="20">
        <f>VLOOKUP(A990,Sheet1!A:V,22,0)</f>
        <v>52.84974093264249</v>
      </c>
      <c r="J990" s="21">
        <f>VLOOKUP(A990,Sheet1!A:X,24,0)</f>
        <v>3.5</v>
      </c>
      <c r="K990" s="19" t="str">
        <f>VLOOKUP(A990,Sheet1!A:AB,28,0)</f>
        <v>No</v>
      </c>
      <c r="L990" s="27">
        <f>VLOOKUP(A990,Sheet1!A:AD,30,0)</f>
        <v>71</v>
      </c>
    </row>
    <row r="991" spans="1:12" x14ac:dyDescent="0.3">
      <c r="A991" s="14" t="s">
        <v>1183</v>
      </c>
      <c r="B991" s="19" t="str">
        <f>VLOOKUP(A991,Sheet1!A:E,5,0)</f>
        <v>Melanie Baird</v>
      </c>
      <c r="C991" s="19" t="str">
        <f>VLOOKUP(A991,Sheet1!A:I,9,0)</f>
        <v>Female</v>
      </c>
      <c r="D991" s="19">
        <f>VLOOKUP(A991,Sheet1!A:K,11,0)</f>
        <v>20</v>
      </c>
      <c r="E991" s="19" t="str">
        <f>VLOOKUP(A991,Sheet1!A:M,13,0)</f>
        <v>Turkey</v>
      </c>
      <c r="F991" s="19" t="str">
        <f>VLOOKUP(A991,Sheet1!A:N,14,0)</f>
        <v>Turkish</v>
      </c>
      <c r="G991" s="19" t="str">
        <f>VLOOKUP(A991,Sheet1!A:O,15,0)</f>
        <v>Mobile Apps</v>
      </c>
      <c r="H991" s="19">
        <f>VLOOKUP(A991,Sheet1!A:Q,17,0)</f>
        <v>0</v>
      </c>
      <c r="I991" s="20">
        <f>VLOOKUP(A991,Sheet1!A:V,22,0)</f>
        <v>100</v>
      </c>
      <c r="J991" s="21">
        <f>VLOOKUP(A991,Sheet1!A:X,24,0)</f>
        <v>0</v>
      </c>
      <c r="K991" s="19" t="str">
        <f>VLOOKUP(A991,Sheet1!A:AB,28,0)</f>
        <v>No</v>
      </c>
      <c r="L991" s="27">
        <f>VLOOKUP(A991,Sheet1!A:AD,30,0)</f>
        <v>63</v>
      </c>
    </row>
    <row r="992" spans="1:12" x14ac:dyDescent="0.3">
      <c r="A992" s="14" t="s">
        <v>1740</v>
      </c>
      <c r="B992" s="19" t="str">
        <f>VLOOKUP(A992,Sheet1!A:E,5,0)</f>
        <v>Michael Mcmahon</v>
      </c>
      <c r="C992" s="19" t="str">
        <f>VLOOKUP(A992,Sheet1!A:I,9,0)</f>
        <v>Male</v>
      </c>
      <c r="D992" s="19">
        <f>VLOOKUP(A992,Sheet1!A:K,11,0)</f>
        <v>20</v>
      </c>
      <c r="E992" s="19" t="str">
        <f>VLOOKUP(A992,Sheet1!A:M,13,0)</f>
        <v>China</v>
      </c>
      <c r="F992" s="19" t="str">
        <f>VLOOKUP(A992,Sheet1!A:N,14,0)</f>
        <v>Mandarin</v>
      </c>
      <c r="G992" s="19" t="str">
        <f>VLOOKUP(A992,Sheet1!A:O,15,0)</f>
        <v>Data Analysis</v>
      </c>
      <c r="H992" s="19">
        <f>VLOOKUP(A992,Sheet1!A:Q,17,0)</f>
        <v>2</v>
      </c>
      <c r="I992" s="20">
        <f>VLOOKUP(A992,Sheet1!A:V,22,0)</f>
        <v>40</v>
      </c>
      <c r="J992" s="21">
        <f>VLOOKUP(A992,Sheet1!A:X,24,0)</f>
        <v>2.1</v>
      </c>
      <c r="K992" s="19" t="str">
        <f>VLOOKUP(A992,Sheet1!A:AB,28,0)</f>
        <v>No</v>
      </c>
      <c r="L992" s="27">
        <f>VLOOKUP(A992,Sheet1!A:AD,30,0)</f>
        <v>64</v>
      </c>
    </row>
    <row r="993" spans="1:12" x14ac:dyDescent="0.3">
      <c r="A993" s="14" t="s">
        <v>1742</v>
      </c>
      <c r="B993" s="19" t="str">
        <f>VLOOKUP(A993,Sheet1!A:E,5,0)</f>
        <v>Michael Watson</v>
      </c>
      <c r="C993" s="19" t="str">
        <f>VLOOKUP(A993,Sheet1!A:I,9,0)</f>
        <v>Male</v>
      </c>
      <c r="D993" s="19">
        <f>VLOOKUP(A993,Sheet1!A:K,11,0)</f>
        <v>20</v>
      </c>
      <c r="E993" s="19" t="str">
        <f>VLOOKUP(A993,Sheet1!A:M,13,0)</f>
        <v>Argentina</v>
      </c>
      <c r="F993" s="19" t="str">
        <f>VLOOKUP(A993,Sheet1!A:N,14,0)</f>
        <v>Spanish</v>
      </c>
      <c r="G993" s="19" t="str">
        <f>VLOOKUP(A993,Sheet1!A:O,15,0)</f>
        <v>Machine Learning</v>
      </c>
      <c r="H993" s="19">
        <f>VLOOKUP(A993,Sheet1!A:Q,17,0)</f>
        <v>2</v>
      </c>
      <c r="I993" s="20">
        <f>VLOOKUP(A993,Sheet1!A:V,22,0)</f>
        <v>20</v>
      </c>
      <c r="J993" s="21">
        <f>VLOOKUP(A993,Sheet1!A:X,24,0)</f>
        <v>3.9</v>
      </c>
      <c r="K993" s="19" t="str">
        <f>VLOOKUP(A993,Sheet1!A:AB,28,0)</f>
        <v>No</v>
      </c>
      <c r="L993" s="27">
        <f>VLOOKUP(A993,Sheet1!A:AD,30,0)</f>
        <v>84</v>
      </c>
    </row>
    <row r="994" spans="1:12" x14ac:dyDescent="0.3">
      <c r="A994" s="14" t="s">
        <v>559</v>
      </c>
      <c r="B994" s="19" t="str">
        <f>VLOOKUP(A994,Sheet1!A:E,5,0)</f>
        <v>Michael Williams</v>
      </c>
      <c r="C994" s="19" t="str">
        <f>VLOOKUP(A994,Sheet1!A:I,9,0)</f>
        <v>Male</v>
      </c>
      <c r="D994" s="19">
        <f>VLOOKUP(A994,Sheet1!A:K,11,0)</f>
        <v>20</v>
      </c>
      <c r="E994" s="19" t="str">
        <f>VLOOKUP(A994,Sheet1!A:M,13,0)</f>
        <v>France</v>
      </c>
      <c r="F994" s="19" t="str">
        <f>VLOOKUP(A994,Sheet1!A:N,14,0)</f>
        <v>French</v>
      </c>
      <c r="G994" s="19" t="str">
        <f>VLOOKUP(A994,Sheet1!A:O,15,0)</f>
        <v>Data Analysis</v>
      </c>
      <c r="H994" s="19">
        <f>VLOOKUP(A994,Sheet1!A:Q,17,0)</f>
        <v>1</v>
      </c>
      <c r="I994" s="20">
        <f>VLOOKUP(A994,Sheet1!A:V,22,0)</f>
        <v>50</v>
      </c>
      <c r="J994" s="21">
        <f>VLOOKUP(A994,Sheet1!A:X,24,0)</f>
        <v>3.1</v>
      </c>
      <c r="K994" s="19" t="str">
        <f>VLOOKUP(A994,Sheet1!A:AB,28,0)</f>
        <v>Unknown</v>
      </c>
      <c r="L994" s="27">
        <f>VLOOKUP(A994,Sheet1!A:AD,30,0)</f>
        <v>71</v>
      </c>
    </row>
    <row r="995" spans="1:12" x14ac:dyDescent="0.3">
      <c r="A995" s="14" t="s">
        <v>581</v>
      </c>
      <c r="B995" s="19" t="str">
        <f>VLOOKUP(A995,Sheet1!A:E,5,0)</f>
        <v>Mitchell Watson</v>
      </c>
      <c r="C995" s="19" t="str">
        <f>VLOOKUP(A995,Sheet1!A:I,9,0)</f>
        <v>Male</v>
      </c>
      <c r="D995" s="19">
        <f>VLOOKUP(A995,Sheet1!A:K,11,0)</f>
        <v>20</v>
      </c>
      <c r="E995" s="19" t="str">
        <f>VLOOKUP(A995,Sheet1!A:M,13,0)</f>
        <v>Mexico</v>
      </c>
      <c r="F995" s="19" t="str">
        <f>VLOOKUP(A995,Sheet1!A:N,14,0)</f>
        <v>Spanish</v>
      </c>
      <c r="G995" s="19" t="str">
        <f>VLOOKUP(A995,Sheet1!A:O,15,0)</f>
        <v>Graphic Design</v>
      </c>
      <c r="H995" s="19">
        <f>VLOOKUP(A995,Sheet1!A:Q,17,0)</f>
        <v>2</v>
      </c>
      <c r="I995" s="20">
        <f>VLOOKUP(A995,Sheet1!A:V,22,0)</f>
        <v>52.638081395348834</v>
      </c>
      <c r="J995" s="21">
        <f>VLOOKUP(A995,Sheet1!A:X,24,0)</f>
        <v>1.1000000000000001</v>
      </c>
      <c r="K995" s="19" t="str">
        <f>VLOOKUP(A995,Sheet1!A:AB,28,0)</f>
        <v>No</v>
      </c>
      <c r="L995" s="27">
        <f>VLOOKUP(A995,Sheet1!A:AD,30,0)</f>
        <v>69</v>
      </c>
    </row>
    <row r="996" spans="1:12" x14ac:dyDescent="0.3">
      <c r="A996" s="14" t="s">
        <v>414</v>
      </c>
      <c r="B996" s="19" t="str">
        <f>VLOOKUP(A996,Sheet1!A:E,5,0)</f>
        <v>Patricia Lopez</v>
      </c>
      <c r="C996" s="19" t="str">
        <f>VLOOKUP(A996,Sheet1!A:I,9,0)</f>
        <v>Female</v>
      </c>
      <c r="D996" s="19">
        <f>VLOOKUP(A996,Sheet1!A:K,11,0)</f>
        <v>20</v>
      </c>
      <c r="E996" s="19" t="str">
        <f>VLOOKUP(A996,Sheet1!A:M,13,0)</f>
        <v>Spain</v>
      </c>
      <c r="F996" s="19" t="str">
        <f>VLOOKUP(A996,Sheet1!A:N,14,0)</f>
        <v>Spanish</v>
      </c>
      <c r="G996" s="19" t="str">
        <f>VLOOKUP(A996,Sheet1!A:O,15,0)</f>
        <v>Graphic Design</v>
      </c>
      <c r="H996" s="19">
        <f>VLOOKUP(A996,Sheet1!A:Q,17,0)</f>
        <v>0</v>
      </c>
      <c r="I996" s="20">
        <f>VLOOKUP(A996,Sheet1!A:V,22,0)</f>
        <v>40</v>
      </c>
      <c r="J996" s="21">
        <f>VLOOKUP(A996,Sheet1!A:X,24,0)</f>
        <v>2.5</v>
      </c>
      <c r="K996" s="19" t="str">
        <f>VLOOKUP(A996,Sheet1!A:AB,28,0)</f>
        <v>No</v>
      </c>
      <c r="L996" s="27">
        <f>VLOOKUP(A996,Sheet1!A:AD,30,0)</f>
        <v>79</v>
      </c>
    </row>
    <row r="997" spans="1:12" x14ac:dyDescent="0.3">
      <c r="A997" s="14" t="s">
        <v>1756</v>
      </c>
      <c r="B997" s="19" t="str">
        <f>VLOOKUP(A997,Sheet1!A:E,5,0)</f>
        <v>Samantha Matthews</v>
      </c>
      <c r="C997" s="19" t="str">
        <f>VLOOKUP(A997,Sheet1!A:I,9,0)</f>
        <v>Female</v>
      </c>
      <c r="D997" s="19">
        <f>VLOOKUP(A997,Sheet1!A:K,11,0)</f>
        <v>20</v>
      </c>
      <c r="E997" s="19" t="str">
        <f>VLOOKUP(A997,Sheet1!A:M,13,0)</f>
        <v>Italy</v>
      </c>
      <c r="F997" s="19" t="str">
        <f>VLOOKUP(A997,Sheet1!A:N,14,0)</f>
        <v>Italian</v>
      </c>
      <c r="G997" s="19" t="str">
        <f>VLOOKUP(A997,Sheet1!A:O,15,0)</f>
        <v>DevOps</v>
      </c>
      <c r="H997" s="19">
        <f>VLOOKUP(A997,Sheet1!A:Q,17,0)</f>
        <v>1</v>
      </c>
      <c r="I997" s="20">
        <f>VLOOKUP(A997,Sheet1!A:V,22,0)</f>
        <v>50</v>
      </c>
      <c r="J997" s="21">
        <f>VLOOKUP(A997,Sheet1!A:X,24,0)</f>
        <v>3.4</v>
      </c>
      <c r="K997" s="19" t="str">
        <f>VLOOKUP(A997,Sheet1!A:AB,28,0)</f>
        <v>Yes</v>
      </c>
      <c r="L997" s="27">
        <f>VLOOKUP(A997,Sheet1!A:AD,30,0)</f>
        <v>79</v>
      </c>
    </row>
    <row r="998" spans="1:12" x14ac:dyDescent="0.3">
      <c r="A998" s="14" t="s">
        <v>1353</v>
      </c>
      <c r="B998" s="19" t="str">
        <f>VLOOKUP(A998,Sheet1!A:E,5,0)</f>
        <v>Thomas Wall</v>
      </c>
      <c r="C998" s="19" t="str">
        <f>VLOOKUP(A998,Sheet1!A:I,9,0)</f>
        <v>Male</v>
      </c>
      <c r="D998" s="19">
        <f>VLOOKUP(A998,Sheet1!A:K,11,0)</f>
        <v>20</v>
      </c>
      <c r="E998" s="19" t="str">
        <f>VLOOKUP(A998,Sheet1!A:M,13,0)</f>
        <v>Canada</v>
      </c>
      <c r="F998" s="19" t="str">
        <f>VLOOKUP(A998,Sheet1!A:N,14,0)</f>
        <v>English</v>
      </c>
      <c r="G998" s="19" t="str">
        <f>VLOOKUP(A998,Sheet1!A:O,15,0)</f>
        <v>DevOps</v>
      </c>
      <c r="H998" s="19">
        <f>VLOOKUP(A998,Sheet1!A:Q,17,0)</f>
        <v>3</v>
      </c>
      <c r="I998" s="20">
        <f>VLOOKUP(A998,Sheet1!A:V,22,0)</f>
        <v>75</v>
      </c>
      <c r="J998" s="21">
        <f>VLOOKUP(A998,Sheet1!A:X,24,0)</f>
        <v>4.3</v>
      </c>
      <c r="K998" s="19" t="str">
        <f>VLOOKUP(A998,Sheet1!A:AB,28,0)</f>
        <v>No</v>
      </c>
      <c r="L998" s="27">
        <f>VLOOKUP(A998,Sheet1!A:AD,30,0)</f>
        <v>90</v>
      </c>
    </row>
    <row r="999" spans="1:12" x14ac:dyDescent="0.3">
      <c r="A999" s="14" t="s">
        <v>1472</v>
      </c>
      <c r="B999" s="19" t="str">
        <f>VLOOKUP(A999,Sheet1!A:E,5,0)</f>
        <v>Tracy White</v>
      </c>
      <c r="C999" s="19" t="str">
        <f>VLOOKUP(A999,Sheet1!A:I,9,0)</f>
        <v>Female</v>
      </c>
      <c r="D999" s="19">
        <f>VLOOKUP(A999,Sheet1!A:K,11,0)</f>
        <v>20</v>
      </c>
      <c r="E999" s="19" t="str">
        <f>VLOOKUP(A999,Sheet1!A:M,13,0)</f>
        <v>Indonesia</v>
      </c>
      <c r="F999" s="19" t="str">
        <f>VLOOKUP(A999,Sheet1!A:N,14,0)</f>
        <v>Indonesian</v>
      </c>
      <c r="G999" s="19" t="str">
        <f>VLOOKUP(A999,Sheet1!A:O,15,0)</f>
        <v>Web Development</v>
      </c>
      <c r="H999" s="19">
        <f>VLOOKUP(A999,Sheet1!A:Q,17,0)</f>
        <v>1</v>
      </c>
      <c r="I999" s="20">
        <f>VLOOKUP(A999,Sheet1!A:V,22,0)</f>
        <v>30</v>
      </c>
      <c r="J999" s="21">
        <f>VLOOKUP(A999,Sheet1!A:X,24,0)</f>
        <v>2</v>
      </c>
      <c r="K999" s="19" t="str">
        <f>VLOOKUP(A999,Sheet1!A:AB,28,0)</f>
        <v>No</v>
      </c>
      <c r="L999" s="27">
        <f>VLOOKUP(A999,Sheet1!A:AD,30,0)</f>
        <v>89</v>
      </c>
    </row>
    <row r="1000" spans="1:12" x14ac:dyDescent="0.3">
      <c r="A1000" s="14" t="s">
        <v>1942</v>
      </c>
      <c r="B1000" s="19" t="str">
        <f>VLOOKUP(A1000,Sheet1!A:E,5,0)</f>
        <v>Valerie Gutierrez</v>
      </c>
      <c r="C1000" s="19" t="str">
        <f>VLOOKUP(A1000,Sheet1!A:I,9,0)</f>
        <v>Female</v>
      </c>
      <c r="D1000" s="19">
        <f>VLOOKUP(A1000,Sheet1!A:K,11,0)</f>
        <v>20</v>
      </c>
      <c r="E1000" s="19" t="str">
        <f>VLOOKUP(A1000,Sheet1!A:M,13,0)</f>
        <v>South Korea</v>
      </c>
      <c r="F1000" s="19" t="str">
        <f>VLOOKUP(A1000,Sheet1!A:N,14,0)</f>
        <v>Korean</v>
      </c>
      <c r="G1000" s="19" t="str">
        <f>VLOOKUP(A1000,Sheet1!A:O,15,0)</f>
        <v>Machine Learning</v>
      </c>
      <c r="H1000" s="19">
        <f>VLOOKUP(A1000,Sheet1!A:Q,17,0)</f>
        <v>3</v>
      </c>
      <c r="I1000" s="20">
        <f>VLOOKUP(A1000,Sheet1!A:V,22,0)</f>
        <v>30</v>
      </c>
      <c r="J1000" s="21">
        <f>VLOOKUP(A1000,Sheet1!A:X,24,0)</f>
        <v>4.5999999999999996</v>
      </c>
      <c r="K1000" s="19" t="str">
        <f>VLOOKUP(A1000,Sheet1!A:AB,28,0)</f>
        <v>Yes</v>
      </c>
      <c r="L1000" s="27">
        <f>VLOOKUP(A1000,Sheet1!A:AD,30,0)</f>
        <v>81.106060606060609</v>
      </c>
    </row>
    <row r="1001" spans="1:12" ht="15" thickBot="1" x14ac:dyDescent="0.35">
      <c r="A1001" s="28" t="s">
        <v>1738</v>
      </c>
      <c r="B1001" s="19" t="str">
        <f>VLOOKUP(A1001,Sheet1!A:E,5,0)</f>
        <v>William Harris</v>
      </c>
      <c r="C1001" s="29" t="str">
        <f>VLOOKUP(A1001,Sheet1!A:I,9,0)</f>
        <v>Male</v>
      </c>
      <c r="D1001" s="29">
        <f>VLOOKUP(A1001,Sheet1!A:K,11,0)</f>
        <v>20</v>
      </c>
      <c r="E1001" s="29" t="str">
        <f>VLOOKUP(A1001,Sheet1!A:M,13,0)</f>
        <v>South Korea</v>
      </c>
      <c r="F1001" s="29" t="str">
        <f>VLOOKUP(A1001,Sheet1!A:N,14,0)</f>
        <v>Korean</v>
      </c>
      <c r="G1001" s="29" t="str">
        <f>VLOOKUP(A1001,Sheet1!A:O,15,0)</f>
        <v>AI</v>
      </c>
      <c r="H1001" s="29">
        <f>VLOOKUP(A1001,Sheet1!A:Q,17,0)</f>
        <v>1</v>
      </c>
      <c r="I1001" s="30">
        <f>VLOOKUP(A1001,Sheet1!A:V,22,0)</f>
        <v>50</v>
      </c>
      <c r="J1001" s="31">
        <f>VLOOKUP(A1001,Sheet1!A:X,24,0)</f>
        <v>2.3955696202531649</v>
      </c>
      <c r="K1001" s="29" t="str">
        <f>VLOOKUP(A1001,Sheet1!A:AB,28,0)</f>
        <v>Yes</v>
      </c>
      <c r="L1001" s="32">
        <f>VLOOKUP(A1001,Sheet1!A:AD,30,0)</f>
        <v>81</v>
      </c>
    </row>
  </sheetData>
  <autoFilter ref="A1:L1001" xr:uid="{D6962A4F-D849-477D-B348-3204FF865D7B}">
    <sortState xmlns:xlrd2="http://schemas.microsoft.com/office/spreadsheetml/2017/richdata2" ref="A2:L1001">
      <sortCondition descending="1" ref="D1:D10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C7715B-C4F5-4858-A65F-17EEB40AE3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global_freelancers_raw</vt:lpstr>
      <vt:lpstr>Sheet1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Umasankar, Divyadharsan</dc:creator>
  <cp:lastModifiedBy>Umasankar, Divyadharsan</cp:lastModifiedBy>
  <dcterms:created xsi:type="dcterms:W3CDTF">2015-06-05T18:17:20Z</dcterms:created>
  <dcterms:modified xsi:type="dcterms:W3CDTF">2025-11-12T14:37:09Z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2025-11-02T12:10:34Z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44481983-f3ef-4c9b-9c0a-0b1308d8e829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